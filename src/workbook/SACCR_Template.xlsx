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<sst xmlns="http://schemas.openxmlformats.org/spreadsheetml/2006/main" count="7923" uniqueCount="908">
  <si>
    <t>K-SACCR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</si>
  <si>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</si>
  <si>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</si>
  <si>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</si>
  <si>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</si>
  <si>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</si>
  <si>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</si>
  <si>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</si>
  <si>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</si>
  <si>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</si>
  <si>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</si>
  <si>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excluded trade and warning.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</si>
  <si>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</si>
  <si>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</si>
  <si>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</si>
  <si>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</si>
  <si>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</si>
  <si>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</si>
  <si>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</si>
  <si>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</si>
  <si>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</si>
  <si>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</si>
  <si>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</si>
  <si>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</si>
  <si>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</si>
  <si>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</si>
  <si>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</si>
  <si>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</si>
  <si>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</si>
  <si>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</si>
  <si>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</si>
  <si>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</si>
  <si>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</si>
  <si>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</si>
  <si>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</si>
  <si>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</si>
  <si>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</si>
  <si>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</si>
  <si>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</si>
  <si>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</si>
  <si>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</si>
  <si>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</si>
  <si>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</si>
  <si>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</si>
  <si>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</si>
  <si>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</si>
  <si>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</si>
  <si>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</si>
  <si>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</si>
  <si>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</si>
  <si>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</si>
  <si>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</si>
  <si>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</si>
  <si>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</si>
  <si>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</si>
  <si>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</si>
  <si>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</si>
  <si>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</si>
  <si>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</si>
  <si>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</si>
  <si>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</si>
  <si>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</si>
  <si>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</si>
  <si>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</si>
  <si>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</si>
  <si>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</si>
  <si>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</si>
  <si>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</si>
  <si>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</si>
  <si>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</si>
  <si>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</si>
  <si>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</si>
  <si>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</si>
  <si>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</si>
  <si>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</si>
  <si>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</si>
  <si>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</si>
  <si>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</si>
  <si>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</si>
  <si>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</si>
  <si>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</si>
  <si>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</si>
  <si>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</si>
  <si>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</si>
  <si>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</si>
  <si>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</si>
  <si>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</si>
  <si>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</si>
  <si>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</si>
  <si>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</si>
  <si>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Code</t>
  </si>
  <si>
    <t>Modules</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</si>
  <si>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</si>
  <si>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</si>
  <si>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</si>
  <si>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</si>
  <si>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</si>
  <si>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</si>
  <si>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</si>
  <si>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</si>
  <si>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</si>
  <si>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</si>
  <si>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</si>
  <si>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</si>
  <si>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</si>
  <si>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</si>
  <si>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</si>
  <si>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</si>
  <si>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</si>
  <si>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</si>
  <si>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</si>
  <si>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</si>
  <si>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</si>
  <si>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</si>
  <si>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</si>
  <si>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</si>
  <si>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</si>
  <si>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</si>
  <si>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</si>
  <si>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</si>
  <si>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</si>
  <si>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</si>
  <si>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</si>
  <si>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</si>
  <si>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</si>
  <si>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</si>
  <si>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</si>
  <si>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</si>
  <si>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</si>
  <si>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</si>
  <si>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</si>
  <si>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</si>
  <si>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</si>
  <si>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</si>
  <si>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</si>
  <si>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</si>
  <si>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</si>
  <si>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</si>
  <si>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</si>
  <si>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</si>
  <si>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</si>
  <si>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</si>
  <si>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</si>
  <si>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</si>
  <si>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</si>
  <si>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</si>
  <si>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</si>
  <si>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</si>
  <si>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</si>
  <si>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</si>
  <si>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</si>
  <si>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</si>
  <si>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</si>
  <si>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</si>
  <si>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</si>
  <si>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</si>
  <si>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</si>
  <si>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</si>
  <si>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</si>
  <si>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</si>
  <si>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</si>
  <si>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</si>
  <si>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</si>
  <si>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</si>
  <si>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</si>
  <si>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</si>
  <si>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</si>
  <si>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</si>
  <si>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</si>
  <si>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</si>
  <si>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</si>
  <si>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</si>
  <si>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</si>
  <si>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</si>
  <si>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</si>
  <si>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</si>
  <si>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</si>
  <si>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</si>
  <si>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</si>
  <si>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</si>
  <si>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</si>
  <si>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</si>
  <si>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</si>
  <si>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</si>
  <si>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</si>
  <si>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</si>
  <si>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</si>
  <si>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</si>
  <si>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</si>
  <si>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</si>
  <si>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</si>
  <si>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</si>
  <si>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</si>
  <si>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</si>
  <si>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</si>
  <si>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</si>
  <si>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</si>
  <si>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</si>
  <si>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</si>
  <si>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</si>
  <si>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</si>
  <si>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</si>
  <si>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</si>
  <si>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</si>
  <si>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</si>
  <si>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</si>
  <si>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</si>
  <si>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</si>
  <si>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</si>
  <si>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</si>
  <si>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</si>
  <si>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</si>
  <si>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</si>
  <si>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</si>
  <si>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</si>
  <si>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</si>
  <si>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</si>
  <si>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</si>
  <si>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</si>
  <si>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</si>
  <si>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</si>
  <si>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</si>
  <si>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</si>
  <si>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</si>
  <si>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</si>
  <si>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</si>
  <si>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</si>
  <si>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</si>
  <si>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</si>
  <si>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</si>
  <si>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</si>
  <si>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</si>
  <si>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</si>
  <si>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</si>
  <si>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</si>
  <si>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</si>
  <si>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</si>
  <si>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</si>
  <si>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</si>
  <si>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</si>
  <si>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</si>
  <si>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</si>
  <si>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</si>
  <si>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</si>
  <si>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</si>
  <si>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</si>
  <si>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</si>
  <si>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</si>
  <si>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</si>
  <si>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</si>
  <si>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</si>
  <si>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</si>
  <si>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</si>
  <si>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</si>
  <si>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</si>
  <si>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</si>
  <si>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</si>
  <si>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</si>
  <si>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</si>
  <si>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</si>
  <si>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</si>
  <si>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</si>
  <si>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</si>
  <si>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</si>
  <si>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</si>
  <si>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</si>
  <si>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</si>
  <si>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</si>
  <si>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</si>
  <si>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</si>
  <si>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</si>
  <si>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</si>
  <si>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</si>
  <si>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</si>
  <si>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</si>
  <si>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</si>
  <si>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</si>
  <si>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</si>
  <si>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</si>
  <si>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</si>
  <si>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</si>
  <si>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</si>
  <si>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</si>
  <si>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</si>
  <si>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</si>
  <si>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</si>
  <si>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</si>
  <si>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</si>
  <si>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</si>
  <si>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</si>
  <si>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</si>
  <si>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</si>
  <si>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</si>
  <si>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</si>
  <si>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</si>
  <si>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</si>
  <si>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</si>
  <si>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</si>
  <si>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</si>
  <si>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</si>
  <si>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</si>
  <si>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</si>
  <si>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</si>
  <si>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</si>
  <si>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</si>
  <si>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</si>
  <si>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</si>
  <si>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</si>
  <si>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</si>
  <si>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</si>
  <si>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</si>
  <si>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</si>
  <si>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</si>
  <si>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</si>
  <si>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</si>
  <si>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</si>
  <si>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</si>
  <si>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</si>
  <si>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</si>
  <si>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</si>
  <si>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</si>
  <si>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</si>
  <si>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</si>
  <si>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</si>
  <si>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</si>
  <si>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</si>
  <si>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</si>
  <si>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</si>
  <si>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</si>
  <si>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</si>
  <si>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</si>
  <si>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</si>
  <si>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</si>
  <si>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</si>
  <si>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</si>
  <si>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</si>
  <si>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</si>
  <si>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</si>
  <si>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</si>
  <si>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</si>
  <si>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</si>
  <si>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</si>
  <si>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</si>
  <si>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</si>
  <si>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</si>
  <si>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</si>
  <si>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</si>
  <si>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</si>
  <si>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</si>
  <si>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</si>
  <si>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</si>
  <si>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</si>
  <si>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</si>
  <si>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</si>
  <si>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</si>
  <si>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</si>
  <si>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</si>
  <si>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</si>
  <si>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</si>
  <si>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</si>
  <si>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</si>
  <si>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</si>
  <si>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</si>
  <si>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</si>
  <si>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</si>
  <si>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</si>
  <si>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</si>
  <si>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</si>
  <si>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</si>
  <si>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</si>
  <si>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</si>
  <si>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</si>
  <si>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</si>
  <si>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</si>
  <si>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</si>
  <si>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</si>
  <si>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</si>
  <si>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</si>
  <si>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</si>
  <si>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</si>
  <si>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</si>
  <si>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</si>
  <si>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</si>
  <si>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</si>
  <si>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</si>
  <si>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</si>
  <si>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</si>
  <si>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</si>
  <si>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</si>
  <si>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</si>
  <si>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</si>
  <si>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</si>
  <si>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</si>
  <si>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</si>
  <si>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</si>
  <si>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</si>
  <si>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</si>
  <si>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</si>
  <si>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</si>
  <si>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</si>
  <si>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</si>
  <si>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</si>
  <si>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</si>
  <si>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</si>
  <si>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</si>
  <si>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</si>
  <si>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</si>
  <si>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</si>
  <si>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</si>
  <si>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</si>
  <si>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</si>
  <si>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</si>
  <si>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</si>
  <si>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</si>
  <si>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</si>
  <si>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</si>
  <si>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</si>
  <si>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</si>
  <si>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</si>
  <si>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</si>
  <si>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</si>
  <si>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</si>
  <si>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</si>
  <si>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</si>
  <si>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</si>
  <si>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</si>
  <si>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</si>
  <si>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</si>
  <si>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</si>
  <si>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</si>
  <si>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</si>
  <si>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</si>
  <si>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</si>
  <si>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</si>
  <si>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</si>
  <si>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</si>
  <si>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</si>
  <si>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</si>
  <si>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</si>
  <si>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</si>
  <si>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</si>
  <si>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</si>
  <si>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</si>
  <si>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</si>
  <si>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</si>
  <si>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</si>
  <si>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</si>
  <si>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</si>
  <si>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</si>
  <si>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</si>
  <si>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</si>
  <si>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</si>
  <si>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</si>
  <si>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</si>
  <si>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</si>
  <si>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</si>
  <si>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</si>
  <si>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</si>
  <si>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</si>
  <si>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</si>
  <si>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</si>
  <si>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</si>
  <si>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</si>
  <si>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</si>
  <si>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</si>
  <si>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</si>
  <si>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</si>
  <si>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</si>
  <si>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</si>
  <si>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</si>
  <si>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</si>
  <si>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</si>
  <si>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</si>
  <si>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</si>
  <si>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</si>
  <si>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</si>
  <si>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</si>
  <si>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</si>
  <si>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</si>
  <si>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</si>
  <si>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</si>
  <si>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</si>
  <si>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</si>
  <si>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</si>
  <si>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</si>
  <si>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</si>
  <si>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</si>
  <si>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</si>
  <si>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</si>
  <si>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</si>
  <si>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</si>
  <si>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</si>
  <si>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</si>
  <si>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</si>
  <si>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</si>
  <si>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</si>
  <si>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</si>
  <si>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</si>
  <si>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</si>
  <si>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</si>
  <si>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</si>
  <si>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</si>
  <si>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</si>
  <si>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</si>
  <si>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</si>
  <si>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</si>
  <si>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</si>
  <si>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</si>
  <si>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</si>
  <si>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long</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</si>
  <si>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</si>
  <si>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</si>
  <si>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</si>
  <si>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</si>
  <si>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</si>
  <si>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</si>
  <si>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</si>
  <si>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</si>
  <si>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</si>
  <si>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</si>
  <si>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</si>
  <si>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</si>
  <si>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</si>
  <si>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</si>
  <si>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</si>
  <si>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</si>
  <si>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</si>
  <si>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</si>
  <si>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</si>
  <si>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</si>
  <si>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</si>
  <si>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</si>
  <si>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</si>
  <si>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</si>
  <si>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</si>
  <si>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</si>
  <si>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</si>
  <si>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</si>
  <si>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</si>
  <si>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</si>
  <si>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</si>
  <si>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</si>
  <si>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</si>
  <si>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</si>
  <si>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</si>
  <si>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</si>
  <si>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</si>
  <si>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</si>
  <si>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</si>
  <si>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</si>
  <si>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</si>
  <si>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</si>
  <si>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</si>
  <si>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</si>
  <si>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</si>
  <si>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</si>
  <si>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</si>
  <si>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</si>
  <si>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</si>
  <si>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</si>
  <si>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</si>
  <si>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</si>
  <si>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</si>
  <si>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</si>
  <si>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</si>
  <si>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</si>
  <si>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</si>
  <si>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</si>
  <si>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</si>
  <si>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</si>
  <si>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</si>
  <si>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</si>
  <si>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</si>
  <si>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</si>
  <si>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</si>
  <si>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</si>
  <si>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</si>
  <si>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</si>
  <si>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</si>
  <si>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</si>
  <si>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</si>
  <si>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</si>
  <si>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</si>
  <si>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</si>
  <si>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</si>
  <si>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</si>
  <si>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</si>
  <si>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</si>
  <si>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</si>
  <si>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</si>
  <si>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</si>
  <si>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</si>
  <si>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</si>
  <si>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</si>
  <si>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</si>
  <si>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</si>
  <si>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</si>
  <si>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</si>
  <si>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</si>
  <si>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</si>
  <si>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</si>
  <si>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</si>
  <si>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</si>
  <si>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</si>
  <si>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</si>
  <si>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</si>
  <si>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</si>
  <si>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</si>
  <si>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</si>
  <si>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</si>
  <si>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</si>
  <si>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</si>
  <si>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</si>
  <si>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</si>
  <si>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</si>
  <si>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</si>
  <si>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</si>
  <si>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</si>
  <si>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</si>
  <si>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</si>
  <si>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</si>
  <si>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</si>
  <si>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</si>
  <si>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</si>
  <si>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</si>
  <si>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</si>
  <si>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</si>
  <si>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</si>
  <si>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</si>
  <si>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</si>
  <si>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</si>
  <si>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</si>
  <si>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</si>
  <si>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</si>
  <si>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</si>
  <si>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</si>
  <si>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</si>
  <si>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</si>
  <si>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</si>
  <si>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</si>
  <si>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</si>
  <si>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</si>
  <si>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</si>
  <si>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</si>
  <si>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</si>
  <si>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</si>
  <si>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</si>
  <si>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</si>
  <si>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</si>
  <si>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</si>
  <si>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</si>
  <si>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</si>
  <si>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</si>
  <si>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</si>
  <si>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</si>
  <si>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</si>
  <si>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</si>
  <si>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</si>
  <si>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</si>
  <si>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</si>
  <si>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</si>
  <si>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</si>
  <si>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</si>
  <si>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</si>
  <si>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</si>
  <si>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</si>
  <si>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</si>
  <si>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</si>
  <si>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</si>
  <si>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</si>
  <si>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</si>
  <si>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</si>
  <si>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</si>
  <si>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</si>
  <si>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</si>
  <si>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</si>
  <si>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</si>
  <si>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</si>
  <si>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</si>
  <si>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</si>
  <si>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</si>
  <si>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</si>
  <si>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</si>
  <si>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</si>
  <si>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</si>
  <si>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</si>
  <si>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</si>
  <si>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</si>
  <si>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</si>
  <si>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</si>
  <si>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</si>
  <si>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</si>
  <si>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</si>
  <si>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</si>
  <si>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</si>
  <si>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</si>
  <si>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</si>
  <si>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</si>
  <si>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</si>
  <si>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</si>
  <si>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</si>
  <si>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</si>
  <si>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</si>
  <si>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</si>
  <si>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</si>
  <si>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</si>
  <si>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</si>
  <si>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</si>
  <si>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</si>
  <si>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</si>
  <si>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</si>
  <si>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</si>
  <si>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</si>
  <si>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</si>
  <si>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</si>
  <si>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</si>
  <si>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</si>
  <si>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</si>
  <si>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</si>
  <si>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</si>
  <si>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</si>
  <si>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</si>
  <si>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</si>
  <si>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</si>
  <si>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</si>
  <si>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</si>
  <si>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</si>
  <si>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</si>
  <si>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</si>
  <si>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</si>
  <si>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</si>
  <si>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</si>
  <si>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</si>
  <si>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</si>
  <si>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</si>
  <si>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</si>
  <si>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</si>
  <si>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</si>
  <si>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</si>
  <si>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</si>
  <si>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</si>
  <si>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</si>
  <si>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</si>
  <si>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</si>
  <si>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</si>
  <si>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</si>
  <si>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</si>
  <si>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</si>
  <si>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</si>
  <si>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</si>
  <si>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</si>
  <si>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</si>
  <si>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</si>
  <si>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</si>
  <si>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</si>
  <si>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</si>
  <si>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</si>
  <si>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</si>
  <si>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</si>
  <si>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</si>
  <si>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</si>
  <si>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</si>
  <si>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</si>
  <si>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</si>
  <si>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</si>
  <si>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</si>
  <si>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</si>
  <si>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</si>
  <si>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</si>
  <si>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</si>
  <si>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</si>
  <si>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</si>
  <si>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</si>
  <si>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</si>
  <si>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</si>
  <si>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</si>
  <si>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</si>
  <si>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</si>
  <si>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</si>
  <si>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</si>
  <si>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</si>
  <si>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</si>
  <si>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</si>
  <si>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</si>
  <si>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</si>
  <si>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</si>
  <si>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</si>
  <si>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</si>
  <si>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</si>
  <si>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</si>
  <si>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</si>
  <si>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</si>
  <si>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</si>
  <si>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</si>
  <si>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</si>
  <si>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</si>
  <si>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</si>
  <si>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</si>
  <si>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</si>
  <si>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</si>
  <si>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</si>
  <si>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</si>
  <si>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</si>
  <si>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</si>
  <si>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</si>
  <si>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</si>
  <si>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</si>
  <si>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</si>
  <si>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</si>
  <si>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</si>
  <si>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</si>
  <si>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</si>
  <si>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</si>
  <si>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</si>
  <si>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</si>
  <si>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</si>
  <si>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</si>
  <si>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</si>
  <si>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</si>
  <si>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</si>
  <si>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</si>
  <si>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</si>
  <si>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</si>
  <si>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</si>
  <si>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</si>
  <si>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</si>
  <si>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</si>
  <si>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</si>
  <si>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</si>
  <si>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</si>
  <si>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</si>
  <si>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</si>
  <si>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</si>
  <si>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</si>
  <si>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</si>
  <si>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</si>
  <si>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</si>
  <si>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</si>
  <si>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</si>
  <si>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</si>
  <si>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</si>
  <si>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</si>
  <si>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</si>
  <si>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</si>
  <si>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</si>
  <si>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</si>
  <si>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</si>
  <si>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</si>
  <si>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</si>
  <si>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</si>
  <si>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</si>
  <si>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</si>
  <si>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</si>
  <si>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</si>
  <si>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</si>
  <si>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</si>
  <si>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</si>
  <si>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</si>
  <si>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only runs the checks;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</si>
  <si>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</si>
  <si>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</si>
  <si>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</si>
  <si>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</si>
  <si>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</si>
  <si>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</si>
  <si>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</si>
  <si>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</si>
  <si>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</si>
  <si>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</si>
  <si>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</si>
  <si>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</si>
  <si>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</si>
  <si>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Windows Excel 64-bit; 32-bit is kept compiling but not certified; Mac and Excel for the web are not supported.</t>
  </si>
  <si>
    <t>Bank netting-set results</t>
  </si>
  <si>
    <t>Enter the bank's own figures per netting set. Run SA-CCR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</si>
  <si>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</si>
  <si>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</si>
  <si>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</si>
  <si>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</si>
  <si>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</si>
  <si>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bank figure. A figure matches when its difference is within either tolerance.</t>
  </si>
  <si>
    <t>Regime (BCBS / CRR)</t>
  </si>
  <si>
    <t>Reconciliation</t>
  </si>
  <si>
    <t>Bank row</t>
  </si>
  <si>
    <t>Bank regime</t>
  </si>
  <si>
    <t>Calculator regime</t>
  </si>
  <si>
    <t>Calculator status</t>
  </si>
  <si>
    <t>Measure</t>
  </si>
  <si>
    <t>Bank figure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</si>
  <si>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</si>
  <si>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</si>
  <si>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</si>
  <si>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</si>
  <si>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</si>
  <si>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</si>
  <si>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</si>
  <si>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</si>
  <si>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</si>
  <si>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</si>
  <si>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</si>
  <si>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</si>
  <si>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</si>
  <si>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</si>
  <si>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</si>
  <si>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</si>
  <si>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build the workbook from the source, then press Run SA-CCR.</t>
  </si>
  <si>
    <t>No reconciliation yet: enter bank figures on BankNettingSets and press Run SA-CCR.</t>
  </si>
  <si>
    <t>No reconciliation yet: enter bank figures on BankTrades and press Run SA-CCR.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</si>
</sst>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5">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4"/>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36"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HYPERLINK("https://github.com/danielep71/VBA-SACCR-Toolkit/blob/main/docs/assets/SACCR_EAD_reference.svg","One-page reference card: all formulas and parameters (opens on GitHub)")</f>
        <v>One-page reference card: all formulas and parameters (opens on GitHub)</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33.950000000000003" customHeight="1" outlineLevel="1" x14ac:dyDescent="0.25">
      <c r="C74" s="107" t="s">
        <v>91</v>
      </c>
      <c r="D74" s="111" t="s">
        <v>872</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121</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144</v>
      </c>
      <c r="G23" s="34"/>
      <c r="H23" s="34"/>
      <c r="I23" s="40" t="s">
        <v>150</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166</v>
      </c>
    </row>
    <row r="49" spans="3:11" ht="20.100000000000001" customHeight="1" x14ac:dyDescent="0.25">
      <c r="C49" s="4" t="s">
        <v>206</v>
      </c>
      <c r="D49" s="47" t="s">
        <v>42</v>
      </c>
      <c r="E49" s="47" t="s">
        <v>207</v>
      </c>
      <c r="F49" s="48">
        <v>0.18</v>
      </c>
      <c r="G49" s="49">
        <v>0.4</v>
      </c>
      <c r="H49" s="49">
        <v>0.7</v>
      </c>
      <c r="I49" s="41" t="s">
        <v>205</v>
      </c>
      <c r="J49" s="41" t="s">
        <v>160</v>
      </c>
      <c r="K49" s="40" t="s">
        <v>166</v>
      </c>
    </row>
    <row r="50" spans="3:11" ht="20.100000000000001" customHeight="1" x14ac:dyDescent="0.25">
      <c r="C50" s="4" t="s">
        <v>208</v>
      </c>
      <c r="D50" s="47" t="s">
        <v>42</v>
      </c>
      <c r="E50" s="47" t="s">
        <v>209</v>
      </c>
      <c r="F50" s="48">
        <v>0.18</v>
      </c>
      <c r="G50" s="49">
        <v>0.4</v>
      </c>
      <c r="H50" s="49">
        <v>0.7</v>
      </c>
      <c r="I50" s="41" t="s">
        <v>209</v>
      </c>
      <c r="J50" s="41" t="s">
        <v>160</v>
      </c>
      <c r="K50" s="40" t="s">
        <v>166</v>
      </c>
    </row>
    <row r="51" spans="3:11" ht="20.100000000000001" customHeight="1" x14ac:dyDescent="0.25">
      <c r="C51" s="4" t="s">
        <v>210</v>
      </c>
      <c r="D51" s="47" t="s">
        <v>42</v>
      </c>
      <c r="E51" s="47" t="s">
        <v>211</v>
      </c>
      <c r="F51" s="48">
        <v>0.18</v>
      </c>
      <c r="G51" s="49">
        <v>0.4</v>
      </c>
      <c r="H51" s="49">
        <v>0.7</v>
      </c>
      <c r="I51" s="41" t="s">
        <v>211</v>
      </c>
      <c r="J51" s="41" t="s">
        <v>160</v>
      </c>
      <c r="K51" s="40" t="s">
        <v>166</v>
      </c>
    </row>
    <row r="52" spans="3:11" ht="20.100000000000001" customHeight="1" x14ac:dyDescent="0.25">
      <c r="C52" s="4" t="s">
        <v>212</v>
      </c>
      <c r="D52" s="47" t="s">
        <v>42</v>
      </c>
      <c r="E52" s="47" t="s">
        <v>213</v>
      </c>
      <c r="F52" s="48">
        <v>0.18</v>
      </c>
      <c r="G52" s="49">
        <v>0.4</v>
      </c>
      <c r="H52" s="49">
        <v>0.7</v>
      </c>
      <c r="I52" s="41" t="s">
        <v>213</v>
      </c>
      <c r="J52" s="41" t="s">
        <v>160</v>
      </c>
      <c r="K52" s="40" t="s">
        <v>166</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312</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312</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options in market order (USD/JPY, not JPY/USD). CR, EQ: issuer or index. CO: commodity.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Results current (inputs 74A6C31F)</v>
      </c>
      <c r="G5" s="9"/>
    </row>
    <row r="6" spans="2:30" ht="42" customHeight="1" x14ac:dyDescent="0.25">
      <c r="C6" s="127" t="s">
        <v>233</v>
      </c>
      <c r="D6" s="127" t="s">
        <v>234</v>
      </c>
      <c r="E6" s="128" t="s">
        <v>141</v>
      </c>
      <c r="F6" s="128" t="s">
        <v>431</v>
      </c>
      <c r="G6" s="128" t="s">
        <v>50</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370</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880</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It will not be compared." promptTitle="Netting set ID" prompt="The bank's ID of the netting set, as on NettingSets. A repeated ID is reported as DUPLICATE and not compared." sqref="C9:C208" xr:uid="{00000000-0002-0000-0900-000003000000}">
      <formula1>COUNTIF($C$9:$C$208,C9)=1</formula1>
    </dataValidation>
    <dataValidation type="list" allowBlank="1" showInputMessage="1" showErrorMessage="1" errorTitle="Invalid regime" error="Choose BCBS or CRR." promptTitle="Regime" prompt="BCBS or CRR: the regime of the bank's figures. Figures of another regime than Results are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between 0 and 1; not scal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v>
      </c>
    </row>
    <row r="6" spans="2:14" ht="42" customHeight="1" x14ac:dyDescent="0.25">
      <c r="C6" s="127" t="s">
        <v>233</v>
      </c>
      <c r="D6" s="128" t="s">
        <v>883</v>
      </c>
      <c r="E6" s="128" t="s">
        <v>884</v>
      </c>
      <c r="F6" s="128" t="s">
        <v>885</v>
      </c>
      <c r="G6" s="127" t="s">
        <v>886</v>
      </c>
      <c r="H6" s="128" t="s">
        <v>887</v>
      </c>
      <c r="I6" s="128" t="s">
        <v>888</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It will not be compared." promptTitle="Trade ID" prompt="The Trade ID of the leg, as on Trades. A repeated ID is reported as DUPLICATE and not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-0.27</v>
      </c>
      <c r="M8" s="5" t="s">
        <v>538</v>
      </c>
      <c r="N8" s="19">
        <v>5.0000000000000001E-3</v>
      </c>
      <c r="O8" s="20">
        <f>IFERROR(INDEX(TradeCalc!$C$6:$AA$3001,MATCH($J8,TradeCalc!$C$6:$C$3001,0),MATCH($K8,TradeCalc!$C$5:$AA$5,0)),"n/a")</f>
        <v>-0.26939521771053271</v>
      </c>
      <c r="P8" s="19">
        <f t="shared" si="0"/>
        <v>6.0478228946730939E-4</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580</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577</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580</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600</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600</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600</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600</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600</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600</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600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824</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Long" prompt="TRUE = long in the tranche (positive delta); FALSE = short (CRE52.41)."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3; CRR Art.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542</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pageMargins left="0.4" right="0.4" top="0.5" bottom="0.5" header="0.3" footer="0.3"/>
  <pageSetup paperSize="9" fitToHeight="0" orientation="landscape"/>
</worksheet>
</file>