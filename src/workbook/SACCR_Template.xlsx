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Basel_vs_CRR!$C$6:$K$31</definedName>
    <definedName name="_xlnm._FilterDatabase" localSheetId="3" hidden="1">Trades!$C$5:$Z$70</definedName>
    <definedName name="Alpha">Params!$E$8</definedName>
    <definedName name="AsOfDate">Params!$E$6</definedName>
    <definedName name="BasisFactor">Params!$E$17</definedName>
    <definedName name="BusinessDaysPerYear">Params!$E$11</definedName>
    <definedName name="DaysPerYear">Params!$E$10</definedName>
    <definedName name="FX_Table">Params!$C$57:$E$62</definedName>
    <definedName name="IRBucketOffset">Params!$E$22</definedName>
    <definedName name="IRCorrBucket12">Params!$E$19</definedName>
    <definedName name="IRCorrBucket13">Params!$E$21</definedName>
    <definedName name="IRCorrBucket23">Params!$E$20</definedName>
    <definedName name="LambdaThresholdCO">Params!$E$25</definedName>
    <definedName name="LambdaThresholdIR">Params!$E$24</definedName>
    <definedName name="MinMaturityBD">Params!$E$12</definedName>
    <definedName name="MPORFloorBilateral">Params!$E$14</definedName>
    <definedName name="MPORFloorCleared">Params!$E$15</definedName>
    <definedName name="MPORFloorLarge">Params!$E$16</definedName>
    <definedName name="MultiplierFloor">Params!$E$9</definedName>
    <definedName name="NettingSets_Header">NettingSets!$C$6</definedName>
    <definedName name="Params_Code">Params!$C$5</definedName>
    <definedName name="Params_Value">Params!$E$5</definedName>
    <definedName name="Regime">Params!$E$23</definedName>
    <definedName name="ReportingCcy">Params!$E$7</definedName>
    <definedName name="SACCR_RunInputs" hidden="1">""</definedName>
    <definedName name="SDFloorBD">Params!$E$13</definedName>
    <definedName name="SF_Table">Params!$C$28:$K$54</definedName>
    <definedName name="Trades_Header">Trades!$C$5</definedName>
    <definedName name="VolatilityFactor">Params!$E$18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<sst xmlns="http://schemas.openxmlformats.org/spreadsheetml/2006/main" count="1905" uniqueCount="961">
  <si>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</si>
  <si>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</si>
  <si>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</si>
  <si>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</si>
  <si>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</si>
  <si>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</si>
  <si>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</si>
  <si>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</si>
  <si>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</si>
  <si>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</si>
  <si>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</si>
  <si>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</si>
  <si>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</si>
  <si>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</si>
  <si>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</si>
  <si>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</si>
  <si>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</si>
  <si>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</si>
  <si>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</si>
  <si>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</si>
  <si>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</si>
  <si>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</si>
  <si>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</si>
  <si>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</si>
  <si>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</si>
  <si>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</si>
  <si>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</si>
  <si>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</si>
  <si>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</si>
  <si>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</si>
  <si>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</si>
  <si>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</si>
  <si>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</si>
  <si>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</si>
  <si>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</si>
  <si>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</si>
  <si>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</si>
  <si>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</si>
  <si>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</si>
  <si>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</si>
  <si>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</si>
  <si>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</si>
  <si>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</si>
  <si>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</si>
  <si>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</si>
  <si>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</si>
  <si>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</si>
  <si>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</si>
  <si>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</si>
  <si>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</si>
  <si>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</si>
  <si>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</si>
  <si>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</si>
  <si>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</si>
  <si>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</si>
  <si>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</si>
  <si>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</si>
  <si>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</si>
  <si>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</si>
  <si>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</si>
  <si>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</si>
  <si>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</si>
  <si>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</si>
  <si>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</si>
  <si>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</si>
  <si>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</si>
  <si>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</si>
  <si>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</si>
  <si>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</si>
  <si>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</si>
  <si>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</si>
  <si>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</si>
  <si>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</si>
  <si>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</si>
  <si>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</si>
  <si>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</si>
  <si>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</si>
  <si>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</si>
  <si>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</si>
  <si>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</si>
  <si>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</si>
  <si>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</si>
  <si>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</si>
  <si>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</si>
  <si>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</si>
  <si>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</si>
  <si>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</si>
  <si>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</si>
  <si>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</si>
  <si>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</si>
  <si>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</si>
  <si>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</si>
  <si>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</si>
  <si>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</si>
  <si>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</si>
  <si>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</si>
  <si>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</si>
  <si>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</si>
  <si>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</si>
  <si>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</si>
  <si>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</si>
  <si>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</si>
  <si>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</si>
  <si>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</si>
  <si>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</si>
  <si>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</si>
  <si>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</si>
  <si>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</si>
  <si>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</si>
  <si>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</si>
  <si>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</si>
  <si>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</si>
  <si>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</si>
  <si>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</si>
  <si>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</si>
  <si>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</si>
  <si>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</si>
  <si>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</si>
  <si>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</si>
  <si>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</si>
  <si>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</si>
  <si>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</si>
  <si>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</si>
  <si>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</si>
  <si>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</si>
  <si>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</si>
  <si>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</si>
  <si>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</si>
  <si>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</si>
  <si>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</si>
  <si>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</si>
  <si>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</si>
  <si>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</si>
  <si>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</si>
  <si>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</si>
  <si>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</si>
  <si>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</si>
  <si>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</si>
  <si>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</si>
  <si>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</si>
  <si>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</si>
  <si>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</si>
  <si>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</si>
  <si>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</si>
  <si>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</si>
  <si>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</si>
  <si>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</si>
  <si>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</si>
  <si>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</si>
  <si>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</si>
  <si>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</si>
  <si>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</si>
  <si>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</si>
  <si>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</si>
  <si>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</si>
  <si>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</si>
  <si>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</si>
  <si>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</si>
  <si>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</si>
  <si>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</si>
  <si>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</si>
  <si>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</si>
  <si>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</si>
  <si>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</si>
  <si>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</si>
  <si>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</si>
  <si>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</si>
  <si>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</si>
  <si>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</si>
  <si>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</si>
  <si>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</si>
  <si>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</si>
  <si>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</si>
  <si>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</si>
  <si>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</si>
  <si>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</si>
  <si>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</si>
  <si>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</si>
  <si>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</si>
  <si>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</si>
  <si>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</si>
  <si>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</si>
  <si>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</si>
  <si>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</si>
  <si>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</si>
  <si>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</si>
  <si>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</si>
  <si>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</si>
  <si>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</si>
  <si>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</si>
  <si>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</si>
  <si>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</si>
  <si>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</si>
  <si>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</si>
  <si>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</si>
  <si>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</si>
  <si>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</si>
  <si>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</si>
  <si>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</si>
  <si>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</si>
  <si>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</si>
  <si>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</si>
  <si>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</si>
  <si>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</si>
  <si>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</si>
  <si>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</si>
  <si>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</si>
  <si>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</si>
  <si>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</si>
  <si>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</si>
  <si>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</si>
  <si>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</si>
  <si>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</si>
  <si>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</si>
  <si>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</si>
  <si>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</si>
  <si>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</si>
  <si>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</si>
  <si>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</si>
  <si>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</si>
  <si>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</si>
  <si>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</si>
  <si>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</si>
  <si>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</si>
  <si>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</si>
  <si>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</si>
  <si>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</si>
  <si>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</si>
  <si>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</si>
  <si>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</si>
  <si>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</si>
  <si>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</si>
  <si>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</si>
  <si>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</si>
  <si>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</si>
  <si>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</si>
  <si>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</si>
  <si>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</si>
  <si>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</si>
  <si>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</si>
  <si>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</si>
  <si>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</si>
  <si>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</si>
  <si>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</si>
  <si>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</si>
  <si>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</si>
  <si>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</si>
  <si>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</si>
  <si>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</si>
  <si>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</si>
  <si>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</si>
  <si>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</si>
  <si>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</si>
  <si>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</si>
  <si>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</si>
  <si>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</si>
  <si>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</si>
  <si>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</si>
  <si>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</si>
  <si>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</si>
  <si>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</si>
  <si>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</si>
  <si>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</si>
  <si>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</si>
  <si>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</si>
  <si>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</si>
  <si>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</si>
  <si>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</si>
  <si>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</si>
  <si>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</si>
  <si>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</si>
  <si>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</si>
  <si>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</si>
  <si>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</si>
  <si>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</si>
  <si>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</si>
  <si>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</si>
  <si>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</si>
  <si>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</si>
  <si>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</si>
  <si>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</si>
  <si>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</si>
  <si>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</si>
  <si>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</si>
  <si>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</si>
  <si>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</si>
  <si>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</si>
  <si>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</si>
  <si>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</si>
  <si>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</si>
  <si>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</si>
  <si>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</si>
  <si>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</si>
  <si>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</si>
  <si>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</si>
  <si>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</si>
  <si>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</si>
  <si>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</si>
  <si>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</si>
  <si>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</si>
  <si>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</si>
  <si>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</si>
  <si>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</si>
  <si>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</si>
  <si>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</si>
  <si>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</si>
  <si>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</si>
  <si>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</si>
  <si>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6.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</si>
  <si>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</si>
  <si>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</si>
  <si>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</si>
  <si>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</si>
  <si>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</si>
  <si>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</si>
  <si>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</si>
  <si>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</si>
  <si>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</si>
  <si>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</si>
  <si>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</si>
  <si>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</si>
  <si>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</si>
  <si>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</si>
  <si>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</si>
  <si>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</si>
  <si>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</si>
  <si>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</si>
  <si>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</si>
  <si>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</si>
  <si>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</si>
  <si>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</si>
  <si>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</si>
  <si>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</si>
  <si>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</si>
  <si>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</si>
  <si>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</si>
  <si>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</si>
  <si>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</si>
  <si>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</si>
  <si>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</si>
  <si>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</si>
  <si>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</si>
  <si>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</si>
  <si>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</si>
  <si>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</si>
  <si>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</si>
  <si>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</si>
  <si>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</si>
  <si>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</si>
  <si>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</si>
  <si>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</si>
  <si>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</si>
  <si>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</si>
  <si>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</si>
  <si>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</si>
  <si>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</si>
  <si>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</si>
  <si>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</si>
  <si>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</si>
  <si>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</si>
  <si>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</si>
  <si>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</si>
  <si>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</si>
  <si>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</si>
  <si>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</si>
  <si>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</si>
  <si>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</si>
  <si>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</si>
  <si>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</si>
  <si>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</si>
  <si>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</si>
  <si>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</si>
  <si>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</si>
  <si>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</si>
  <si>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</si>
  <si>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</si>
  <si>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</si>
  <si>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</si>
  <si>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</si>
  <si>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</si>
  <si>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</si>
  <si>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</si>
  <si>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</si>
  <si>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</si>
  <si>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</si>
  <si>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</si>
  <si>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</si>
  <si>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</si>
  <si>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</si>
  <si>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</si>
  <si>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</si>
  <si>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</si>
  <si>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</si>
  <si>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</si>
  <si>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</si>
  <si>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</si>
  <si>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</si>
  <si>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</si>
  <si>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</si>
  <si>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</si>
  <si>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</si>
  <si>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</si>
  <si>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</si>
  <si>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</si>
  <si>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</si>
  <si>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</si>
  <si>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</si>
  <si>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</si>
  <si>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</si>
  <si>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</si>
  <si>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</si>
  <si>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</si>
  <si>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</si>
  <si>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</si>
  <si>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</si>
  <si>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</si>
  <si>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</si>
  <si>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</si>
  <si>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</si>
  <si>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</si>
  <si>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</si>
  <si>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</si>
  <si>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</si>
  <si>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</si>
  <si>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</si>
  <si>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</si>
  <si>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</si>
  <si>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</si>
  <si>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</si>
  <si>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</si>
  <si>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</si>
  <si>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</si>
  <si>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</si>
  <si>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</si>
  <si>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</si>
  <si>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</si>
  <si>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</si>
  <si>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</si>
  <si>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</si>
  <si>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</si>
  <si>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</si>
  <si>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</si>
  <si>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</si>
  <si>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</si>
  <si>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</si>
  <si>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</si>
  <si>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</si>
  <si>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</si>
  <si>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</si>
  <si>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</si>
  <si>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</si>
  <si>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</si>
  <si>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</si>
  <si>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</si>
  <si>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</si>
  <si>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</si>
  <si>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</si>
  <si>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</si>
  <si>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</si>
  <si>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</si>
  <si>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</si>
  <si>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</si>
  <si>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</si>
  <si>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</si>
  <si>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</si>
  <si>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</si>
  <si>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</si>
  <si>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</si>
  <si>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</si>
  <si>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</si>
  <si>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</si>
  <si>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</si>
  <si>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</si>
  <si>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</si>
  <si>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</si>
  <si>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</si>
  <si>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</si>
  <si>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</si>
  <si>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</si>
  <si>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</si>
  <si>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</si>
  <si>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</si>
  <si>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</si>
  <si>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</si>
  <si>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</si>
  <si>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</si>
  <si>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</si>
  <si>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</si>
  <si>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</si>
  <si>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</si>
  <si>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</si>
  <si>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</si>
  <si>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</si>
  <si>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</si>
  <si>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</si>
  <si>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</si>
  <si>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</si>
  <si>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</si>
  <si>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</si>
  <si>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</si>
  <si>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</si>
  <si>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</si>
  <si>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</si>
  <si>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</si>
  <si>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</si>
  <si>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</si>
  <si>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</si>
  <si>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</si>
  <si>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</si>
  <si>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</si>
  <si>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</si>
  <si>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</si>
  <si>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</si>
  <si>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</si>
  <si>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</si>
  <si>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</si>
  <si>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</si>
  <si>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</si>
  <si>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</si>
  <si>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</si>
  <si>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</si>
  <si>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</si>
  <si>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</si>
  <si>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</si>
  <si>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</si>
  <si>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</si>
  <si>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</si>
  <si>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</si>
  <si>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</si>
  <si>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</si>
  <si>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</si>
  <si>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</si>
  <si>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</si>
  <si>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</si>
  <si>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</si>
  <si>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</si>
  <si>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</si>
  <si>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</si>
  <si>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</si>
  <si>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</si>
  <si>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</si>
  <si>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</si>
  <si>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</si>
  <si>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</si>
  <si>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</si>
  <si>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</si>
  <si>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</si>
  <si>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</si>
  <si>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</si>
  <si>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</si>
  <si>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</si>
  <si>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</si>
  <si>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</si>
  <si>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</si>
  <si>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</si>
  <si>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</si>
  <si>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</si>
  <si>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</si>
  <si>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</si>
  <si>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</si>
  <si>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</si>
  <si>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</si>
  <si>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</si>
  <si>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</si>
  <si>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</si>
  <si>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</si>
  <si>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</si>
  <si>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</si>
  <si>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</si>
  <si>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</si>
  <si>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</si>
  <si>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</si>
  <si>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</si>
  <si>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</si>
  <si>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</si>
  <si>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</si>
  <si>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</si>
  <si>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</si>
  <si>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</si>
  <si>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</si>
  <si>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</si>
  <si>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</si>
  <si>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</si>
  <si>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</si>
  <si>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</si>
  <si>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</si>
  <si>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</si>
  <si>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</si>
  <si>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</si>
  <si>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</si>
  <si>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</si>
  <si>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</si>
  <si>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</si>
  <si>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</si>
  <si>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</si>
  <si>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</si>
  <si>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</si>
  <si>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</si>
  <si>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</si>
  <si>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</si>
  <si>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</si>
  <si>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</si>
  <si>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</si>
  <si>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</si>
  <si>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</si>
  <si>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</si>
  <si>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</si>
  <si>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</si>
  <si>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</si>
  <si>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</si>
  <si>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</si>
  <si>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</si>
  <si>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</si>
  <si>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</si>
  <si>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</si>
  <si>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</si>
  <si>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</si>
  <si>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</si>
  <si>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</si>
  <si>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</si>
  <si>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</si>
  <si>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</si>
  <si>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</si>
  <si>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</si>
  <si>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</si>
  <si>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</si>
  <si>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</si>
  <si>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</si>
  <si>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</si>
  <si>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</si>
  <si>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</si>
  <si>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</si>
  <si>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</si>
  <si>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</si>
  <si>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</si>
  <si>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</si>
  <si>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</si>
  <si>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</si>
  <si>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</si>
  <si>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</si>
  <si>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</si>
  <si>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</si>
  <si>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</si>
  <si>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</si>
  <si>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</si>
  <si>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</si>
  <si>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</si>
  <si>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</si>
  <si>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</si>
  <si>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</si>
  <si>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</si>
  <si>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</si>
  <si>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</si>
  <si>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</si>
  <si>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</si>
  <si>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</si>
  <si>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</si>
  <si>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</si>
  <si>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</si>
  <si>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</si>
  <si>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</si>
  <si>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</si>
  <si>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</si>
  <si>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</si>
  <si>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</si>
  <si>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</si>
  <si>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</si>
  <si>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</si>
  <si>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</si>
  <si>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</si>
  <si>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</si>
  <si>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</si>
  <si>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</si>
  <si>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</si>
  <si>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</si>
  <si>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</si>
  <si>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</si>
  <si>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</si>
  <si>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</si>
  <si>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</si>
  <si>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</si>
  <si>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</si>
  <si>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</si>
  <si>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</si>
  <si>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</si>
  <si>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</si>
  <si>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</si>
  <si>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</si>
  <si>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</si>
  <si>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</si>
  <si>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</si>
  <si>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</si>
  <si>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</si>
  <si>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</si>
  <si>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</si>
  <si>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</si>
  <si>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</si>
  <si>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</si>
  <si>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</si>
  <si>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</si>
  <si>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</si>
  <si>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</si>
  <si>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</si>
  <si>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</si>
  <si>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</si>
  <si>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</si>
  <si>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</si>
  <si>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</si>
  <si>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</si>
  <si>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</si>
  <si>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</si>
  <si>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</si>
  <si>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</si>
  <si>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</si>
  <si>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</si>
  <si>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</si>
  <si>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</si>
  <si>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</si>
  <si>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</si>
  <si>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</si>
  <si>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</si>
  <si>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</si>
  <si>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</si>
  <si>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</si>
  <si>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</si>
  <si>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</si>
  <si>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</si>
  <si>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</si>
  <si>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</si>
  <si>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</si>
  <si>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</si>
  <si>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</si>
  <si>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</si>
  <si>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</si>
  <si>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</si>
  <si>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</si>
  <si>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</si>
  <si>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</si>
  <si>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</si>
  <si>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</si>
  <si>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</si>
  <si>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</si>
  <si>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</si>
  <si>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</si>
  <si>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</si>
  <si>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</si>
  <si>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</si>
  <si>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</si>
  <si>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</si>
  <si>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</si>
  <si>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</si>
  <si>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</si>
  <si>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</si>
  <si>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</si>
  <si>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</si>
  <si>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</si>
  <si>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</si>
  <si>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</si>
  <si>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</si>
  <si>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</si>
  <si>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</si>
  <si>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</si>
  <si>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</si>
  <si>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</si>
  <si>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</si>
  <si>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</si>
  <si>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</si>
  <si>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</si>
  <si>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</si>
  <si>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</si>
  <si>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</si>
  <si>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</si>
  <si>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</si>
  <si>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</si>
  <si>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</si>
  <si>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</si>
  <si>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</si>
  <si>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</si>
  <si>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</si>
  <si>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</si>
  <si>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</si>
  <si>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</si>
  <si>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</si>
  <si>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</si>
  <si>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</si>
  <si>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</si>
  <si>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</si>
  <si>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</si>
  <si>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</si>
  <si>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</si>
  <si>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</si>
  <si>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</si>
  <si>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</si>
  <si>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</si>
  <si>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</si>
  <si>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</si>
  <si>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</si>
  <si>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</si>
  <si>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</si>
  <si>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</si>
  <si>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</si>
  <si>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</si>
  <si>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</si>
  <si>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</si>
  <si>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</si>
  <si>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</si>
  <si>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</si>
  <si>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</si>
  <si>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</si>
  <si>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</si>
  <si>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</si>
  <si>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</si>
  <si>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</si>
  <si>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</si>
  <si>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</si>
  <si>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</si>
  <si>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</si>
  <si>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</si>
  <si>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</si>
  <si>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</si>
  <si>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</si>
  <si>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</si>
  <si>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</si>
  <si>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</si>
  <si>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</si>
  <si>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</si>
  <si>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</si>
  <si>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</si>
  <si>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</si>
  <si>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</si>
  <si>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</si>
  <si>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</si>
  <si>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</si>
  <si>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</si>
  <si>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</si>
  <si>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</si>
  <si>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</si>
  <si>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</si>
  <si>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</si>
  <si>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</si>
  <si>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</si>
  <si>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</si>
  <si>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</si>
  <si>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</si>
  <si>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</si>
  <si>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</si>
  <si>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</si>
  <si>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</si>
  <si>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</si>
  <si>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</si>
  <si>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</si>
  <si>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</si>
  <si>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</si>
  <si>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</si>
  <si>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</si>
  <si>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</si>
  <si>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</si>
  <si>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</si>
  <si>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</si>
  <si>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</si>
  <si>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</si>
  <si>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</si>
  <si>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</si>
  <si>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</si>
  <si>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</si>
  <si>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</si>
  <si>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</si>
  <si>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</si>
  <si>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</si>
  <si>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</si>
  <si>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</si>
  <si>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</si>
  <si>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</si>
  <si>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</si>
  <si>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</si>
  <si>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</si>
  <si>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</si>
  <si>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</si>
  <si>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</si>
  <si>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</si>
  <si>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</si>
  <si>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</si>
  <si>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</si>
  <si>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</si>
  <si>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</si>
  <si>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</si>
  <si>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</si>
  <si>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</si>
  <si>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</si>
  <si>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</si>
  <si>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</si>
  <si>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</si>
  <si>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</si>
  <si>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</si>
  <si>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</si>
  <si>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</si>
  <si>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</si>
  <si>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</si>
  <si>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</si>
  <si>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</si>
  <si>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</si>
  <si>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</si>
  <si>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</si>
  <si>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</si>
  <si>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</si>
  <si>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</si>
  <si>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</si>
  <si>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</si>
  <si>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</si>
  <si>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</si>
  <si>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</si>
  <si>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</si>
  <si>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</si>
  <si>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</si>
  <si>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</si>
  <si>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</si>
  <si>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</si>
  <si>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</si>
  <si>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</si>
  <si>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</si>
  <si>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</si>
  <si>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One row per legally enforceable netting set. 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</si>
  <si>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(N/CM/CLIENT)</t>
  </si>
  <si>
    <t>Margin agreements (blank/MIXED/SHARED)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</si>
  <si>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</si>
  <si>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</si>
  <si>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</si>
  <si>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</si>
  <si>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</si>
  <si>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</si>
  <si>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</si>
  <si>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</si>
  <si>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</si>
  <si>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</si>
  <si>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</si>
  <si>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</si>
  <si>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</si>
  <si>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</si>
  <si>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</si>
  <si>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</si>
  <si>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</si>
  <si>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</si>
  <si>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</si>
  <si>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</si>
  <si>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</si>
  <si>
    <t>One row per legally enforceable netting set. 
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</si>
  <si>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 / CM / CLIENT)</t>
  </si>
  <si>
    <t>Margin agreements (blank / MIXED / SHARED)</t>
  </si>
  <si>
    <t>DEMO-REJECTED</t>
  </si>
  <si>
    <t>Deliberately rejected trades (demo): OT-X is other risks under BCBS, A11 has matured</t>
  </si>
  <si>
    <t>Notional
CCY</t>
  </si>
  <si>
    <t>MtM
CCY</t>
  </si>
  <si>
    <t>Start date
(S)</t>
  </si>
  <si>
    <t>End date
(E)</t>
  </si>
  <si>
    <t>Maturity date
(M)</t>
  </si>
  <si>
    <t>Option expiry
(T)</t>
  </si>
  <si>
    <t>Underlying price
P</t>
  </si>
  <si>
    <t>Strike
K</t>
  </si>
  <si>
    <t>Lambda
shift</t>
  </si>
  <si>
    <t>Attachment
A</t>
  </si>
  <si>
    <t>Detachment
D</t>
  </si>
</sst>
</file>

<file path=xl/styles.xml><?xml version="1.0" encoding="utf-8"?>
<styleSheet xmlns="http://schemas.openxmlformats.org/spreadsheetml/2006/main">
  <numFmts count="15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  <numFmt numFmtId="178" formatCode="yyyy\-mm\-dd"/>
  </numFmts>
  <fonts count="51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sz val="10"/>
      <color rgb="FF595959"/>
      <name val="Aptos"/>
      <family val="2"/>
    </font>
    <font>
      <i/>
      <sz val="8"/>
      <color rgb="FF595959"/>
      <name val="Aptos"/>
      <family val="2"/>
    </font>
    <font>
      <sz val="10"/>
      <color rgb="FF595959"/>
      <name val="Aptos"/>
      <family val="2"/>
    </font>
    <font>
      <b/>
      <sz val="10"/>
      <color rgb="FFC00000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b/>
      <sz val="10"/>
      <color rgb="FF375623"/>
      <name val="Aptos"/>
      <family val="2"/>
    </font>
    <font>
      <b/>
      <sz val="10"/>
      <color rgb="FF9C0006"/>
      <name val="Aptos"/>
      <family val="2"/>
    </font>
    <font>
      <sz val="10"/>
      <color rgb="FF375623"/>
      <name val="Aptos"/>
      <family val="2"/>
    </font>
    <font>
      <sz val="14"/>
      <color theme="1"/>
      <name val="Aptos"/>
      <family val="2"/>
    </font>
    <font>
      <sz val="16"/>
      <color theme="1"/>
      <name val="Aptos"/>
      <family val="2"/>
    </font>
    <font>
      <sz val="11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  <font>
      <i/>
      <sz val="10"/>
      <color rgb="FF595959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1"/>
      <color theme="1"/>
      <name val="Aptos"/>
      <family val="2"/>
    </font>
    <font>
      <sz val="11"/>
      <color rgb="FFFFC00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8"/>
      <color theme="0"/>
      <name val="Aptos"/>
      <family val="2"/>
    </font>
    <font>
      <sz val="14"/>
      <color rgb="FFFFC000"/>
      <name val="Aptos"/>
      <family val="2"/>
    </font>
    <font>
      <b/>
      <sz val="10"/>
      <color rgb="FFFFFFFF"/>
      <name val="Aptos"/>
      <family val="2"/>
    </font>
    <font>
      <sz val="9"/>
      <color rgb="FF595959"/>
      <name val="Aptos"/>
      <family val="2"/>
    </font>
    <font>
      <b/>
      <sz val="11"/>
      <color rgb="FFFFFFFF"/>
      <name val="Aptos"/>
      <family val="2"/>
    </font>
    <font>
      <b/>
      <sz val="12"/>
      <color rgb="FFFFFFFF"/>
      <name val="Aptos"/>
      <family val="2"/>
    </font>
    <font>
      <sz val="9"/>
      <color theme="1"/>
      <name val="Aptos"/>
      <family val="2"/>
    </font>
    <font>
      <i/>
      <sz val="9"/>
      <color rgb="FF595959"/>
      <name val="Aptos"/>
      <family val="2"/>
    </font>
    <font>
      <b/>
      <sz val="9"/>
      <color rgb="FFFFFFFF"/>
      <name val="Aptos"/>
      <family val="2"/>
    </font>
    <font>
      <sz val="8"/>
      <color rgb="FF595959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none"/>
    </fill>
    <fill>
      <patternFill patternType="solid">
        <fgColor rgb="FFFFF2CC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65A9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 applyAlignment="1">
      <alignment vertical="center"/>
    </xf>
  </cellStyleXfs>
  <cellXfs count="18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7" borderId="4" xfId="0" applyFont="1" applyAlignment="1">
      <alignment vertical="center"/>
    </xf>
    <xf numFmtId="0" fontId="19" fillId="8" borderId="4" xfId="0" applyFont="1" applyFill="1" applyAlignment="1">
      <alignment vertical="center"/>
    </xf>
    <xf numFmtId="0" fontId="20" fillId="8" borderId="4" xfId="0" applyFont="1" applyFill="1" applyAlignment="1">
      <alignment vertical="center"/>
    </xf>
    <xf numFmtId="14" fontId="20" fillId="8" borderId="4" xfId="0" applyNumberFormat="1" applyFont="1" applyFill="1" applyAlignment="1">
      <alignment vertical="center"/>
    </xf>
    <xf numFmtId="14" fontId="18" fillId="7" borderId="4" xfId="0" applyNumberFormat="1" applyFont="1" applyAlignment="1">
      <alignment vertical="center"/>
    </xf>
    <xf numFmtId="0" fontId="21" fillId="9" borderId="4" xfId="0" applyFont="1" applyFill="1" applyAlignment="1">
      <alignment vertical="center"/>
    </xf>
    <xf numFmtId="0" fontId="18" fillId="9" borderId="4" xfId="0" applyFont="1" applyFill="1" applyAlignment="1">
      <alignment vertical="center"/>
    </xf>
    <xf numFmtId="14" fontId="18" fillId="9" borderId="4" xfId="0" applyNumberFormat="1" applyFont="1" applyFill="1" applyAlignment="1">
      <alignment vertical="center"/>
    </xf>
    <xf numFmtId="0" fontId="22" fillId="7" borderId="4" xfId="0" applyFont="1" applyAlignment="1">
      <alignment vertical="center"/>
    </xf>
    <xf numFmtId="0" fontId="23" fillId="7" borderId="4" xfId="0" applyFont="1" applyAlignment="1">
      <alignment vertical="center"/>
    </xf>
    <xf numFmtId="0" fontId="24" fillId="7" borderId="5" xfId="0" applyFont="1" applyBorder="1" applyAlignment="1">
      <alignment vertical="center"/>
    </xf>
    <xf numFmtId="0" fontId="28" fillId="7" borderId="5" xfId="0" applyFont="1" applyBorder="1" applyAlignment="1">
      <alignment vertical="center" wrapText="1"/>
    </xf>
    <xf numFmtId="0" fontId="25" fillId="7" borderId="4" xfId="0" applyFont="1" applyAlignment="1">
      <alignment vertical="center" wrapText="1"/>
    </xf>
    <xf numFmtId="0" fontId="18" fillId="7" borderId="4" xfId="0" applyFont="1" applyAlignment="1">
      <alignment vertical="center" wrapText="1"/>
    </xf>
    <xf numFmtId="0" fontId="26" fillId="7" borderId="4" xfId="0" applyFont="1" applyAlignment="1">
      <alignment vertical="center" wrapText="1"/>
    </xf>
    <xf numFmtId="0" fontId="26" fillId="7" borderId="4" xfId="0" applyFont="1" applyAlignment="1">
      <alignment vertical="center"/>
    </xf>
    <xf numFmtId="0" fontId="27" fillId="7" borderId="5" xfId="0" applyFont="1" applyBorder="1" applyAlignment="1">
      <alignment vertical="center"/>
    </xf>
    <xf numFmtId="0" fontId="29" fillId="10" borderId="6" xfId="0" applyFont="1">
      <alignment vertical="center"/>
    </xf>
    <xf numFmtId="0" fontId="30" fillId="10" borderId="6" xfId="0" applyFont="1">
      <alignment vertical="center"/>
    </xf>
    <xf numFmtId="49" fontId="31" fillId="11" borderId="7" xfId="0" applyNumberFormat="1" applyFont="1" applyFill="1" applyBorder="1">
      <alignment vertical="center"/>
    </xf>
    <xf numFmtId="0" fontId="32" fillId="12" borderId="8" xfId="0" applyFont="1" applyFill="1" applyBorder="1">
      <alignment vertical="center"/>
    </xf>
    <xf numFmtId="0" fontId="33" fillId="13" borderId="8" xfId="0" applyFont="1" applyFill="1" applyBorder="1">
      <alignment vertical="center"/>
    </xf>
    <xf numFmtId="14" fontId="33" fillId="13" borderId="8" xfId="0" applyNumberFormat="1" applyFont="1" applyFill="1" applyBorder="1">
      <alignment vertical="center"/>
    </xf>
    <xf numFmtId="14" fontId="32" fillId="12" borderId="8" xfId="0" applyNumberFormat="1" applyFont="1" applyFill="1" applyBorder="1">
      <alignment vertical="center"/>
    </xf>
    <xf numFmtId="0" fontId="32" fillId="14" borderId="8" xfId="0" applyFont="1" applyFill="1" applyBorder="1">
      <alignment vertical="center"/>
    </xf>
    <xf numFmtId="14" fontId="32" fillId="14" borderId="8" xfId="0" applyNumberFormat="1" applyFont="1" applyFill="1" applyBorder="1">
      <alignment vertical="center"/>
    </xf>
    <xf numFmtId="0" fontId="34" fillId="12" borderId="8" xfId="0" applyFont="1" applyFill="1" applyBorder="1">
      <alignment vertical="center"/>
    </xf>
    <xf numFmtId="0" fontId="35" fillId="12" borderId="8" xfId="0" applyFont="1" applyFill="1" applyBorder="1">
      <alignment vertical="center"/>
    </xf>
    <xf numFmtId="0" fontId="36" fillId="12" borderId="9" xfId="0" applyFont="1" applyFill="1" applyBorder="1">
      <alignment vertical="center"/>
    </xf>
    <xf numFmtId="0" fontId="37" fillId="12" borderId="9" xfId="0" applyFont="1" applyFill="1" applyBorder="1" applyAlignment="1">
      <alignment vertical="center" wrapText="1"/>
    </xf>
    <xf numFmtId="0" fontId="38" fillId="12" borderId="8" xfId="0" applyFont="1" applyFill="1" applyBorder="1" applyAlignment="1">
      <alignment vertical="center" wrapText="1"/>
    </xf>
    <xf numFmtId="0" fontId="32" fillId="12" borderId="8" xfId="0" applyFont="1" applyFill="1" applyBorder="1" applyAlignment="1">
      <alignment vertical="center" wrapText="1"/>
    </xf>
    <xf numFmtId="0" fontId="39" fillId="12" borderId="8" xfId="0" applyFont="1" applyFill="1" applyBorder="1" applyAlignment="1">
      <alignment vertical="center" wrapText="1"/>
    </xf>
    <xf numFmtId="0" fontId="39" fillId="12" borderId="8" xfId="0" applyFont="1" applyFill="1" applyBorder="1">
      <alignment vertical="center"/>
    </xf>
    <xf numFmtId="0" fontId="40" fillId="12" borderId="9" xfId="0" applyFont="1" applyFill="1" applyBorder="1">
      <alignment vertical="center"/>
    </xf>
    <xf numFmtId="0" fontId="41" fillId="14" borderId="8" xfId="0" applyFont="1" applyFill="1" applyBorder="1" applyAlignment="1">
      <alignment horizontal="left" vertical="center" indent="1"/>
    </xf>
    <xf numFmtId="0" fontId="42" fillId="13" borderId="8" xfId="0" applyFont="1" applyFill="1" applyBorder="1" applyAlignment="1">
      <alignment horizontal="left" vertical="center" indent="1"/>
    </xf>
    <xf numFmtId="0" fontId="43" fillId="15" borderId="8" xfId="0" applyFont="1" applyFill="1" applyBorder="1" applyAlignment="1">
      <alignment vertical="center" wrapText="1"/>
    </xf>
    <xf numFmtId="0" fontId="44" fillId="10" borderId="6" xfId="0" applyFont="1" applyAlignment="1">
      <alignment vertical="center"/>
    </xf>
    <xf numFmtId="0" fontId="45" fillId="15" borderId="7" xfId="0" applyFont="1" applyFill="1" applyBorder="1" applyAlignment="1">
      <alignment horizontal="center" vertical="center" wrapText="1"/>
    </xf>
    <xf numFmtId="0" fontId="45" fillId="15" borderId="7" xfId="0" applyFont="1" applyFill="1" applyBorder="1" applyAlignment="1">
      <alignment horizontal="left" vertical="center" wrapText="1"/>
    </xf>
    <xf numFmtId="0" fontId="46" fillId="15" borderId="7" xfId="0" applyFont="1" applyFill="1" applyBorder="1" applyAlignment="1">
      <alignment vertical="center" wrapText="1"/>
    </xf>
    <xf numFmtId="0" fontId="46" fillId="15" borderId="10" xfId="0" applyFont="1" applyFill="1" applyBorder="1" applyAlignment="1">
      <alignment vertical="center" wrapText="1"/>
    </xf>
    <xf numFmtId="0" fontId="46" fillId="15" borderId="7" xfId="0" applyFont="1" applyFill="1" applyBorder="1" applyAlignment="1">
      <alignment horizontal="center" vertical="center" wrapText="1"/>
    </xf>
    <xf numFmtId="0" fontId="47" fillId="10" borderId="6" xfId="0" applyFont="1" applyAlignment="1">
      <alignment horizontal="center" vertical="center"/>
    </xf>
    <xf numFmtId="10" fontId="47" fillId="11" borderId="7" xfId="0" applyNumberFormat="1" applyFont="1" applyFill="1" applyBorder="1" applyAlignment="1">
      <alignment horizontal="center" vertical="center"/>
    </xf>
    <xf numFmtId="9" fontId="47" fillId="11" borderId="7" xfId="0" applyNumberFormat="1" applyFont="1" applyFill="1" applyBorder="1" applyAlignment="1">
      <alignment horizontal="center" vertical="center"/>
    </xf>
    <xf numFmtId="0" fontId="47" fillId="11" borderId="7" xfId="0" applyFont="1" applyFill="1" applyBorder="1" applyAlignment="1">
      <alignment horizontal="center" vertical="center"/>
    </xf>
    <xf numFmtId="49" fontId="47" fillId="11" borderId="7" xfId="0" applyNumberFormat="1" applyFont="1" applyFill="1" applyBorder="1" applyAlignment="1">
      <alignment horizontal="center" vertical="center"/>
    </xf>
    <xf numFmtId="0" fontId="44" fillId="10" borderId="6" xfId="0" applyFont="1">
      <alignment vertical="center"/>
    </xf>
    <xf numFmtId="0" fontId="47" fillId="10" borderId="6" xfId="0" applyFont="1">
      <alignment vertical="center"/>
    </xf>
    <xf numFmtId="178" fontId="47" fillId="11" borderId="7" xfId="0" applyNumberFormat="1" applyFont="1" applyFill="1" applyBorder="1">
      <alignment vertical="center"/>
    </xf>
    <xf numFmtId="166" fontId="47" fillId="11" borderId="7" xfId="0" applyNumberFormat="1" applyFont="1" applyFill="1" applyBorder="1">
      <alignment vertical="center"/>
    </xf>
    <xf numFmtId="10" fontId="47" fillId="11" borderId="7" xfId="0" applyNumberFormat="1" applyFont="1" applyFill="1" applyBorder="1">
      <alignment vertical="center"/>
    </xf>
    <xf numFmtId="0" fontId="47" fillId="11" borderId="7" xfId="0" applyFont="1" applyFill="1" applyBorder="1">
      <alignment vertical="center"/>
    </xf>
    <xf numFmtId="169" fontId="47" fillId="11" borderId="7" xfId="0" applyNumberFormat="1" applyFont="1" applyFill="1" applyBorder="1">
      <alignment vertical="center"/>
    </xf>
    <xf numFmtId="0" fontId="48" fillId="10" borderId="6" xfId="0" applyFont="1" applyAlignment="1">
      <alignment vertical="center" wrapText="1"/>
    </xf>
    <xf numFmtId="0" fontId="46" fillId="15" borderId="10" xfId="0" applyFont="1" applyFill="1" applyBorder="1" applyAlignment="1">
      <alignment horizontal="center" vertical="center" wrapText="1"/>
    </xf>
    <xf numFmtId="0" fontId="37" fillId="10" borderId="11" xfId="0" applyFont="1" applyBorder="1">
      <alignment vertical="center"/>
    </xf>
    <xf numFmtId="0" fontId="19" fillId="8" borderId="0" xfId="0" applyFont="1" applyFill="1" applyBorder="1" applyAlignment="1">
      <alignment horizontal="left" vertical="center" indent="1"/>
    </xf>
    <xf numFmtId="14" fontId="20" fillId="8" borderId="0" xfId="0" applyNumberFormat="1" applyFont="1" applyFill="1" applyBorder="1">
      <alignment vertical="center"/>
    </xf>
    <xf numFmtId="0" fontId="20" fillId="8" borderId="0" xfId="0" applyFont="1" applyFill="1" applyBorder="1">
      <alignment vertical="center"/>
    </xf>
    <xf numFmtId="14" fontId="0" fillId="0" borderId="0" xfId="0" applyNumberFormat="1" applyFont="1" applyFill="1" applyBorder="1">
      <alignment vertical="center"/>
    </xf>
    <xf numFmtId="0" fontId="21" fillId="16" borderId="0" xfId="0" applyFont="1" applyFill="1" applyBorder="1" applyAlignment="1">
      <alignment horizontal="left" vertical="center" indent="1"/>
    </xf>
    <xf numFmtId="14" fontId="0" fillId="16" borderId="0" xfId="0" applyNumberFormat="1" applyFont="1" applyFill="1" applyBorder="1">
      <alignment vertical="center"/>
    </xf>
    <xf numFmtId="0" fontId="0" fillId="16" borderId="0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8" fillId="0" borderId="1" xfId="0" applyFont="1" applyFill="1" applyBorder="1" applyAlignment="1">
      <alignment vertical="center" wrapText="1"/>
    </xf>
    <xf numFmtId="0" fontId="3" fillId="0" borderId="1" xfId="0" applyFont="1" applyFill="1" applyBorder="1">
      <alignment vertical="center"/>
    </xf>
    <xf numFmtId="0" fontId="4" fillId="0" borderId="0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vertical="center" wrapText="1"/>
    </xf>
    <xf numFmtId="0" fontId="0" fillId="0" borderId="0" xfId="0" applyFont="1" applyFill="1" applyBorder="1" applyAlignment="1">
      <alignment vertical="center" wrapText="1"/>
    </xf>
    <xf numFmtId="0" fontId="12" fillId="0" borderId="0" xfId="0" applyFont="1" applyFill="1" applyBorder="1">
      <alignment vertical="center"/>
    </xf>
    <xf numFmtId="0" fontId="27" fillId="0" borderId="1" xfId="0" applyFont="1" applyFill="1" applyBorder="1">
      <alignment vertical="center"/>
    </xf>
    <xf numFmtId="0" fontId="0" fillId="0" borderId="0" xfId="0" applyFont="1" applyFill="1" applyBorder="1">
      <alignment vertical="center"/>
    </xf>
    <xf numFmtId="0" fontId="46" fillId="2" borderId="2" xfId="0" applyFont="1" applyFill="1" applyBorder="1" applyAlignment="1">
      <alignment vertical="center" wrapText="1"/>
    </xf>
    <xf numFmtId="0" fontId="46" fillId="2" borderId="10" xfId="0" applyFont="1" applyFill="1" applyBorder="1" applyAlignment="1">
      <alignment horizontal="center" vertical="center" wrapText="1"/>
    </xf>
    <xf numFmtId="0" fontId="46" fillId="2" borderId="10" xfId="0" applyFont="1" applyFill="1" applyBorder="1" applyAlignment="1">
      <alignment vertical="center" wrapText="1"/>
    </xf>
    <xf numFmtId="0" fontId="6" fillId="2" borderId="0" xfId="0" applyFont="1" applyFill="1" applyBorder="1" applyAlignment="1">
      <alignment vertical="center" wrapText="1"/>
    </xf>
    <xf numFmtId="0" fontId="4" fillId="0" borderId="0" xfId="0" applyFont="1" applyFill="1" applyBorder="1">
      <alignment vertical="center"/>
    </xf>
    <xf numFmtId="178" fontId="12" fillId="3" borderId="2" xfId="0" applyNumberFormat="1" applyFont="1" applyFill="1" applyBorder="1">
      <alignment vertical="center"/>
    </xf>
    <xf numFmtId="0" fontId="44" fillId="0" borderId="0" xfId="0" applyFont="1" applyFill="1" applyBorder="1">
      <alignment vertical="center"/>
    </xf>
    <xf numFmtId="49" fontId="12" fillId="3" borderId="2" xfId="0" applyNumberFormat="1" applyFont="1" applyFill="1" applyBorder="1" applyAlignment="1">
      <alignment horizontal="center" vertical="center"/>
    </xf>
    <xf numFmtId="166" fontId="12" fillId="3" borderId="2" xfId="0" applyNumberFormat="1" applyFont="1" applyFill="1" applyBorder="1">
      <alignment vertical="center"/>
    </xf>
    <xf numFmtId="10" fontId="12" fillId="3" borderId="2" xfId="0" applyNumberFormat="1" applyFont="1" applyFill="1" applyBorder="1">
      <alignment vertical="center"/>
    </xf>
    <xf numFmtId="0" fontId="12" fillId="3" borderId="2" xfId="0" applyFont="1" applyFill="1" applyBorder="1">
      <alignment vertical="center"/>
    </xf>
    <xf numFmtId="0" fontId="28" fillId="0" borderId="1" xfId="0" applyFont="1" applyFill="1" applyBorder="1">
      <alignment vertical="center"/>
    </xf>
    <xf numFmtId="0" fontId="46" fillId="2" borderId="2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9" fontId="12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left" vertical="center" wrapText="1"/>
    </xf>
    <xf numFmtId="0" fontId="45" fillId="2" borderId="2" xfId="0" applyFont="1" applyFill="1" applyBorder="1" applyAlignment="1">
      <alignment horizontal="center" vertical="center" wrapText="1"/>
    </xf>
    <xf numFmtId="49" fontId="5" fillId="3" borderId="2" xfId="0" applyNumberFormat="1" applyFont="1" applyFill="1" applyBorder="1">
      <alignment vertical="center"/>
    </xf>
    <xf numFmtId="169" fontId="12" fillId="3" borderId="2" xfId="0" applyNumberFormat="1" applyFont="1" applyFill="1" applyBorder="1">
      <alignment vertical="center"/>
    </xf>
    <xf numFmtId="0" fontId="48" fillId="0" borderId="0" xfId="0" applyFont="1" applyFill="1" applyBorder="1" applyAlignment="1">
      <alignment vertical="center" wrapText="1"/>
    </xf>
    <xf numFmtId="0" fontId="44" fillId="0" borderId="0" xfId="0" applyFont="1" applyAlignment="1">
      <alignment vertical="center"/>
    </xf>
    <xf numFmtId="0" fontId="49" fillId="2" borderId="2" xfId="0" applyFont="1" applyFill="1" applyBorder="1" applyAlignment="1">
      <alignment vertical="center" wrapText="1"/>
    </xf>
    <xf numFmtId="0" fontId="49" fillId="2" borderId="2" xfId="0" applyFont="1" applyFill="1" applyBorder="1" applyAlignment="1">
      <alignment horizontal="center" vertical="center" wrapText="1"/>
    </xf>
    <xf numFmtId="49" fontId="12" fillId="3" borderId="2" xfId="0" applyNumberFormat="1" applyFont="1" applyFill="1" applyBorder="1">
      <alignment vertical="center"/>
    </xf>
    <xf numFmtId="1" fontId="12" fillId="3" borderId="2" xfId="0" applyNumberFormat="1" applyFont="1" applyFill="1" applyBorder="1" applyAlignment="1">
      <alignment horizontal="center" vertical="center"/>
    </xf>
    <xf numFmtId="1" fontId="12" fillId="3" borderId="2" xfId="0" applyNumberFormat="1" applyFont="1" applyFill="1" applyBorder="1">
      <alignment vertical="center"/>
    </xf>
    <xf numFmtId="3" fontId="12" fillId="3" borderId="2" xfId="0" applyNumberFormat="1" applyFont="1" applyFill="1" applyBorder="1">
      <alignment vertical="center"/>
    </xf>
    <xf numFmtId="2" fontId="12" fillId="3" borderId="2" xfId="0" applyNumberFormat="1" applyFont="1" applyFill="1" applyBorder="1">
      <alignment vertical="center"/>
    </xf>
    <xf numFmtId="0" fontId="12" fillId="0" borderId="0" xfId="0" applyFont="1">
      <alignment vertical="center"/>
    </xf>
    <xf numFmtId="0" fontId="19" fillId="8" borderId="0" xfId="0" applyFont="1" applyFill="1" applyAlignment="1">
      <alignment horizontal="left" vertical="center"/>
    </xf>
    <xf numFmtId="14" fontId="20" fillId="8" borderId="0" xfId="0" applyNumberFormat="1" applyFont="1" applyFill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0" xfId="0" applyFont="1" applyFill="1" applyAlignment="1">
      <alignment horizontal="center" vertical="center"/>
    </xf>
    <xf numFmtId="0" fontId="21" fillId="16" borderId="0" xfId="0" applyFont="1" applyFill="1" applyAlignment="1">
      <alignment horizontal="left" vertical="center"/>
    </xf>
    <xf numFmtId="14" fontId="0" fillId="16" borderId="0" xfId="0" applyNumberFormat="1" applyFill="1" applyAlignment="1">
      <alignment vertical="center"/>
    </xf>
    <xf numFmtId="0" fontId="0" fillId="16" borderId="0" xfId="0" applyFill="1" applyAlignment="1">
      <alignment vertical="center"/>
    </xf>
    <xf numFmtId="0" fontId="0" fillId="1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0" fillId="0" borderId="0" xfId="0" applyFont="1" applyAlignment="1">
      <alignment horizontal="right" vertical="center" wrapText="1"/>
    </xf>
    <xf numFmtId="0" fontId="50" fillId="0" borderId="0" xfId="0" applyFont="1" applyAlignment="1">
      <alignment horizontal="center" vertical="center" wrapText="1"/>
    </xf>
    <xf numFmtId="0" fontId="45" fillId="2" borderId="2" xfId="0" applyFont="1" applyFill="1" applyBorder="1" applyAlignment="1">
      <alignment vertical="center" wrapText="1"/>
    </xf>
    <xf numFmtId="49" fontId="12" fillId="3" borderId="2" xfId="0" applyNumberFormat="1" applyFont="1" applyFill="1" applyBorder="1" applyAlignment="1">
      <alignment vertical="center"/>
    </xf>
    <xf numFmtId="3" fontId="12" fillId="3" borderId="2" xfId="0" applyNumberFormat="1" applyFont="1" applyFill="1" applyBorder="1" applyAlignment="1">
      <alignment vertical="center"/>
    </xf>
    <xf numFmtId="178" fontId="12" fillId="3" borderId="2" xfId="0" applyNumberFormat="1" applyFont="1" applyFill="1" applyBorder="1" applyAlignment="1">
      <alignment horizontal="center" vertical="center"/>
    </xf>
    <xf numFmtId="172" fontId="12" fillId="3" borderId="2" xfId="0" applyNumberFormat="1" applyFont="1" applyFill="1" applyBorder="1" applyAlignment="1">
      <alignment vertical="center"/>
    </xf>
    <xf numFmtId="173" fontId="12" fillId="3" borderId="2" xfId="0" applyNumberFormat="1" applyFont="1" applyFill="1" applyBorder="1" applyAlignment="1">
      <alignment vertical="center"/>
    </xf>
    <xf numFmtId="10" fontId="12" fillId="3" borderId="2" xfId="0" applyNumberFormat="1" applyFont="1" applyFill="1" applyBorder="1" applyAlignment="1">
      <alignment vertical="center"/>
    </xf>
    <xf numFmtId="0" fontId="12" fillId="3" borderId="2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1"/>
  <sheetViews>
    <sheetView showGridLines="0" tabSelected="1" zoomScale="120" zoomScaleNormal="120" workbookViewId="0">
      <pane ySplit="3" topLeftCell="A60" activePane="bottomLeft" state="frozen"/>
      <selection pane="bottomLeft" activeCell="D49" sqref="D49"/>
    </sheetView>
  </sheetViews>
  <sheetFormatPr defaultColWidth="0" defaultRowHeight="15" x14ac:dyDescent="0.25"/>
  <cols>
    <col min="1" max="2" width="4" style="132" customWidth="1"/>
    <col min="3" max="3" width="46" style="132" customWidth="1"/>
    <col min="4" max="4" width="126.875" style="132" customWidth="1"/>
    <col min="5" max="5" width="4.75" style="132" customWidth="1"/>
    <col min="6" max="24" width="0" style="132" hidden="1" customWidth="1"/>
    <col min="25" max="16384" width="9.125" style="132" hidden="1"/>
  </cols>
  <sheetData>
    <row r="1" spans="2:19" ht="24" customHeight="1" x14ac:dyDescent="0.25">
      <c r="B1" s="116" t="s">
        <v>0</v>
      </c>
      <c r="C1" s="117"/>
      <c r="D1" s="118"/>
      <c r="S1" s="119"/>
    </row>
    <row r="2" spans="2:19" ht="26.1" customHeight="1" x14ac:dyDescent="0.25">
      <c r="B2" s="120" t="s">
        <v>944</v>
      </c>
      <c r="C2" s="121"/>
      <c r="D2" s="122"/>
      <c r="S2" s="119"/>
    </row>
    <row r="3" spans="2:19" ht="33.950000000000003" customHeight="1" x14ac:dyDescent="0.25">
      <c r="C3" s="123"/>
    </row>
    <row r="4" spans="2:19" x14ac:dyDescent="0.25">
      <c r="C4" s="124" t="s">
        <v>1</v>
      </c>
    </row>
    <row r="5" spans="2:19" ht="9.9499999999999993" customHeight="1" x14ac:dyDescent="0.25"/>
    <row r="6" spans="2:19" ht="30" customHeight="1" x14ac:dyDescent="0.25">
      <c r="C6" s="125" t="s">
        <v>2</v>
      </c>
      <c r="D6" s="126"/>
    </row>
    <row r="7" spans="2:19" ht="30" customHeight="1" x14ac:dyDescent="0.25">
      <c r="C7" s="127" t="s">
        <v>3</v>
      </c>
      <c r="D7" s="128" t="s">
        <v>4</v>
      </c>
    </row>
    <row r="8" spans="2:19" ht="30" customHeight="1" x14ac:dyDescent="0.25">
      <c r="C8" s="127" t="s">
        <v>5</v>
      </c>
      <c r="D8" s="128" t="s">
        <v>6</v>
      </c>
    </row>
    <row r="9" spans="2:19" ht="30" customHeight="1" x14ac:dyDescent="0.25">
      <c r="C9" s="127" t="s">
        <v>7</v>
      </c>
      <c r="D9" s="128" t="s">
        <v>8</v>
      </c>
    </row>
    <row r="10" spans="2:19" ht="30" customHeight="1" x14ac:dyDescent="0.25">
      <c r="C10" s="127" t="s">
        <v>9</v>
      </c>
      <c r="D10" s="128" t="s">
        <v>10</v>
      </c>
    </row>
    <row r="11" spans="2:19" ht="30" customHeight="1" x14ac:dyDescent="0.25">
      <c r="C11" s="127" t="s">
        <v>11</v>
      </c>
      <c r="D11" s="128" t="s">
        <v>12</v>
      </c>
    </row>
    <row r="12" spans="2:19" ht="30" customHeight="1" x14ac:dyDescent="0.25">
      <c r="C12" s="127" t="s">
        <v>13</v>
      </c>
      <c r="D12" s="128" t="s">
        <v>14</v>
      </c>
    </row>
    <row r="13" spans="2:19" ht="30" customHeight="1" x14ac:dyDescent="0.25">
      <c r="C13" s="127" t="s">
        <v>15</v>
      </c>
      <c r="D13" s="128" t="s">
        <v>16</v>
      </c>
    </row>
    <row r="14" spans="2:19" ht="9.9499999999999993" customHeight="1" x14ac:dyDescent="0.25">
      <c r="C14" s="129"/>
      <c r="D14" s="130"/>
    </row>
    <row r="15" spans="2:19" ht="30" customHeight="1" x14ac:dyDescent="0.25">
      <c r="C15" s="125" t="s">
        <v>17</v>
      </c>
      <c r="D15" s="131"/>
    </row>
    <row r="16" spans="2:19" ht="30" customHeight="1" x14ac:dyDescent="0.25">
      <c r="C16" s="127" t="s">
        <v>18</v>
      </c>
      <c r="D16" s="128" t="s">
        <v>19</v>
      </c>
    </row>
    <row r="17" spans="3:4" ht="30" customHeight="1" x14ac:dyDescent="0.25">
      <c r="C17" s="127" t="s">
        <v>20</v>
      </c>
      <c r="D17" s="128" t="s">
        <v>21</v>
      </c>
    </row>
    <row r="18" spans="3:4" ht="24" x14ac:dyDescent="0.25">
      <c r="C18" s="127" t="s">
        <v>22</v>
      </c>
      <c r="D18" s="128" t="s">
        <v>903</v>
      </c>
    </row>
    <row r="19" spans="3:4" ht="30" customHeight="1" x14ac:dyDescent="0.25">
      <c r="C19" s="127" t="s">
        <v>24</v>
      </c>
      <c r="D19" s="128" t="s">
        <v>25</v>
      </c>
    </row>
    <row r="20" spans="3:4" ht="30" customHeight="1" x14ac:dyDescent="0.25">
      <c r="C20" s="127" t="s">
        <v>26</v>
      </c>
      <c r="D20" s="128" t="s">
        <v>27</v>
      </c>
    </row>
    <row r="21" spans="3:4" ht="30" customHeight="1" x14ac:dyDescent="0.25">
      <c r="C21" s="127" t="s">
        <v>28</v>
      </c>
      <c r="D21" s="128" t="s">
        <v>29</v>
      </c>
    </row>
    <row r="22" spans="3:4" ht="30" customHeight="1" x14ac:dyDescent="0.25">
      <c r="C22" s="127" t="s">
        <v>30</v>
      </c>
      <c r="D22" s="128" t="s">
        <v>31</v>
      </c>
    </row>
    <row r="23" spans="3:4" ht="9.9499999999999993" customHeight="1" x14ac:dyDescent="0.25">
      <c r="C23" s="129"/>
      <c r="D23" s="130"/>
    </row>
    <row r="24" spans="3:4" ht="30" customHeight="1" x14ac:dyDescent="0.25">
      <c r="C24" s="125" t="s">
        <v>32</v>
      </c>
      <c r="D24" s="131"/>
    </row>
    <row r="25" spans="3:4" ht="30" customHeight="1" x14ac:dyDescent="0.25">
      <c r="C25" s="127" t="s">
        <v>33</v>
      </c>
      <c r="D25" s="128" t="s">
        <v>917</v>
      </c>
    </row>
    <row r="26" spans="3:4" ht="30" customHeight="1" x14ac:dyDescent="0.25">
      <c r="C26" s="127" t="s">
        <v>35</v>
      </c>
      <c r="D26" s="128" t="s">
        <v>36</v>
      </c>
    </row>
    <row r="27" spans="3:4" ht="30" customHeight="1" x14ac:dyDescent="0.25">
      <c r="C27" s="127" t="s">
        <v>37</v>
      </c>
      <c r="D27" s="128" t="s">
        <v>38</v>
      </c>
    </row>
    <row r="28" spans="3:4" ht="30" customHeight="1" x14ac:dyDescent="0.25">
      <c r="C28" s="127" t="s">
        <v>39</v>
      </c>
      <c r="D28" s="128" t="s">
        <v>40</v>
      </c>
    </row>
    <row r="29" spans="3:4" ht="30" customHeight="1" x14ac:dyDescent="0.25">
      <c r="C29" s="127" t="s">
        <v>41</v>
      </c>
      <c r="D29" s="128" t="s">
        <v>42</v>
      </c>
    </row>
    <row r="30" spans="3:4" ht="30" customHeight="1" x14ac:dyDescent="0.25">
      <c r="C30" s="127" t="s">
        <v>43</v>
      </c>
      <c r="D30" s="128" t="s">
        <v>918</v>
      </c>
    </row>
    <row r="31" spans="3:4" ht="30" customHeight="1" x14ac:dyDescent="0.25">
      <c r="C31" s="127" t="s">
        <v>45</v>
      </c>
      <c r="D31" s="128" t="s">
        <v>904</v>
      </c>
    </row>
    <row r="32" spans="3:4" ht="30" customHeight="1" x14ac:dyDescent="0.25">
      <c r="C32" s="127" t="s">
        <v>47</v>
      </c>
      <c r="D32" s="128" t="s">
        <v>48</v>
      </c>
    </row>
    <row r="33" spans="3:4" ht="30" customHeight="1" x14ac:dyDescent="0.25">
      <c r="C33" s="127" t="s">
        <v>49</v>
      </c>
      <c r="D33" s="128" t="s">
        <v>50</v>
      </c>
    </row>
    <row r="34" spans="3:4" ht="30" customHeight="1" x14ac:dyDescent="0.25">
      <c r="C34" s="127" t="s">
        <v>51</v>
      </c>
      <c r="D34" s="128" t="s">
        <v>52</v>
      </c>
    </row>
    <row r="35" spans="3:4" ht="30" customHeight="1" x14ac:dyDescent="0.25">
      <c r="C35" s="127" t="s">
        <v>53</v>
      </c>
      <c r="D35" s="128" t="s">
        <v>54</v>
      </c>
    </row>
    <row r="36" spans="3:4" ht="9.9499999999999993" customHeight="1" x14ac:dyDescent="0.25">
      <c r="C36" s="129"/>
      <c r="D36" s="130"/>
    </row>
    <row r="37" spans="3:4" ht="30" customHeight="1" x14ac:dyDescent="0.25">
      <c r="C37" s="125" t="s">
        <v>55</v>
      </c>
      <c r="D37" s="131"/>
    </row>
    <row r="38" spans="3:4" ht="30" customHeight="1" x14ac:dyDescent="0.25">
      <c r="C38" s="127" t="s">
        <v>56</v>
      </c>
      <c r="D38" s="128" t="s">
        <v>57</v>
      </c>
    </row>
    <row r="39" spans="3:4" ht="30" customHeight="1" x14ac:dyDescent="0.25">
      <c r="C39" s="127" t="s">
        <v>58</v>
      </c>
      <c r="D39" s="128" t="s">
        <v>59</v>
      </c>
    </row>
    <row r="40" spans="3:4" ht="30" customHeight="1" x14ac:dyDescent="0.25">
      <c r="C40" s="127" t="s">
        <v>60</v>
      </c>
      <c r="D40" s="128" t="s">
        <v>61</v>
      </c>
    </row>
    <row r="41" spans="3:4" ht="30" customHeight="1" x14ac:dyDescent="0.25">
      <c r="C41" s="127" t="s">
        <v>62</v>
      </c>
      <c r="D41" s="128" t="s">
        <v>63</v>
      </c>
    </row>
    <row r="42" spans="3:4" ht="30" customHeight="1" x14ac:dyDescent="0.25">
      <c r="C42" s="127" t="s">
        <v>64</v>
      </c>
      <c r="D42" s="128" t="s">
        <v>65</v>
      </c>
    </row>
    <row r="43" spans="3:4" ht="30" customHeight="1" x14ac:dyDescent="0.25">
      <c r="C43" s="127" t="s">
        <v>66</v>
      </c>
      <c r="D43" s="128" t="s">
        <v>67</v>
      </c>
    </row>
    <row r="44" spans="3:4" ht="30" customHeight="1" x14ac:dyDescent="0.25">
      <c r="C44" s="127" t="s">
        <v>68</v>
      </c>
      <c r="D44" s="128" t="s">
        <v>69</v>
      </c>
    </row>
    <row r="45" spans="3:4" ht="30" customHeight="1" x14ac:dyDescent="0.25">
      <c r="C45" s="127" t="s">
        <v>70</v>
      </c>
      <c r="D45" s="128" t="s">
        <v>71</v>
      </c>
    </row>
    <row r="46" spans="3:4" ht="30" customHeight="1" x14ac:dyDescent="0.25">
      <c r="C46" s="127" t="s">
        <v>72</v>
      </c>
      <c r="D46" s="128" t="s">
        <v>73</v>
      </c>
    </row>
    <row r="47" spans="3:4" ht="30" customHeight="1" x14ac:dyDescent="0.25">
      <c r="C47" s="127" t="s">
        <v>74</v>
      </c>
      <c r="D47" s="128" t="s">
        <v>75</v>
      </c>
    </row>
    <row r="48" spans="3:4" ht="30" customHeight="1" x14ac:dyDescent="0.25">
      <c r="C48" s="127" t="s">
        <v>76</v>
      </c>
      <c r="D48" s="128" t="s">
        <v>77</v>
      </c>
    </row>
    <row r="49" spans="3:4" ht="9.9499999999999993" customHeight="1" x14ac:dyDescent="0.25">
      <c r="C49" s="129"/>
      <c r="D49" s="130"/>
    </row>
    <row r="50" spans="3:4" ht="30" customHeight="1" x14ac:dyDescent="0.25">
      <c r="C50" s="125" t="s">
        <v>78</v>
      </c>
      <c r="D50" s="131"/>
    </row>
    <row r="51" spans="3:4" ht="30" customHeight="1" x14ac:dyDescent="0.25">
      <c r="C51" s="127" t="s">
        <v>79</v>
      </c>
      <c r="D51" s="128" t="s">
        <v>80</v>
      </c>
    </row>
    <row r="52" spans="3:4" ht="30" customHeight="1" x14ac:dyDescent="0.25">
      <c r="C52" s="127" t="s">
        <v>81</v>
      </c>
      <c r="D52" s="128" t="s">
        <v>41</v>
      </c>
    </row>
    <row r="53" spans="3:4" ht="30" customHeight="1" x14ac:dyDescent="0.25">
      <c r="C53" s="127" t="s">
        <v>82</v>
      </c>
      <c r="D53" s="128" t="s">
        <v>83</v>
      </c>
    </row>
    <row r="54" spans="3:4" ht="30" customHeight="1" x14ac:dyDescent="0.25">
      <c r="C54" s="127" t="s">
        <v>84</v>
      </c>
      <c r="D54" s="128" t="s">
        <v>85</v>
      </c>
    </row>
    <row r="55" spans="3:4" ht="30" customHeight="1" x14ac:dyDescent="0.25">
      <c r="C55" s="127" t="s">
        <v>86</v>
      </c>
      <c r="D55" s="128" t="s">
        <v>87</v>
      </c>
    </row>
    <row r="56" spans="3:4" ht="30" customHeight="1" x14ac:dyDescent="0.25">
      <c r="C56" s="127" t="s">
        <v>88</v>
      </c>
      <c r="D56" s="128" t="s">
        <v>89</v>
      </c>
    </row>
    <row r="57" spans="3:4" ht="30" customHeight="1" x14ac:dyDescent="0.25">
      <c r="C57" s="127" t="s">
        <v>90</v>
      </c>
      <c r="D57" s="128" t="s">
        <v>91</v>
      </c>
    </row>
    <row r="58" spans="3:4" ht="30" customHeight="1" x14ac:dyDescent="0.25">
      <c r="C58" s="127" t="s">
        <v>92</v>
      </c>
      <c r="D58" s="128" t="s">
        <v>93</v>
      </c>
    </row>
    <row r="59" spans="3:4" ht="30" customHeight="1" x14ac:dyDescent="0.25">
      <c r="C59" s="127" t="s">
        <v>94</v>
      </c>
      <c r="D59" s="128" t="s">
        <v>95</v>
      </c>
    </row>
    <row r="60" spans="3:4" ht="30" customHeight="1" x14ac:dyDescent="0.25">
      <c r="C60" s="127" t="s">
        <v>96</v>
      </c>
      <c r="D60" s="128" t="s">
        <v>97</v>
      </c>
    </row>
    <row r="61" spans="3:4" ht="9.9499999999999993" customHeight="1" x14ac:dyDescent="0.25">
      <c r="C61" s="129"/>
      <c r="D61" s="130"/>
    </row>
    <row r="62" spans="3:4" ht="30" customHeight="1" x14ac:dyDescent="0.25">
      <c r="C62" s="125" t="s">
        <v>98</v>
      </c>
      <c r="D62" s="131"/>
    </row>
    <row r="63" spans="3:4" ht="36" x14ac:dyDescent="0.25">
      <c r="C63" s="127" t="s">
        <v>99</v>
      </c>
      <c r="D63" s="128" t="s">
        <v>905</v>
      </c>
    </row>
    <row r="64" spans="3:4" ht="30" customHeight="1" x14ac:dyDescent="0.25">
      <c r="C64" s="127" t="s">
        <v>907</v>
      </c>
      <c r="D64" s="128" t="s">
        <v>906</v>
      </c>
    </row>
    <row r="65" spans="3:4" ht="30" customHeight="1" x14ac:dyDescent="0.25">
      <c r="C65" s="127" t="s">
        <v>103</v>
      </c>
      <c r="D65" s="128" t="s">
        <v>919</v>
      </c>
    </row>
    <row r="66" spans="3:4" ht="30" customHeight="1" x14ac:dyDescent="0.25">
      <c r="C66" s="127" t="s">
        <v>105</v>
      </c>
      <c r="D66" s="128" t="s">
        <v>943</v>
      </c>
    </row>
    <row r="67" spans="3:4" ht="30" customHeight="1" x14ac:dyDescent="0.25">
      <c r="C67" s="127" t="s">
        <v>107</v>
      </c>
      <c r="D67" s="128" t="s">
        <v>108</v>
      </c>
    </row>
    <row r="68" spans="3:4" ht="30" customHeight="1" x14ac:dyDescent="0.25">
      <c r="C68" s="127" t="s">
        <v>109</v>
      </c>
      <c r="D68" s="128" t="s">
        <v>110</v>
      </c>
    </row>
    <row r="69" spans="3:4" ht="9.9499999999999993" customHeight="1" x14ac:dyDescent="0.25">
      <c r="C69" s="129"/>
      <c r="D69" s="130"/>
    </row>
    <row r="70" spans="3:4" ht="30" customHeight="1" x14ac:dyDescent="0.25">
      <c r="C70" s="125" t="s">
        <v>111</v>
      </c>
      <c r="D70" s="131"/>
    </row>
    <row r="71" spans="3:4" ht="30" customHeight="1" x14ac:dyDescent="0.25">
      <c r="C71" s="127" t="s">
        <v>112</v>
      </c>
      <c r="D71" s="128" t="s">
        <v>113</v>
      </c>
    </row>
  </sheetData>
  <pageMargins left="0.4" right="0.4" top="0.5" bottom="0.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Params">
    <tabColor rgb="FFBF9000"/>
    <pageSetUpPr fitToPage="1"/>
  </sheetPr>
  <dimension ref="A1:X64"/>
  <sheetViews>
    <sheetView showGridLines="0" topLeftCell="B1" zoomScaleNormal="100" workbookViewId="0">
      <pane ySplit="3" topLeftCell="A38" activePane="bottomLeft" state="frozen"/>
      <selection pane="bottomLeft" activeCell="E3" sqref="E3"/>
    </sheetView>
  </sheetViews>
  <sheetFormatPr defaultColWidth="0" defaultRowHeight="15" x14ac:dyDescent="0.25"/>
  <cols>
    <col min="1" max="2" width="4" customWidth="1"/>
    <col min="3" max="3" width="25.625" customWidth="1"/>
    <col min="4" max="4" width="50.625" customWidth="1"/>
    <col min="5" max="10" width="15.625" customWidth="1"/>
    <col min="11" max="11" width="40.625" customWidth="1"/>
    <col min="12" max="12" width="9" customWidth="1"/>
    <col min="13" max="24" width="0" hidden="1" customWidth="1"/>
    <col min="25" max="16384" width="9" hidden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S1" s="119"/>
    </row>
    <row r="2" spans="2:19" s="132" customFormat="1" ht="26.1" customHeight="1" x14ac:dyDescent="0.25">
      <c r="B2" s="120" t="s">
        <v>114</v>
      </c>
      <c r="C2" s="121"/>
      <c r="D2" s="122"/>
      <c r="E2" s="122"/>
      <c r="F2" s="122"/>
      <c r="G2" s="122"/>
      <c r="H2" s="122"/>
      <c r="I2" s="122"/>
      <c r="J2" s="122"/>
      <c r="K2" s="122"/>
      <c r="S2" s="119"/>
    </row>
    <row r="3" spans="2:19" ht="30" customHeight="1" x14ac:dyDescent="0.25">
      <c r="C3" s="124" t="s">
        <v>115</v>
      </c>
    </row>
    <row r="4" spans="2:19" ht="9.9499999999999993" customHeight="1" x14ac:dyDescent="0.25"/>
    <row r="5" spans="2:19" ht="30" customHeight="1" x14ac:dyDescent="0.25">
      <c r="C5" s="133" t="s">
        <v>111</v>
      </c>
      <c r="D5" s="133" t="s">
        <v>116</v>
      </c>
      <c r="E5" s="134" t="s">
        <v>117</v>
      </c>
      <c r="F5" s="135" t="s">
        <v>118</v>
      </c>
      <c r="G5" s="136"/>
      <c r="H5" s="136"/>
      <c r="I5" s="136"/>
      <c r="J5" s="136"/>
      <c r="K5" s="136"/>
    </row>
    <row r="6" spans="2:19" ht="20.100000000000001" customHeight="1" x14ac:dyDescent="0.25">
      <c r="C6" s="137" t="s">
        <v>119</v>
      </c>
      <c r="D6" s="130" t="s">
        <v>120</v>
      </c>
      <c r="E6" s="138">
        <v>46295</v>
      </c>
      <c r="F6" s="139"/>
      <c r="G6" s="130"/>
      <c r="H6" s="130"/>
      <c r="I6" s="130"/>
      <c r="J6" s="130"/>
    </row>
    <row r="7" spans="2:19" ht="20.100000000000001" customHeight="1" x14ac:dyDescent="0.25">
      <c r="C7" s="137" t="s">
        <v>121</v>
      </c>
      <c r="D7" s="130" t="s">
        <v>122</v>
      </c>
      <c r="E7" s="140" t="s">
        <v>123</v>
      </c>
      <c r="F7" s="139"/>
      <c r="G7" s="130"/>
      <c r="H7" s="130"/>
      <c r="I7" s="130"/>
      <c r="J7" s="130"/>
    </row>
    <row r="8" spans="2:19" ht="20.100000000000001" customHeight="1" x14ac:dyDescent="0.25">
      <c r="C8" s="137" t="s">
        <v>124</v>
      </c>
      <c r="D8" s="130" t="s">
        <v>125</v>
      </c>
      <c r="E8" s="141">
        <v>1.4</v>
      </c>
      <c r="F8" s="139" t="s">
        <v>126</v>
      </c>
      <c r="G8" s="130"/>
      <c r="H8" s="130"/>
      <c r="I8" s="130"/>
      <c r="J8" s="130"/>
    </row>
    <row r="9" spans="2:19" ht="20.100000000000001" customHeight="1" x14ac:dyDescent="0.25">
      <c r="C9" s="137" t="s">
        <v>127</v>
      </c>
      <c r="D9" s="130" t="s">
        <v>128</v>
      </c>
      <c r="E9" s="142">
        <v>0.05</v>
      </c>
      <c r="F9" s="139" t="s">
        <v>129</v>
      </c>
      <c r="G9" s="130"/>
      <c r="H9" s="130"/>
      <c r="I9" s="130"/>
      <c r="J9" s="130"/>
    </row>
    <row r="10" spans="2:19" ht="20.100000000000001" customHeight="1" x14ac:dyDescent="0.25">
      <c r="C10" s="137" t="s">
        <v>130</v>
      </c>
      <c r="D10" s="130" t="s">
        <v>131</v>
      </c>
      <c r="E10" s="141">
        <v>365</v>
      </c>
      <c r="F10" s="139"/>
      <c r="G10" s="130"/>
      <c r="H10" s="130"/>
      <c r="I10" s="130"/>
      <c r="J10" s="130"/>
    </row>
    <row r="11" spans="2:19" ht="20.100000000000001" customHeight="1" x14ac:dyDescent="0.25">
      <c r="C11" s="137" t="s">
        <v>132</v>
      </c>
      <c r="D11" s="130" t="s">
        <v>133</v>
      </c>
      <c r="E11" s="141">
        <v>250</v>
      </c>
      <c r="F11" s="139" t="s">
        <v>134</v>
      </c>
      <c r="G11" s="130"/>
      <c r="H11" s="130"/>
      <c r="I11" s="130"/>
      <c r="J11" s="130"/>
    </row>
    <row r="12" spans="2:19" ht="20.100000000000001" customHeight="1" x14ac:dyDescent="0.25">
      <c r="C12" s="137" t="s">
        <v>135</v>
      </c>
      <c r="D12" s="130" t="s">
        <v>136</v>
      </c>
      <c r="E12" s="141">
        <v>10</v>
      </c>
      <c r="F12" s="139" t="s">
        <v>137</v>
      </c>
      <c r="G12" s="130"/>
      <c r="H12" s="130"/>
      <c r="I12" s="130"/>
      <c r="J12" s="130"/>
    </row>
    <row r="13" spans="2:19" ht="20.100000000000001" customHeight="1" x14ac:dyDescent="0.25">
      <c r="C13" s="137" t="s">
        <v>138</v>
      </c>
      <c r="D13" s="130" t="s">
        <v>139</v>
      </c>
      <c r="E13" s="141">
        <v>10</v>
      </c>
      <c r="F13" s="139" t="s">
        <v>140</v>
      </c>
      <c r="G13" s="130"/>
      <c r="H13" s="130"/>
      <c r="I13" s="130"/>
      <c r="J13" s="130"/>
    </row>
    <row r="14" spans="2:19" ht="20.100000000000001" customHeight="1" x14ac:dyDescent="0.25">
      <c r="C14" s="137" t="s">
        <v>141</v>
      </c>
      <c r="D14" s="130" t="s">
        <v>142</v>
      </c>
      <c r="E14" s="141">
        <v>10</v>
      </c>
      <c r="F14" s="139" t="s">
        <v>143</v>
      </c>
      <c r="G14" s="130"/>
      <c r="H14" s="130"/>
      <c r="I14" s="130"/>
      <c r="J14" s="130"/>
    </row>
    <row r="15" spans="2:19" ht="20.100000000000001" customHeight="1" x14ac:dyDescent="0.25">
      <c r="C15" s="137" t="s">
        <v>144</v>
      </c>
      <c r="D15" s="130" t="s">
        <v>920</v>
      </c>
      <c r="E15" s="141">
        <v>5</v>
      </c>
      <c r="F15" s="139" t="s">
        <v>146</v>
      </c>
      <c r="G15" s="130"/>
      <c r="H15" s="130"/>
      <c r="I15" s="130"/>
      <c r="J15" s="130"/>
    </row>
    <row r="16" spans="2:19" ht="20.100000000000001" customHeight="1" x14ac:dyDescent="0.25">
      <c r="C16" s="137" t="s">
        <v>147</v>
      </c>
      <c r="D16" s="130" t="s">
        <v>148</v>
      </c>
      <c r="E16" s="141">
        <v>20</v>
      </c>
      <c r="F16" s="139" t="s">
        <v>143</v>
      </c>
      <c r="G16" s="130"/>
      <c r="H16" s="130"/>
      <c r="I16" s="130"/>
      <c r="J16" s="130"/>
    </row>
    <row r="17" spans="3:11" ht="20.100000000000001" customHeight="1" x14ac:dyDescent="0.25">
      <c r="C17" s="137" t="s">
        <v>149</v>
      </c>
      <c r="D17" s="130" t="s">
        <v>150</v>
      </c>
      <c r="E17" s="141">
        <v>0.5</v>
      </c>
      <c r="F17" s="139" t="s">
        <v>151</v>
      </c>
      <c r="G17" s="130"/>
      <c r="H17" s="130"/>
      <c r="I17" s="130"/>
      <c r="J17" s="130"/>
    </row>
    <row r="18" spans="3:11" ht="20.100000000000001" customHeight="1" x14ac:dyDescent="0.25">
      <c r="C18" s="137" t="s">
        <v>152</v>
      </c>
      <c r="D18" s="130" t="s">
        <v>153</v>
      </c>
      <c r="E18" s="141">
        <v>5</v>
      </c>
      <c r="F18" s="139" t="s">
        <v>154</v>
      </c>
      <c r="G18" s="130"/>
      <c r="H18" s="130"/>
      <c r="I18" s="130"/>
      <c r="J18" s="130"/>
    </row>
    <row r="19" spans="3:11" ht="20.100000000000001" customHeight="1" x14ac:dyDescent="0.25">
      <c r="C19" s="137" t="s">
        <v>155</v>
      </c>
      <c r="D19" s="130" t="s">
        <v>156</v>
      </c>
      <c r="E19" s="141">
        <v>0.7</v>
      </c>
      <c r="F19" s="139" t="s">
        <v>157</v>
      </c>
      <c r="G19" s="130"/>
      <c r="H19" s="130"/>
      <c r="I19" s="130"/>
      <c r="J19" s="130"/>
    </row>
    <row r="20" spans="3:11" ht="20.100000000000001" customHeight="1" x14ac:dyDescent="0.25">
      <c r="C20" s="137" t="s">
        <v>158</v>
      </c>
      <c r="D20" s="130" t="s">
        <v>159</v>
      </c>
      <c r="E20" s="141">
        <v>0.7</v>
      </c>
      <c r="F20" s="139" t="s">
        <v>157</v>
      </c>
      <c r="G20" s="130"/>
      <c r="H20" s="130"/>
      <c r="I20" s="130"/>
      <c r="J20" s="130"/>
    </row>
    <row r="21" spans="3:11" ht="20.100000000000001" customHeight="1" x14ac:dyDescent="0.25">
      <c r="C21" s="137" t="s">
        <v>160</v>
      </c>
      <c r="D21" s="130" t="s">
        <v>161</v>
      </c>
      <c r="E21" s="141">
        <v>0.3</v>
      </c>
      <c r="F21" s="139" t="s">
        <v>157</v>
      </c>
      <c r="G21" s="130"/>
      <c r="H21" s="130"/>
      <c r="I21" s="130"/>
      <c r="J21" s="130"/>
    </row>
    <row r="22" spans="3:11" ht="20.100000000000001" customHeight="1" x14ac:dyDescent="0.25">
      <c r="C22" s="137" t="s">
        <v>162</v>
      </c>
      <c r="D22" s="130" t="s">
        <v>163</v>
      </c>
      <c r="E22" s="143" t="b">
        <v>1</v>
      </c>
      <c r="F22" s="139" t="s">
        <v>908</v>
      </c>
      <c r="G22" s="130"/>
      <c r="H22" s="130"/>
      <c r="I22" s="130"/>
      <c r="J22" s="130"/>
    </row>
    <row r="23" spans="3:11" ht="20.100000000000001" customHeight="1" x14ac:dyDescent="0.25">
      <c r="C23" s="137" t="s">
        <v>165</v>
      </c>
      <c r="D23" s="130" t="s">
        <v>166</v>
      </c>
      <c r="E23" s="140" t="s">
        <v>167</v>
      </c>
      <c r="F23" s="139" t="s">
        <v>168</v>
      </c>
      <c r="G23" s="130"/>
      <c r="H23" s="130"/>
      <c r="I23" s="139" t="s">
        <v>174</v>
      </c>
      <c r="J23" s="130"/>
    </row>
    <row r="24" spans="3:11" ht="20.100000000000001" customHeight="1" x14ac:dyDescent="0.25">
      <c r="C24" s="137" t="s">
        <v>169</v>
      </c>
      <c r="D24" s="130" t="s">
        <v>170</v>
      </c>
      <c r="E24" s="142">
        <v>1E-3</v>
      </c>
      <c r="F24" s="139" t="s">
        <v>171</v>
      </c>
      <c r="G24" s="130"/>
      <c r="H24" s="130"/>
      <c r="I24" s="130"/>
      <c r="J24" s="130"/>
    </row>
    <row r="25" spans="3:11" ht="20.100000000000001" customHeight="1" x14ac:dyDescent="0.25">
      <c r="C25" s="137" t="s">
        <v>172</v>
      </c>
      <c r="D25" s="130" t="s">
        <v>173</v>
      </c>
      <c r="E25" s="141">
        <v>0.1</v>
      </c>
      <c r="F25" s="139" t="s">
        <v>171</v>
      </c>
      <c r="G25" s="130"/>
      <c r="H25" s="130"/>
      <c r="I25" s="130"/>
      <c r="J25" s="130"/>
    </row>
    <row r="26" spans="3:11" ht="9.9499999999999993" customHeight="1" x14ac:dyDescent="0.25"/>
    <row r="27" spans="3:11" ht="20.100000000000001" customHeight="1" x14ac:dyDescent="0.25">
      <c r="C27" s="144" t="s">
        <v>175</v>
      </c>
    </row>
    <row r="28" spans="3:11" ht="30" customHeight="1" x14ac:dyDescent="0.25">
      <c r="C28" s="133" t="s">
        <v>176</v>
      </c>
      <c r="D28" s="145" t="s">
        <v>177</v>
      </c>
      <c r="E28" s="145" t="s">
        <v>178</v>
      </c>
      <c r="F28" s="145" t="s">
        <v>179</v>
      </c>
      <c r="G28" s="145" t="s">
        <v>180</v>
      </c>
      <c r="H28" s="145" t="s">
        <v>181</v>
      </c>
      <c r="I28" s="145" t="s">
        <v>182</v>
      </c>
      <c r="J28" s="145" t="s">
        <v>183</v>
      </c>
      <c r="K28" s="133" t="s">
        <v>118</v>
      </c>
    </row>
    <row r="29" spans="3:11" ht="20.100000000000001" customHeight="1" x14ac:dyDescent="0.25">
      <c r="C29" s="137" t="s">
        <v>45</v>
      </c>
      <c r="D29" s="146" t="s">
        <v>45</v>
      </c>
      <c r="E29" s="146"/>
      <c r="F29" s="147">
        <v>5.0000000000000001E-3</v>
      </c>
      <c r="G29" s="148"/>
      <c r="H29" s="148">
        <v>0.5</v>
      </c>
      <c r="I29" s="149"/>
      <c r="J29" s="140" t="s">
        <v>184</v>
      </c>
      <c r="K29" s="139" t="s">
        <v>185</v>
      </c>
    </row>
    <row r="30" spans="3:11" ht="20.100000000000001" customHeight="1" x14ac:dyDescent="0.25">
      <c r="C30" s="137" t="s">
        <v>47</v>
      </c>
      <c r="D30" s="146" t="s">
        <v>47</v>
      </c>
      <c r="E30" s="146"/>
      <c r="F30" s="147">
        <v>0.04</v>
      </c>
      <c r="G30" s="148"/>
      <c r="H30" s="148">
        <v>0.15</v>
      </c>
      <c r="I30" s="149"/>
      <c r="J30" s="140" t="s">
        <v>184</v>
      </c>
      <c r="K30" s="139" t="s">
        <v>186</v>
      </c>
    </row>
    <row r="31" spans="3:11" ht="20.100000000000001" customHeight="1" x14ac:dyDescent="0.25">
      <c r="C31" s="137" t="s">
        <v>187</v>
      </c>
      <c r="D31" s="146" t="s">
        <v>188</v>
      </c>
      <c r="E31" s="146" t="s">
        <v>189</v>
      </c>
      <c r="F31" s="147">
        <v>3.8E-3</v>
      </c>
      <c r="G31" s="148">
        <v>0.5</v>
      </c>
      <c r="H31" s="148">
        <v>1</v>
      </c>
      <c r="I31" s="149"/>
      <c r="J31" s="140" t="s">
        <v>184</v>
      </c>
      <c r="K31" s="139" t="s">
        <v>190</v>
      </c>
    </row>
    <row r="32" spans="3:11" ht="20.100000000000001" customHeight="1" x14ac:dyDescent="0.25">
      <c r="C32" s="137" t="s">
        <v>191</v>
      </c>
      <c r="D32" s="146" t="s">
        <v>188</v>
      </c>
      <c r="E32" s="146" t="s">
        <v>192</v>
      </c>
      <c r="F32" s="147">
        <v>3.8E-3</v>
      </c>
      <c r="G32" s="148">
        <v>0.5</v>
      </c>
      <c r="H32" s="148">
        <v>1</v>
      </c>
      <c r="I32" s="149"/>
      <c r="J32" s="140" t="s">
        <v>184</v>
      </c>
      <c r="K32" s="139" t="s">
        <v>190</v>
      </c>
    </row>
    <row r="33" spans="3:11" ht="20.100000000000001" customHeight="1" x14ac:dyDescent="0.25">
      <c r="C33" s="137" t="s">
        <v>193</v>
      </c>
      <c r="D33" s="146" t="s">
        <v>188</v>
      </c>
      <c r="E33" s="146" t="s">
        <v>194</v>
      </c>
      <c r="F33" s="147">
        <v>4.1999999999999997E-3</v>
      </c>
      <c r="G33" s="148">
        <v>0.5</v>
      </c>
      <c r="H33" s="148">
        <v>1</v>
      </c>
      <c r="I33" s="149"/>
      <c r="J33" s="140" t="s">
        <v>184</v>
      </c>
      <c r="K33" s="139" t="s">
        <v>190</v>
      </c>
    </row>
    <row r="34" spans="3:11" ht="20.100000000000001" customHeight="1" x14ac:dyDescent="0.25">
      <c r="C34" s="137" t="s">
        <v>195</v>
      </c>
      <c r="D34" s="146" t="s">
        <v>188</v>
      </c>
      <c r="E34" s="146" t="s">
        <v>196</v>
      </c>
      <c r="F34" s="147">
        <v>5.4000000000000003E-3</v>
      </c>
      <c r="G34" s="148">
        <v>0.5</v>
      </c>
      <c r="H34" s="148">
        <v>1</v>
      </c>
      <c r="I34" s="149"/>
      <c r="J34" s="140" t="s">
        <v>184</v>
      </c>
      <c r="K34" s="139" t="s">
        <v>190</v>
      </c>
    </row>
    <row r="35" spans="3:11" ht="20.100000000000001" customHeight="1" x14ac:dyDescent="0.25">
      <c r="C35" s="137" t="s">
        <v>197</v>
      </c>
      <c r="D35" s="146" t="s">
        <v>188</v>
      </c>
      <c r="E35" s="146" t="s">
        <v>198</v>
      </c>
      <c r="F35" s="147">
        <v>1.06E-2</v>
      </c>
      <c r="G35" s="148">
        <v>0.5</v>
      </c>
      <c r="H35" s="148">
        <v>1</v>
      </c>
      <c r="I35" s="149"/>
      <c r="J35" s="140" t="s">
        <v>184</v>
      </c>
      <c r="K35" s="139" t="s">
        <v>190</v>
      </c>
    </row>
    <row r="36" spans="3:11" ht="20.100000000000001" customHeight="1" x14ac:dyDescent="0.25">
      <c r="C36" s="137" t="s">
        <v>199</v>
      </c>
      <c r="D36" s="146" t="s">
        <v>188</v>
      </c>
      <c r="E36" s="146" t="s">
        <v>200</v>
      </c>
      <c r="F36" s="147">
        <v>1.6E-2</v>
      </c>
      <c r="G36" s="148">
        <v>0.5</v>
      </c>
      <c r="H36" s="148">
        <v>1</v>
      </c>
      <c r="I36" s="149"/>
      <c r="J36" s="140" t="s">
        <v>184</v>
      </c>
      <c r="K36" s="139" t="s">
        <v>190</v>
      </c>
    </row>
    <row r="37" spans="3:11" ht="20.100000000000001" customHeight="1" x14ac:dyDescent="0.25">
      <c r="C37" s="137" t="s">
        <v>201</v>
      </c>
      <c r="D37" s="146" t="s">
        <v>188</v>
      </c>
      <c r="E37" s="146" t="s">
        <v>202</v>
      </c>
      <c r="F37" s="147">
        <v>0.06</v>
      </c>
      <c r="G37" s="148">
        <v>0.5</v>
      </c>
      <c r="H37" s="148">
        <v>1</v>
      </c>
      <c r="I37" s="149"/>
      <c r="J37" s="140" t="s">
        <v>184</v>
      </c>
      <c r="K37" s="139" t="s">
        <v>190</v>
      </c>
    </row>
    <row r="38" spans="3:11" ht="20.100000000000001" customHeight="1" x14ac:dyDescent="0.25">
      <c r="C38" s="137" t="s">
        <v>203</v>
      </c>
      <c r="D38" s="146" t="s">
        <v>188</v>
      </c>
      <c r="E38" s="146" t="s">
        <v>204</v>
      </c>
      <c r="F38" s="147">
        <v>3.8E-3</v>
      </c>
      <c r="G38" s="148">
        <v>0.5</v>
      </c>
      <c r="H38" s="148">
        <v>1</v>
      </c>
      <c r="I38" s="149"/>
      <c r="J38" s="140" t="s">
        <v>184</v>
      </c>
      <c r="K38" s="139" t="s">
        <v>205</v>
      </c>
    </row>
    <row r="39" spans="3:11" ht="20.100000000000001" customHeight="1" x14ac:dyDescent="0.25">
      <c r="C39" s="137" t="s">
        <v>206</v>
      </c>
      <c r="D39" s="146" t="s">
        <v>188</v>
      </c>
      <c r="E39" s="146" t="s">
        <v>207</v>
      </c>
      <c r="F39" s="147">
        <v>4.1999999999999997E-3</v>
      </c>
      <c r="G39" s="148">
        <v>0.5</v>
      </c>
      <c r="H39" s="148">
        <v>1</v>
      </c>
      <c r="I39" s="149"/>
      <c r="J39" s="140" t="s">
        <v>184</v>
      </c>
      <c r="K39" s="139" t="s">
        <v>205</v>
      </c>
    </row>
    <row r="40" spans="3:11" ht="20.100000000000001" customHeight="1" x14ac:dyDescent="0.25">
      <c r="C40" s="137" t="s">
        <v>208</v>
      </c>
      <c r="D40" s="146" t="s">
        <v>188</v>
      </c>
      <c r="E40" s="146" t="s">
        <v>209</v>
      </c>
      <c r="F40" s="147">
        <v>5.4000000000000003E-3</v>
      </c>
      <c r="G40" s="148">
        <v>0.5</v>
      </c>
      <c r="H40" s="148">
        <v>1</v>
      </c>
      <c r="I40" s="149"/>
      <c r="J40" s="140" t="s">
        <v>184</v>
      </c>
      <c r="K40" s="139" t="s">
        <v>205</v>
      </c>
    </row>
    <row r="41" spans="3:11" ht="20.100000000000001" customHeight="1" x14ac:dyDescent="0.25">
      <c r="C41" s="137" t="s">
        <v>210</v>
      </c>
      <c r="D41" s="146" t="s">
        <v>188</v>
      </c>
      <c r="E41" s="146" t="s">
        <v>211</v>
      </c>
      <c r="F41" s="147">
        <v>1.06E-2</v>
      </c>
      <c r="G41" s="148">
        <v>0.5</v>
      </c>
      <c r="H41" s="148">
        <v>1</v>
      </c>
      <c r="I41" s="149"/>
      <c r="J41" s="140" t="s">
        <v>184</v>
      </c>
      <c r="K41" s="139" t="s">
        <v>205</v>
      </c>
    </row>
    <row r="42" spans="3:11" ht="20.100000000000001" customHeight="1" x14ac:dyDescent="0.25">
      <c r="C42" s="137" t="s">
        <v>212</v>
      </c>
      <c r="D42" s="146" t="s">
        <v>188</v>
      </c>
      <c r="E42" s="146" t="s">
        <v>213</v>
      </c>
      <c r="F42" s="147">
        <v>1.6E-2</v>
      </c>
      <c r="G42" s="148">
        <v>0.5</v>
      </c>
      <c r="H42" s="148">
        <v>1</v>
      </c>
      <c r="I42" s="149"/>
      <c r="J42" s="140" t="s">
        <v>184</v>
      </c>
      <c r="K42" s="139" t="s">
        <v>205</v>
      </c>
    </row>
    <row r="43" spans="3:11" ht="20.100000000000001" customHeight="1" x14ac:dyDescent="0.25">
      <c r="C43" s="137" t="s">
        <v>214</v>
      </c>
      <c r="D43" s="146" t="s">
        <v>188</v>
      </c>
      <c r="E43" s="146" t="s">
        <v>215</v>
      </c>
      <c r="F43" s="147">
        <v>0.06</v>
      </c>
      <c r="G43" s="148">
        <v>0.5</v>
      </c>
      <c r="H43" s="148">
        <v>1</v>
      </c>
      <c r="I43" s="149"/>
      <c r="J43" s="140" t="s">
        <v>184</v>
      </c>
      <c r="K43" s="139" t="s">
        <v>205</v>
      </c>
    </row>
    <row r="44" spans="3:11" ht="20.100000000000001" customHeight="1" x14ac:dyDescent="0.25">
      <c r="C44" s="137" t="s">
        <v>216</v>
      </c>
      <c r="D44" s="146" t="s">
        <v>188</v>
      </c>
      <c r="E44" s="146" t="s">
        <v>217</v>
      </c>
      <c r="F44" s="147">
        <v>3.8E-3</v>
      </c>
      <c r="G44" s="148">
        <v>0.8</v>
      </c>
      <c r="H44" s="148">
        <v>0.8</v>
      </c>
      <c r="I44" s="149"/>
      <c r="J44" s="140" t="s">
        <v>184</v>
      </c>
      <c r="K44" s="139" t="s">
        <v>218</v>
      </c>
    </row>
    <row r="45" spans="3:11" ht="20.100000000000001" customHeight="1" x14ac:dyDescent="0.25">
      <c r="C45" s="137" t="s">
        <v>219</v>
      </c>
      <c r="D45" s="146" t="s">
        <v>188</v>
      </c>
      <c r="E45" s="146" t="s">
        <v>220</v>
      </c>
      <c r="F45" s="147">
        <v>1.06E-2</v>
      </c>
      <c r="G45" s="148">
        <v>0.8</v>
      </c>
      <c r="H45" s="148">
        <v>0.8</v>
      </c>
      <c r="I45" s="149"/>
      <c r="J45" s="140" t="s">
        <v>184</v>
      </c>
      <c r="K45" s="139" t="s">
        <v>218</v>
      </c>
    </row>
    <row r="46" spans="3:11" ht="20.100000000000001" customHeight="1" x14ac:dyDescent="0.25">
      <c r="C46" s="137" t="s">
        <v>221</v>
      </c>
      <c r="D46" s="146" t="s">
        <v>222</v>
      </c>
      <c r="E46" s="146" t="s">
        <v>223</v>
      </c>
      <c r="F46" s="147">
        <v>0.32</v>
      </c>
      <c r="G46" s="148">
        <v>0.5</v>
      </c>
      <c r="H46" s="148">
        <v>1.2</v>
      </c>
      <c r="I46" s="149"/>
      <c r="J46" s="140" t="s">
        <v>184</v>
      </c>
      <c r="K46" s="139" t="s">
        <v>224</v>
      </c>
    </row>
    <row r="47" spans="3:11" ht="20.100000000000001" customHeight="1" x14ac:dyDescent="0.25">
      <c r="C47" s="137" t="s">
        <v>225</v>
      </c>
      <c r="D47" s="146" t="s">
        <v>222</v>
      </c>
      <c r="E47" s="146" t="s">
        <v>226</v>
      </c>
      <c r="F47" s="147">
        <v>0.2</v>
      </c>
      <c r="G47" s="148">
        <v>0.8</v>
      </c>
      <c r="H47" s="148">
        <v>0.75</v>
      </c>
      <c r="I47" s="149"/>
      <c r="J47" s="140" t="s">
        <v>184</v>
      </c>
      <c r="K47" s="139" t="s">
        <v>224</v>
      </c>
    </row>
    <row r="48" spans="3:11" ht="20.100000000000001" customHeight="1" x14ac:dyDescent="0.25">
      <c r="C48" s="137" t="s">
        <v>227</v>
      </c>
      <c r="D48" s="146" t="s">
        <v>51</v>
      </c>
      <c r="E48" s="146" t="s">
        <v>228</v>
      </c>
      <c r="F48" s="147">
        <v>0.4</v>
      </c>
      <c r="G48" s="148">
        <v>0.4</v>
      </c>
      <c r="H48" s="148">
        <v>1.5</v>
      </c>
      <c r="I48" s="140" t="s">
        <v>229</v>
      </c>
      <c r="J48" s="140" t="s">
        <v>184</v>
      </c>
      <c r="K48" s="139" t="s">
        <v>190</v>
      </c>
    </row>
    <row r="49" spans="3:11" ht="20.100000000000001" customHeight="1" x14ac:dyDescent="0.25">
      <c r="C49" s="137" t="s">
        <v>230</v>
      </c>
      <c r="D49" s="146" t="s">
        <v>51</v>
      </c>
      <c r="E49" s="146" t="s">
        <v>231</v>
      </c>
      <c r="F49" s="147">
        <v>0.18</v>
      </c>
      <c r="G49" s="148">
        <v>0.4</v>
      </c>
      <c r="H49" s="148">
        <v>0.7</v>
      </c>
      <c r="I49" s="140" t="s">
        <v>229</v>
      </c>
      <c r="J49" s="140" t="s">
        <v>184</v>
      </c>
      <c r="K49" s="139" t="s">
        <v>190</v>
      </c>
    </row>
    <row r="50" spans="3:11" ht="20.100000000000001" customHeight="1" x14ac:dyDescent="0.25">
      <c r="C50" s="137" t="s">
        <v>232</v>
      </c>
      <c r="D50" s="146" t="s">
        <v>51</v>
      </c>
      <c r="E50" s="146" t="s">
        <v>233</v>
      </c>
      <c r="F50" s="147">
        <v>0.18</v>
      </c>
      <c r="G50" s="148">
        <v>0.4</v>
      </c>
      <c r="H50" s="148">
        <v>0.7</v>
      </c>
      <c r="I50" s="140" t="s">
        <v>233</v>
      </c>
      <c r="J50" s="140" t="s">
        <v>184</v>
      </c>
      <c r="K50" s="139" t="s">
        <v>190</v>
      </c>
    </row>
    <row r="51" spans="3:11" ht="20.100000000000001" customHeight="1" x14ac:dyDescent="0.25">
      <c r="C51" s="137" t="s">
        <v>234</v>
      </c>
      <c r="D51" s="146" t="s">
        <v>51</v>
      </c>
      <c r="E51" s="146" t="s">
        <v>235</v>
      </c>
      <c r="F51" s="147">
        <v>0.18</v>
      </c>
      <c r="G51" s="148">
        <v>0.4</v>
      </c>
      <c r="H51" s="148">
        <v>0.7</v>
      </c>
      <c r="I51" s="140" t="s">
        <v>235</v>
      </c>
      <c r="J51" s="140" t="s">
        <v>184</v>
      </c>
      <c r="K51" s="139" t="s">
        <v>190</v>
      </c>
    </row>
    <row r="52" spans="3:11" ht="20.100000000000001" customHeight="1" x14ac:dyDescent="0.25">
      <c r="C52" s="137" t="s">
        <v>236</v>
      </c>
      <c r="D52" s="146" t="s">
        <v>51</v>
      </c>
      <c r="E52" s="146" t="s">
        <v>237</v>
      </c>
      <c r="F52" s="147">
        <v>0.18</v>
      </c>
      <c r="G52" s="148">
        <v>0.4</v>
      </c>
      <c r="H52" s="148">
        <v>0.7</v>
      </c>
      <c r="I52" s="140" t="s">
        <v>237</v>
      </c>
      <c r="J52" s="140" t="s">
        <v>184</v>
      </c>
      <c r="K52" s="139" t="s">
        <v>190</v>
      </c>
    </row>
    <row r="53" spans="3:11" ht="20.100000000000001" customHeight="1" x14ac:dyDescent="0.25">
      <c r="C53" s="137" t="s">
        <v>238</v>
      </c>
      <c r="D53" s="146" t="s">
        <v>51</v>
      </c>
      <c r="E53" s="146" t="s">
        <v>239</v>
      </c>
      <c r="F53" s="147">
        <v>0.18</v>
      </c>
      <c r="G53" s="148">
        <v>0.4</v>
      </c>
      <c r="H53" s="148">
        <v>0.7</v>
      </c>
      <c r="I53" s="140" t="s">
        <v>239</v>
      </c>
      <c r="J53" s="140" t="s">
        <v>167</v>
      </c>
      <c r="K53" s="139" t="s">
        <v>909</v>
      </c>
    </row>
    <row r="54" spans="3:11" ht="20.100000000000001" customHeight="1" x14ac:dyDescent="0.25">
      <c r="C54" s="137" t="s">
        <v>241</v>
      </c>
      <c r="D54" s="146" t="s">
        <v>241</v>
      </c>
      <c r="E54" s="146"/>
      <c r="F54" s="147">
        <v>0.08</v>
      </c>
      <c r="G54" s="148"/>
      <c r="H54" s="148">
        <v>1.5</v>
      </c>
      <c r="I54" s="149"/>
      <c r="J54" s="140" t="s">
        <v>167</v>
      </c>
      <c r="K54" s="139" t="s">
        <v>242</v>
      </c>
    </row>
    <row r="55" spans="3:11" ht="20.100000000000001" customHeight="1" x14ac:dyDescent="0.25"/>
    <row r="56" spans="3:11" ht="20.100000000000001" customHeight="1" x14ac:dyDescent="0.25">
      <c r="C56" s="144" t="s">
        <v>243</v>
      </c>
    </row>
    <row r="57" spans="3:11" ht="30" customHeight="1" x14ac:dyDescent="0.25">
      <c r="C57" s="150" t="s">
        <v>244</v>
      </c>
      <c r="D57" s="150" t="s">
        <v>245</v>
      </c>
      <c r="E57" s="151" t="s">
        <v>246</v>
      </c>
    </row>
    <row r="58" spans="3:11" ht="20.100000000000001" customHeight="1" x14ac:dyDescent="0.25">
      <c r="C58" s="152" t="s">
        <v>123</v>
      </c>
      <c r="D58" s="130" t="s">
        <v>247</v>
      </c>
      <c r="E58" s="153">
        <v>1</v>
      </c>
    </row>
    <row r="59" spans="3:11" ht="20.100000000000001" customHeight="1" x14ac:dyDescent="0.25">
      <c r="C59" s="152" t="s">
        <v>248</v>
      </c>
      <c r="D59" s="130" t="s">
        <v>249</v>
      </c>
      <c r="E59" s="153">
        <v>0.86</v>
      </c>
    </row>
    <row r="60" spans="3:11" ht="20.100000000000001" customHeight="1" x14ac:dyDescent="0.25">
      <c r="C60" s="152" t="s">
        <v>250</v>
      </c>
      <c r="D60" s="130" t="s">
        <v>251</v>
      </c>
      <c r="E60" s="153">
        <v>1.1599999999999999</v>
      </c>
    </row>
    <row r="61" spans="3:11" ht="20.100000000000001" customHeight="1" x14ac:dyDescent="0.25">
      <c r="C61" s="152" t="s">
        <v>252</v>
      </c>
      <c r="D61" s="130" t="s">
        <v>253</v>
      </c>
      <c r="E61" s="153">
        <v>5.7999999999999996E-3</v>
      </c>
    </row>
    <row r="62" spans="3:11" ht="20.100000000000001" customHeight="1" x14ac:dyDescent="0.25">
      <c r="C62" s="152" t="s">
        <v>254</v>
      </c>
      <c r="D62" s="130" t="s">
        <v>255</v>
      </c>
      <c r="E62" s="153">
        <v>1.07</v>
      </c>
    </row>
    <row r="63" spans="3:11" ht="20.100000000000001" customHeight="1" x14ac:dyDescent="0.25">
      <c r="D63" s="154" t="s">
        <v>256</v>
      </c>
    </row>
    <row r="64" spans="3:11" ht="20.100000000000001" customHeight="1" x14ac:dyDescent="0.25"/>
  </sheetData>
  <conditionalFormatting sqref="C29:C54">
    <cfRule type="expression" dxfId="1" priority="1">
      <formula>AND(C29&lt;&gt;"",COUNTIF($C$29:$C$54,C29)&gt;1)</formula>
    </cfRule>
  </conditionalFormatting>
  <conditionalFormatting sqref="C58:C77">
    <cfRule type="expression" dxfId="1" priority="2">
      <formula>AND(C58&lt;&gt;"",COUNTIF($C$58:$C$77,C58)&gt;1)</formula>
    </cfRule>
  </conditionalFormatting>
  <dataValidations count="29">
    <dataValidation type="date" operator="between" allowBlank="1" showInputMessage="1" showErrorMessage="1" errorTitle="Invalid reporting date" error="Enter a date between 2000 and 2100." promptTitle="Reporting date" prompt="Date the exposures are calculated for. Maturities and dates are measured from it." sqref="E6">
      <formula1>36526</formula1>
      <formula2>73415</formula2>
    </dataValidation>
    <dataValidation type="custom" allowBlank="1" showInputMessage="1" showErrorMessage="1" errorTitle="Invalid currency" error="Enter a three-letter ISO currency code, e.g. EUR." promptTitle="Reporting currency" prompt="ISO code, e.g. EUR. Every amount is converted into it with the FX table below." sqref="E7">
      <formula1>AND(ISTEXT(ReportingCcy),LEN(ReportingCcy)=3)</formula1>
    </dataValidation>
    <dataValidation type="decimal" operator="greaterThan" allowBlank="1" showInputMessage="1" showErrorMessage="1" errorTitle="Invalid alpha" error="Alpha must be a number greater than zero. Regulatory value: 1.4." promptTitle="Alpha" prompt="Multiplier on RC + PFE. Regulatory value 1.4 (CRE52.1, CRR Art. 274(2))." sqref="E8">
      <formula1>0</formula1>
    </dataValidation>
    <dataValidation type="decimal" operator="between" allowBlank="1" showInputMessage="1" showErrorMessage="1" errorTitle="Invalid floor" error="Enter a percentage from 0% to below 100%. Regulatory value: 5%." promptTitle="Multiplier floor" prompt="Floor of the PFE multiplier, as a percentage. Regulatory value 5% (CRE52.23)." sqref="E9">
      <formula1>0</formula1>
      <formula2>0.9999</formula2>
    </dataValidation>
    <dataValidation type="decimal" operator="between" allowBlank="1" showInputMessage="1" showErrorMessage="1" errorTitle="Invalid day count" error="Enter a number from 360 to 366. Normally 365." promptTitle="Days per year" prompt="Calendar days per year for S, E, M and T. Normally 365." sqref="E10">
      <formula1>360</formula1>
      <formula2>366</formula2>
    </dataValidation>
    <dataValidation type="whole" operator="between" allowBlank="1" showInputMessage="1" showErrorMessage="1" errorTitle="Invalid business days" error="Enter a whole number from 200 to 366. Regulatory value: 250." promptTitle="Business days per year" prompt="Converts MPOR and the maturity floors into years. Regulatory value 250 (CRE52.48, 52.52)." sqref="E11">
      <formula1>200</formula1>
      <formula2>366</formula2>
    </dataValidation>
    <dataValidation type="whole" operator="between" allowBlank="1" showInputMessage="1" showErrorMessage="1" errorTitle="Invalid minimum maturity" error="Enter a whole number of business days from 0 to 250. Regulatory value: 10." promptTitle="Minimum maturity" prompt="Floor on M for the unmargined maturity factor, in business days. Regulatory value 10 (CRE52.48)." sqref="E12">
      <formula1>0</formula1>
      <formula2>250</formula2>
    </dataValidation>
    <dataValidation type="whole" operator="between" allowBlank="1" showInputMessage="1" showErrorMessage="1" errorTitle="Invalid duration floor" error="Enter a whole number of business days from 0 to 250 (0 = no floor). Regulatory value: 10." promptTitle="Supervisory duration floor" prompt="Floor on S and E for the supervisory duration, in business days; 0 = no floor. Regulatory value 10 (CRE52.34, CRR Art. 279b)." sqref="E13">
      <formula1>0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bilateral" prompt="Minimum MPOR for a bilateral, daily-margined netting set, in business days. Regulatory value 10 (CRE52.50)." sqref="E14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client clearing" prompt="Minimum MPOR for a cleared netting set, in business days. Regulatory value 5 (CRE54)." sqref="E15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large netting set" prompt="Minimum MPOR when a netting set has more than 5,000 trades or illiquid collateral, in business days. Regulatory value 20 (CRE52.50)." sqref="E16">
      <formula1>1</formula1>
      <formula2>250</formula2>
    </dataValidation>
    <dataValidation type="decimal" operator="between" allowBlank="1" showInputMessage="1" showErrorMessage="1" errorTitle="Invalid basis factor" error="Enter a number from 0 to 1. Regulatory value: 0.5." promptTitle="Basis factor" prompt="Supervisory factor multiplier for basis transactions. Regulatory value 0.5 (CRE52.46)." sqref="E17">
      <formula1>0</formula1>
      <formula2>1</formula2>
    </dataValidation>
    <dataValidation type="decimal" operator="between" allowBlank="1" showInputMessage="1" showErrorMessage="1" errorTitle="Invalid volatility factor" error="Enter a number from 0 to 10. Regulatory value: 5." promptTitle="Volatility factor" prompt="Supervisory factor multiplier for volatility transactions. Regulatory value 5 (CRE52.47)." sqref="E18">
      <formula1>0</formula1>
      <formula2>10</formula2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2" prompt="Correlation between maturity buckets. Regulatory values: 1-2 and 2-3 = 0.7, 1-3 = 0.3 (CRE52.57)." sqref="E19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2-3" prompt="Correlation between maturity buckets. Regulatory values: 1-2 and 2-3 = 0.7, 1-3 = 0.3 (CRE52.57)." sqref="E20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3" prompt="Correlation between maturity buckets. Regulatory values: 1-2 and 2-3 = 0.7, 1-3 = 0.3 (CRE52.57)." sqref="E21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list" allowBlank="1" showInputMessage="1" showErrorMessage="1" errorTitle="Invalid choice" error="Choose TRUE or FALSE." promptTitle="IR bucket offset" prompt="TRUE = bucket formula with offsets. FALSE = sum of absolute bucket values (Basel only). Under CRR only TRUE is allowed (Art. 280a(3))." sqref="E22">
      <formula1>"TRUE,FALSE"</formula1>
    </dataValidation>
    <dataValidation type="list" allowBlank="1" showInputMessage="1" showErrorMessage="1" errorTitle="Invalid regime" error="Choose CRR or BCBS." promptTitle="Default regime" prompt="CRR = EU rules; BCBS = Basel CRE52. Used for every netting set without its own regime. Blank means CRR." sqref="E23">
      <formula1>"CRR,BCBS"</formula1>
    </dataValidation>
    <dataValidation type="decimal" operator="between" allowBlank="1" showInputMessage="1" showErrorMessage="1" errorTitle="Invalid IR threshold" error="Enter a percentage from 0% to 10%. Value: 0.1%." promptTitle="Lambda threshold, IR" prompt="CRR shift for IR options with negative rates, as a percentage. Value 0.1% (Del. Reg. 2021/931 Art. 5)." sqref="E24">
      <formula1>0</formula1>
      <formula2>0.1</formula2>
    </dataValidation>
    <dataValidation type="decimal" operator="between" allowBlank="1" showInputMessage="1" showErrorMessage="1" errorTitle="Invalid commodity threshold" error="Enter a number from 0 to 1. Value: 0.10." promptTitle="Lambda threshold, commodity" prompt="CRR shift for commodity options with negative prices. Value 0.10 (Del. Reg. 2021/931 Art. 5)." sqref="E25">
      <formula1>0</formula1>
      <formula2>1</formula2>
    </dataValidation>
    <dataValidation type="custom" allowBlank="1" showInputMessage="1" showErrorMessage="1" errorTitle="Invalid or duplicate key" error="Enter a text key that is not already used in this table." promptTitle="Supervisory factor key" prompt="Unique key of the row, e.g. CR_BBB. A key listed twice with different values stops the run." sqref="C29:C54">
      <formula1>AND(ISTEXT(C29),COUNTIF($C$29:$C$54,C29)=1)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Art. 280f)." sqref="D29:D55">
      <formula1>"IR,FX,CR,EQ,CO,OT"</formula1>
    </dataValidation>
    <dataValidation type="decimal" operator="between" allowBlank="1" showInputMessage="1" showErrorMessage="1" errorTitle="Invalid supervisory factor" error="Enter a percentage from 0% to 100%." promptTitle="Supervisory factor" prompt="Supervisory factor as a percentage (CRE52.72; CRR Art. 280a to 280f)." sqref="F29:F54">
      <formula1>0</formula1>
      <formula2>1</formula2>
    </dataValidation>
    <dataValidation type="decimal" operator="between" allowBlank="1" showInputMessage="1" showErrorMessage="1" errorTitle="Invalid correlation" error="Enter a percentage from 0% to 100%." promptTitle="Correlation" prompt="Correlation with the systematic factor, for credit, equity and commodity (CRE52.72). Leave blank for IR, FX and OT." sqref="G29:G54">
      <formula1>0</formula1>
      <formula2>1</formula2>
    </dataValidation>
    <dataValidation type="decimal" operator="between" allowBlank="1" showInputMessage="1" showErrorMessage="1" errorTitle="Invalid volatility" error="Enter a percentage from 0% to 500%." promptTitle="Supervisory option volatility" prompt="Volatility used in the supervisory delta of options (CRE52.72)." sqref="H29:H54">
      <formula1>0</formula1>
      <formula2>5</formula2>
    </dataValidation>
    <dataValidation type="list" allowBlank="1" showInputMessage="1" showErrorMessage="1" errorTitle="Invalid hedging set" error="Choose ENERGY, METALS, AGRICULTURAL, OTHER or CLIMATIC." promptTitle="Commodity hedging set" prompt="Commodity rows only (CRE52.69). CLIMATIC is the CRR climatic-conditions hedging set (Art. 277a(1)(e)). Leave blank for other asset classes." sqref="I29:I54">
      <formula1>"ENERGY,METALS,AGRICULTURAL,OTHER,CLIMATIC"</formula1>
    </dataValidation>
    <dataValidation type="list" allowBlank="1" showInputMessage="1" showErrorMessage="1" errorTitle="Invalid regime" error="Choose BOTH, CRR or BCBS." promptTitle="Regimes" prompt="Regimes in which the row applies: BOTH, CRR only or BCBS only." sqref="J29:J54">
      <formula1>"BOTH,CRR,BCBS"</formula1>
    </dataValidation>
    <dataValidation type="custom" allowBlank="1" showInputMessage="1" showErrorMessage="1" errorTitle="Invalid or duplicate currency" error="Enter a three-letter ISO code that is not already in the table." promptTitle="Currency" prompt="ISO code, e.g. USD. Add currencies directly below the last row, with no blank rows." sqref="C58:C77">
      <formula1>AND(ISTEXT(C58),LEN(C58)=3,COUNTIF($C$58:$C$77,C58)=1)</formula1>
    </dataValidation>
    <dataValidation type="custom" allowBlank="1" showInputMessage="1" showErrorMessage="1" errorTitle="Invalid FX rate" error="Enter a number greater than zero; the reporting currency's rate must be 1." promptTitle="FX rate" prompt="Units of the reporting currency per 1 unit of this currency. The reporting currency itself is 1." sqref="E58:E77">
      <formula1>AND(ISNUMBER(E58),E58&gt;0,OR(UPPER(C58)&lt;&gt;UPPER(ReportingCcy),E58=1))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NettingSets">
    <tabColor rgb="FFBF9000"/>
    <pageSetUpPr fitToPage="1"/>
  </sheetPr>
  <dimension ref="B1:S434"/>
  <sheetViews>
    <sheetView showGridLines="0" zoomScaleNormal="100" workbookViewId="0">
      <pane ySplit="6" topLeftCell="A7" activePane="bottomLeft" state="frozen"/>
      <selection pane="bottomLeft" activeCell="D11" sqref="D11"/>
    </sheetView>
  </sheetViews>
  <sheetFormatPr defaultRowHeight="15" x14ac:dyDescent="0.25"/>
  <cols>
    <col min="1" max="2" width="4" customWidth="1"/>
    <col min="3" max="3" width="20.625" style="163" customWidth="1"/>
    <col min="4" max="4" width="50.625" style="163" customWidth="1"/>
    <col min="5" max="16" width="10.625" style="163" customWidth="1"/>
    <col min="17" max="17" width="15.625" style="163" customWidth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S1" s="119"/>
    </row>
    <row r="2" spans="2:19" s="132" customFormat="1" ht="26.1" customHeight="1" x14ac:dyDescent="0.25">
      <c r="B2" s="120" t="s">
        <v>257</v>
      </c>
      <c r="C2" s="121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S2" s="119"/>
    </row>
    <row r="3" spans="2:19" ht="30" customHeight="1" x14ac:dyDescent="0.25">
      <c r="C3" s="155" t="s">
        <v>945</v>
      </c>
      <c r="D3"/>
      <c r="E3"/>
      <c r="F3"/>
      <c r="G3"/>
      <c r="H3"/>
      <c r="I3"/>
      <c r="J3"/>
      <c r="K3"/>
      <c r="L3"/>
      <c r="M3"/>
      <c r="N3"/>
      <c r="O3"/>
      <c r="P3"/>
      <c r="Q3"/>
    </row>
    <row r="4" spans="2:19" ht="9.9499999999999993" customHeight="1" x14ac:dyDescent="0.25">
      <c r="C4" s="155"/>
      <c r="D4"/>
      <c r="E4"/>
      <c r="F4"/>
      <c r="G4"/>
      <c r="H4"/>
      <c r="I4"/>
      <c r="J4"/>
      <c r="K4"/>
      <c r="L4"/>
      <c r="M4"/>
      <c r="N4"/>
      <c r="O4"/>
      <c r="P4"/>
      <c r="Q4"/>
    </row>
    <row r="5" spans="2:19" ht="9.9499999999999993" customHeight="1" x14ac:dyDescent="0.25">
      <c r="C5"/>
      <c r="D5"/>
      <c r="E5"/>
      <c r="F5"/>
      <c r="G5"/>
      <c r="H5"/>
      <c r="I5"/>
      <c r="J5"/>
      <c r="K5"/>
      <c r="L5"/>
      <c r="M5"/>
      <c r="N5"/>
      <c r="O5"/>
      <c r="P5"/>
      <c r="Q5"/>
    </row>
    <row r="6" spans="2:19" s="163" customFormat="1" ht="50.1" customHeight="1" x14ac:dyDescent="0.25">
      <c r="C6" s="156" t="s">
        <v>259</v>
      </c>
      <c r="D6" s="156" t="s">
        <v>260</v>
      </c>
      <c r="E6" s="157" t="s">
        <v>261</v>
      </c>
      <c r="F6" s="157" t="s">
        <v>946</v>
      </c>
      <c r="G6" s="157" t="s">
        <v>263</v>
      </c>
      <c r="H6" s="157" t="s">
        <v>264</v>
      </c>
      <c r="I6" s="157" t="s">
        <v>265</v>
      </c>
      <c r="J6" s="157" t="s">
        <v>266</v>
      </c>
      <c r="K6" s="157" t="s">
        <v>267</v>
      </c>
      <c r="L6" s="157" t="s">
        <v>268</v>
      </c>
      <c r="M6" s="157" t="s">
        <v>269</v>
      </c>
      <c r="N6" s="157" t="s">
        <v>270</v>
      </c>
      <c r="O6" s="157" t="s">
        <v>271</v>
      </c>
      <c r="P6" s="157" t="s">
        <v>272</v>
      </c>
      <c r="Q6" s="157" t="s">
        <v>947</v>
      </c>
    </row>
    <row r="7" spans="2:19" ht="20.100000000000001" customHeight="1" x14ac:dyDescent="0.25">
      <c r="C7" s="158" t="s">
        <v>273</v>
      </c>
      <c r="D7" s="143" t="s">
        <v>274</v>
      </c>
      <c r="E7" s="140" t="s">
        <v>275</v>
      </c>
      <c r="F7" s="140" t="s">
        <v>275</v>
      </c>
      <c r="G7" s="159"/>
      <c r="H7" s="140" t="s">
        <v>275</v>
      </c>
      <c r="I7" s="140" t="s">
        <v>275</v>
      </c>
      <c r="J7" s="160"/>
      <c r="K7" s="161">
        <v>0</v>
      </c>
      <c r="L7" s="161">
        <v>0</v>
      </c>
      <c r="M7" s="161">
        <v>0</v>
      </c>
      <c r="N7" s="161">
        <v>0</v>
      </c>
      <c r="O7" s="162"/>
      <c r="P7" s="140" t="s">
        <v>276</v>
      </c>
      <c r="Q7" s="140"/>
    </row>
    <row r="8" spans="2:19" ht="20.100000000000001" customHeight="1" x14ac:dyDescent="0.25">
      <c r="C8" s="158" t="s">
        <v>277</v>
      </c>
      <c r="D8" s="143" t="s">
        <v>278</v>
      </c>
      <c r="E8" s="140" t="s">
        <v>275</v>
      </c>
      <c r="F8" s="140" t="s">
        <v>275</v>
      </c>
      <c r="G8" s="159"/>
      <c r="H8" s="140" t="s">
        <v>275</v>
      </c>
      <c r="I8" s="140" t="s">
        <v>275</v>
      </c>
      <c r="J8" s="160"/>
      <c r="K8" s="161">
        <v>0</v>
      </c>
      <c r="L8" s="161">
        <v>0</v>
      </c>
      <c r="M8" s="161">
        <v>0</v>
      </c>
      <c r="N8" s="161">
        <v>0</v>
      </c>
      <c r="O8" s="162"/>
      <c r="P8" s="140" t="s">
        <v>276</v>
      </c>
      <c r="Q8" s="140"/>
    </row>
    <row r="9" spans="2:19" ht="20.100000000000001" customHeight="1" x14ac:dyDescent="0.25">
      <c r="C9" s="158" t="s">
        <v>279</v>
      </c>
      <c r="D9" s="143" t="s">
        <v>280</v>
      </c>
      <c r="E9" s="140" t="s">
        <v>275</v>
      </c>
      <c r="F9" s="140" t="s">
        <v>275</v>
      </c>
      <c r="G9" s="159"/>
      <c r="H9" s="140" t="s">
        <v>275</v>
      </c>
      <c r="I9" s="140" t="s">
        <v>275</v>
      </c>
      <c r="J9" s="160"/>
      <c r="K9" s="161">
        <v>0</v>
      </c>
      <c r="L9" s="161">
        <v>0</v>
      </c>
      <c r="M9" s="161">
        <v>0</v>
      </c>
      <c r="N9" s="161">
        <v>0</v>
      </c>
      <c r="O9" s="162"/>
      <c r="P9" s="140" t="s">
        <v>276</v>
      </c>
      <c r="Q9" s="140"/>
    </row>
    <row r="10" spans="2:19" ht="20.100000000000001" customHeight="1" x14ac:dyDescent="0.25">
      <c r="C10" s="158" t="s">
        <v>281</v>
      </c>
      <c r="D10" s="143" t="s">
        <v>282</v>
      </c>
      <c r="E10" s="140" t="s">
        <v>275</v>
      </c>
      <c r="F10" s="140" t="s">
        <v>275</v>
      </c>
      <c r="G10" s="159"/>
      <c r="H10" s="140" t="s">
        <v>275</v>
      </c>
      <c r="I10" s="140" t="s">
        <v>275</v>
      </c>
      <c r="J10" s="160"/>
      <c r="K10" s="161">
        <v>0</v>
      </c>
      <c r="L10" s="161">
        <v>0</v>
      </c>
      <c r="M10" s="161">
        <v>0</v>
      </c>
      <c r="N10" s="161">
        <v>0</v>
      </c>
      <c r="O10" s="162"/>
      <c r="P10" s="140" t="s">
        <v>276</v>
      </c>
      <c r="Q10" s="140"/>
    </row>
    <row r="11" spans="2:19" ht="20.100000000000001" customHeight="1" x14ac:dyDescent="0.25">
      <c r="C11" s="158" t="s">
        <v>283</v>
      </c>
      <c r="D11" s="143" t="s">
        <v>284</v>
      </c>
      <c r="E11" s="140" t="s">
        <v>285</v>
      </c>
      <c r="F11" s="140" t="s">
        <v>275</v>
      </c>
      <c r="G11" s="159">
        <v>5</v>
      </c>
      <c r="H11" s="140" t="s">
        <v>275</v>
      </c>
      <c r="I11" s="140" t="s">
        <v>275</v>
      </c>
      <c r="J11" s="160"/>
      <c r="K11" s="161">
        <v>50</v>
      </c>
      <c r="L11" s="161">
        <v>150</v>
      </c>
      <c r="M11" s="161">
        <v>0</v>
      </c>
      <c r="N11" s="161">
        <v>5</v>
      </c>
      <c r="O11" s="162"/>
      <c r="P11" s="140" t="s">
        <v>276</v>
      </c>
      <c r="Q11" s="140"/>
    </row>
    <row r="12" spans="2:19" ht="20.100000000000001" customHeight="1" x14ac:dyDescent="0.25">
      <c r="C12" s="158" t="s">
        <v>286</v>
      </c>
      <c r="D12" s="143" t="s">
        <v>287</v>
      </c>
      <c r="E12" s="140" t="s">
        <v>285</v>
      </c>
      <c r="F12" s="140" t="s">
        <v>275</v>
      </c>
      <c r="G12" s="159">
        <v>5</v>
      </c>
      <c r="H12" s="140" t="s">
        <v>275</v>
      </c>
      <c r="I12" s="140" t="s">
        <v>275</v>
      </c>
      <c r="J12" s="160"/>
      <c r="K12" s="161">
        <v>50</v>
      </c>
      <c r="L12" s="161">
        <v>150</v>
      </c>
      <c r="M12" s="161">
        <v>0</v>
      </c>
      <c r="N12" s="161">
        <v>5</v>
      </c>
      <c r="O12" s="162"/>
      <c r="P12" s="140" t="s">
        <v>167</v>
      </c>
      <c r="Q12" s="140"/>
    </row>
    <row r="13" spans="2:19" ht="20.100000000000001" customHeight="1" x14ac:dyDescent="0.25">
      <c r="C13" s="158" t="s">
        <v>288</v>
      </c>
      <c r="D13" s="143" t="s">
        <v>289</v>
      </c>
      <c r="E13" s="140" t="s">
        <v>285</v>
      </c>
      <c r="F13" s="140" t="s">
        <v>275</v>
      </c>
      <c r="G13" s="159">
        <v>1</v>
      </c>
      <c r="H13" s="140" t="s">
        <v>275</v>
      </c>
      <c r="I13" s="140" t="s">
        <v>275</v>
      </c>
      <c r="J13" s="160"/>
      <c r="K13" s="161">
        <v>-1300000000</v>
      </c>
      <c r="L13" s="161">
        <v>0</v>
      </c>
      <c r="M13" s="161">
        <v>0</v>
      </c>
      <c r="N13" s="161">
        <v>0</v>
      </c>
      <c r="O13" s="162"/>
      <c r="P13" s="140" t="s">
        <v>276</v>
      </c>
      <c r="Q13" s="140"/>
    </row>
    <row r="14" spans="2:19" ht="20.100000000000001" customHeight="1" x14ac:dyDescent="0.25">
      <c r="C14" s="158" t="s">
        <v>290</v>
      </c>
      <c r="D14" s="143" t="s">
        <v>291</v>
      </c>
      <c r="E14" s="140" t="s">
        <v>285</v>
      </c>
      <c r="F14" s="140" t="s">
        <v>275</v>
      </c>
      <c r="G14" s="159">
        <v>1</v>
      </c>
      <c r="H14" s="140" t="s">
        <v>275</v>
      </c>
      <c r="I14" s="140" t="s">
        <v>275</v>
      </c>
      <c r="J14" s="160"/>
      <c r="K14" s="161">
        <v>-1300000000</v>
      </c>
      <c r="L14" s="161">
        <v>0</v>
      </c>
      <c r="M14" s="161">
        <v>0</v>
      </c>
      <c r="N14" s="161">
        <v>0</v>
      </c>
      <c r="O14" s="162"/>
      <c r="P14" s="140" t="s">
        <v>167</v>
      </c>
      <c r="Q14" s="140"/>
    </row>
    <row r="15" spans="2:19" ht="20.100000000000001" customHeight="1" x14ac:dyDescent="0.25">
      <c r="C15" s="158" t="s">
        <v>292</v>
      </c>
      <c r="D15" s="143" t="s">
        <v>293</v>
      </c>
      <c r="E15" s="140" t="s">
        <v>275</v>
      </c>
      <c r="F15" s="140" t="s">
        <v>275</v>
      </c>
      <c r="G15" s="159"/>
      <c r="H15" s="140" t="s">
        <v>275</v>
      </c>
      <c r="I15" s="140" t="s">
        <v>275</v>
      </c>
      <c r="J15" s="160"/>
      <c r="K15" s="161">
        <v>0</v>
      </c>
      <c r="L15" s="161">
        <v>0</v>
      </c>
      <c r="M15" s="161">
        <v>0</v>
      </c>
      <c r="N15" s="161">
        <v>0</v>
      </c>
      <c r="O15" s="162"/>
      <c r="P15" s="140" t="s">
        <v>167</v>
      </c>
      <c r="Q15" s="140"/>
    </row>
    <row r="16" spans="2:19" ht="20.100000000000001" customHeight="1" x14ac:dyDescent="0.25">
      <c r="C16" s="158" t="s">
        <v>294</v>
      </c>
      <c r="D16" s="143" t="s">
        <v>295</v>
      </c>
      <c r="E16" s="140" t="s">
        <v>275</v>
      </c>
      <c r="F16" s="140" t="s">
        <v>275</v>
      </c>
      <c r="G16" s="159"/>
      <c r="H16" s="140" t="s">
        <v>275</v>
      </c>
      <c r="I16" s="140" t="s">
        <v>275</v>
      </c>
      <c r="J16" s="160"/>
      <c r="K16" s="161">
        <v>0</v>
      </c>
      <c r="L16" s="161">
        <v>0</v>
      </c>
      <c r="M16" s="161">
        <v>0</v>
      </c>
      <c r="N16" s="161">
        <v>0</v>
      </c>
      <c r="O16" s="162"/>
      <c r="P16" s="140" t="s">
        <v>167</v>
      </c>
      <c r="Q16" s="140"/>
    </row>
    <row r="17" spans="3:17" ht="20.100000000000001" customHeight="1" x14ac:dyDescent="0.25">
      <c r="C17" s="158" t="s">
        <v>296</v>
      </c>
      <c r="D17" s="143" t="s">
        <v>297</v>
      </c>
      <c r="E17" s="140" t="s">
        <v>275</v>
      </c>
      <c r="F17" s="140" t="s">
        <v>275</v>
      </c>
      <c r="G17" s="159"/>
      <c r="H17" s="140" t="s">
        <v>275</v>
      </c>
      <c r="I17" s="140" t="s">
        <v>275</v>
      </c>
      <c r="J17" s="160"/>
      <c r="K17" s="161">
        <v>0</v>
      </c>
      <c r="L17" s="161">
        <v>0</v>
      </c>
      <c r="M17" s="161">
        <v>0</v>
      </c>
      <c r="N17" s="161">
        <v>0</v>
      </c>
      <c r="O17" s="162"/>
      <c r="P17" s="140" t="s">
        <v>276</v>
      </c>
      <c r="Q17" s="140"/>
    </row>
    <row r="18" spans="3:17" ht="20.100000000000001" customHeight="1" x14ac:dyDescent="0.25">
      <c r="C18" s="158" t="s">
        <v>298</v>
      </c>
      <c r="D18" s="143" t="s">
        <v>299</v>
      </c>
      <c r="E18" s="140" t="s">
        <v>275</v>
      </c>
      <c r="F18" s="140" t="s">
        <v>275</v>
      </c>
      <c r="G18" s="159"/>
      <c r="H18" s="140" t="s">
        <v>275</v>
      </c>
      <c r="I18" s="140" t="s">
        <v>275</v>
      </c>
      <c r="J18" s="160"/>
      <c r="K18" s="161">
        <v>0</v>
      </c>
      <c r="L18" s="161">
        <v>0</v>
      </c>
      <c r="M18" s="161">
        <v>0</v>
      </c>
      <c r="N18" s="161">
        <v>0</v>
      </c>
      <c r="O18" s="162"/>
      <c r="P18" s="140" t="s">
        <v>167</v>
      </c>
      <c r="Q18" s="140"/>
    </row>
    <row r="19" spans="3:17" ht="20.100000000000001" customHeight="1" x14ac:dyDescent="0.25">
      <c r="C19" s="158" t="s">
        <v>300</v>
      </c>
      <c r="D19" s="143" t="s">
        <v>301</v>
      </c>
      <c r="E19" s="140" t="s">
        <v>275</v>
      </c>
      <c r="F19" s="140" t="s">
        <v>275</v>
      </c>
      <c r="G19" s="159"/>
      <c r="H19" s="140" t="s">
        <v>275</v>
      </c>
      <c r="I19" s="140" t="s">
        <v>275</v>
      </c>
      <c r="J19" s="160"/>
      <c r="K19" s="161">
        <v>0</v>
      </c>
      <c r="L19" s="161">
        <v>0</v>
      </c>
      <c r="M19" s="161">
        <v>0</v>
      </c>
      <c r="N19" s="161">
        <v>0</v>
      </c>
      <c r="O19" s="162"/>
      <c r="P19" s="140" t="s">
        <v>167</v>
      </c>
      <c r="Q19" s="140"/>
    </row>
    <row r="20" spans="3:17" ht="20.100000000000001" customHeight="1" x14ac:dyDescent="0.25">
      <c r="C20" s="158" t="s">
        <v>302</v>
      </c>
      <c r="D20" s="143" t="s">
        <v>303</v>
      </c>
      <c r="E20" s="140" t="s">
        <v>275</v>
      </c>
      <c r="F20" s="140" t="s">
        <v>275</v>
      </c>
      <c r="G20" s="159"/>
      <c r="H20" s="140" t="s">
        <v>275</v>
      </c>
      <c r="I20" s="140" t="s">
        <v>275</v>
      </c>
      <c r="J20" s="160"/>
      <c r="K20" s="161">
        <v>0</v>
      </c>
      <c r="L20" s="161">
        <v>0</v>
      </c>
      <c r="M20" s="161">
        <v>0</v>
      </c>
      <c r="N20" s="161">
        <v>0</v>
      </c>
      <c r="O20" s="162"/>
      <c r="P20" s="140" t="s">
        <v>167</v>
      </c>
      <c r="Q20" s="140"/>
    </row>
    <row r="21" spans="3:17" ht="20.100000000000001" customHeight="1" x14ac:dyDescent="0.25">
      <c r="C21" s="158" t="s">
        <v>304</v>
      </c>
      <c r="D21" s="143" t="s">
        <v>305</v>
      </c>
      <c r="E21" s="140" t="s">
        <v>275</v>
      </c>
      <c r="F21" s="140" t="s">
        <v>275</v>
      </c>
      <c r="G21" s="159"/>
      <c r="H21" s="140" t="s">
        <v>275</v>
      </c>
      <c r="I21" s="140" t="s">
        <v>275</v>
      </c>
      <c r="J21" s="160"/>
      <c r="K21" s="161">
        <v>0</v>
      </c>
      <c r="L21" s="161">
        <v>0</v>
      </c>
      <c r="M21" s="161">
        <v>0</v>
      </c>
      <c r="N21" s="161">
        <v>0</v>
      </c>
      <c r="O21" s="162"/>
      <c r="P21" s="140"/>
      <c r="Q21" s="140"/>
    </row>
    <row r="22" spans="3:17" ht="20.100000000000001" customHeight="1" x14ac:dyDescent="0.25">
      <c r="C22" s="158" t="s">
        <v>306</v>
      </c>
      <c r="D22" s="143" t="s">
        <v>307</v>
      </c>
      <c r="E22" s="140" t="s">
        <v>285</v>
      </c>
      <c r="F22" s="140" t="s">
        <v>275</v>
      </c>
      <c r="G22" s="159">
        <v>1</v>
      </c>
      <c r="H22" s="140" t="s">
        <v>275</v>
      </c>
      <c r="I22" s="140" t="s">
        <v>275</v>
      </c>
      <c r="J22" s="160"/>
      <c r="K22" s="161">
        <v>1500000</v>
      </c>
      <c r="L22" s="161">
        <v>2000000</v>
      </c>
      <c r="M22" s="161">
        <v>0</v>
      </c>
      <c r="N22" s="161">
        <v>250000</v>
      </c>
      <c r="O22" s="162"/>
      <c r="P22" s="140"/>
      <c r="Q22" s="140"/>
    </row>
    <row r="23" spans="3:17" ht="20.100000000000001" customHeight="1" x14ac:dyDescent="0.25">
      <c r="C23" s="158" t="s">
        <v>948</v>
      </c>
      <c r="D23" s="143" t="s">
        <v>949</v>
      </c>
      <c r="E23" s="140" t="s">
        <v>275</v>
      </c>
      <c r="F23" s="140" t="s">
        <v>275</v>
      </c>
      <c r="G23" s="159"/>
      <c r="H23" s="140" t="s">
        <v>275</v>
      </c>
      <c r="I23" s="140" t="s">
        <v>275</v>
      </c>
      <c r="J23" s="160"/>
      <c r="K23" s="161">
        <v>0</v>
      </c>
      <c r="L23" s="161">
        <v>0</v>
      </c>
      <c r="M23" s="161">
        <v>0</v>
      </c>
      <c r="N23" s="161">
        <v>0</v>
      </c>
      <c r="O23" s="162"/>
      <c r="P23" s="140" t="s">
        <v>276</v>
      </c>
      <c r="Q23" s="140"/>
    </row>
    <row r="24" spans="3:17" ht="20.100000000000001" customHeight="1" x14ac:dyDescent="0.25">
      <c r="C24" s="158"/>
      <c r="D24" s="143"/>
      <c r="E24" s="140"/>
      <c r="F24" s="140"/>
      <c r="G24" s="159"/>
      <c r="H24" s="140"/>
      <c r="I24" s="140"/>
      <c r="J24" s="160"/>
      <c r="K24" s="161"/>
      <c r="L24" s="161"/>
      <c r="M24" s="161"/>
      <c r="N24" s="161"/>
      <c r="O24" s="162"/>
      <c r="P24" s="140"/>
      <c r="Q24" s="140"/>
    </row>
    <row r="25" spans="3:17" ht="20.100000000000001" customHeight="1" x14ac:dyDescent="0.25">
      <c r="C25" s="158"/>
      <c r="D25" s="143"/>
      <c r="E25" s="140"/>
      <c r="F25" s="140"/>
      <c r="G25" s="159"/>
      <c r="H25" s="140"/>
      <c r="I25" s="140"/>
      <c r="J25" s="160"/>
      <c r="K25" s="161"/>
      <c r="L25" s="161"/>
      <c r="M25" s="161"/>
      <c r="N25" s="161"/>
      <c r="O25" s="162"/>
      <c r="P25" s="140"/>
      <c r="Q25" s="140"/>
    </row>
    <row r="26" spans="3:17" ht="20.100000000000001" customHeight="1" x14ac:dyDescent="0.25">
      <c r="C26" s="158"/>
      <c r="D26" s="143"/>
      <c r="E26" s="140"/>
      <c r="F26" s="140"/>
      <c r="G26" s="159"/>
      <c r="H26" s="140"/>
      <c r="I26" s="140"/>
      <c r="J26" s="160"/>
      <c r="K26" s="161"/>
      <c r="L26" s="161"/>
      <c r="M26" s="161"/>
      <c r="N26" s="161"/>
      <c r="O26" s="162"/>
      <c r="P26" s="140"/>
      <c r="Q26" s="140"/>
    </row>
    <row r="27" spans="3:17" ht="20.100000000000001" customHeight="1" x14ac:dyDescent="0.25">
      <c r="C27" s="158"/>
      <c r="D27" s="143"/>
      <c r="E27" s="140"/>
      <c r="F27" s="140"/>
      <c r="G27" s="159"/>
      <c r="H27" s="140"/>
      <c r="I27" s="140"/>
      <c r="J27" s="160"/>
      <c r="K27" s="161"/>
      <c r="L27" s="161"/>
      <c r="M27" s="161"/>
      <c r="N27" s="161"/>
      <c r="O27" s="162"/>
      <c r="P27" s="140"/>
      <c r="Q27" s="140"/>
    </row>
    <row r="28" spans="3:17" ht="20.100000000000001" customHeight="1" x14ac:dyDescent="0.25">
      <c r="C28" s="158"/>
      <c r="D28" s="143"/>
      <c r="E28" s="140"/>
      <c r="F28" s="140"/>
      <c r="G28" s="159"/>
      <c r="H28" s="140"/>
      <c r="I28" s="140"/>
      <c r="J28" s="160"/>
      <c r="K28" s="161"/>
      <c r="L28" s="161"/>
      <c r="M28" s="161"/>
      <c r="N28" s="161"/>
      <c r="O28" s="162"/>
      <c r="P28" s="140"/>
      <c r="Q28" s="140"/>
    </row>
    <row r="29" spans="3:17" ht="20.100000000000001" customHeight="1" x14ac:dyDescent="0.25">
      <c r="C29" s="158"/>
      <c r="D29" s="143"/>
      <c r="E29" s="140"/>
      <c r="F29" s="140"/>
      <c r="G29" s="159"/>
      <c r="H29" s="140"/>
      <c r="I29" s="140"/>
      <c r="J29" s="160"/>
      <c r="K29" s="161"/>
      <c r="L29" s="161"/>
      <c r="M29" s="161"/>
      <c r="N29" s="161"/>
      <c r="O29" s="162"/>
      <c r="P29" s="140"/>
      <c r="Q29" s="140"/>
    </row>
    <row r="30" spans="3:17" ht="20.100000000000001" customHeight="1" x14ac:dyDescent="0.25">
      <c r="C30" s="158"/>
      <c r="D30" s="143"/>
      <c r="E30" s="140"/>
      <c r="F30" s="140"/>
      <c r="G30" s="159"/>
      <c r="H30" s="140"/>
      <c r="I30" s="140"/>
      <c r="J30" s="160"/>
      <c r="K30" s="161"/>
      <c r="L30" s="161"/>
      <c r="M30" s="161"/>
      <c r="N30" s="161"/>
      <c r="O30" s="162"/>
      <c r="P30" s="140"/>
      <c r="Q30" s="140"/>
    </row>
    <row r="31" spans="3:17" ht="20.100000000000001" customHeight="1" x14ac:dyDescent="0.25">
      <c r="C31" s="158"/>
      <c r="D31" s="143"/>
      <c r="E31" s="140"/>
      <c r="F31" s="140"/>
      <c r="G31" s="159"/>
      <c r="H31" s="140"/>
      <c r="I31" s="140"/>
      <c r="J31" s="160"/>
      <c r="K31" s="161"/>
      <c r="L31" s="161"/>
      <c r="M31" s="161"/>
      <c r="N31" s="161"/>
      <c r="O31" s="162"/>
      <c r="P31" s="140"/>
      <c r="Q31" s="140"/>
    </row>
    <row r="32" spans="3:17" ht="20.100000000000001" customHeight="1" x14ac:dyDescent="0.25">
      <c r="C32" s="158"/>
      <c r="D32" s="143"/>
      <c r="E32" s="140"/>
      <c r="F32" s="140"/>
      <c r="G32" s="159"/>
      <c r="H32" s="140"/>
      <c r="I32" s="140"/>
      <c r="J32" s="160"/>
      <c r="K32" s="161"/>
      <c r="L32" s="161"/>
      <c r="M32" s="161"/>
      <c r="N32" s="161"/>
      <c r="O32" s="162"/>
      <c r="P32" s="140"/>
      <c r="Q32" s="140"/>
    </row>
    <row r="33" spans="3:17" ht="20.100000000000001" customHeight="1" x14ac:dyDescent="0.25">
      <c r="C33" s="158"/>
      <c r="D33" s="143"/>
      <c r="E33" s="140"/>
      <c r="F33" s="140"/>
      <c r="G33" s="159"/>
      <c r="H33" s="140"/>
      <c r="I33" s="140"/>
      <c r="J33" s="160"/>
      <c r="K33" s="161"/>
      <c r="L33" s="161"/>
      <c r="M33" s="161"/>
      <c r="N33" s="161"/>
      <c r="O33" s="162"/>
      <c r="P33" s="140"/>
      <c r="Q33" s="140"/>
    </row>
    <row r="34" spans="3:17" ht="20.100000000000001" customHeight="1" x14ac:dyDescent="0.25">
      <c r="C34" s="158"/>
      <c r="D34" s="143"/>
      <c r="E34" s="140"/>
      <c r="F34" s="140"/>
      <c r="G34" s="159"/>
      <c r="H34" s="140"/>
      <c r="I34" s="140"/>
      <c r="J34" s="160"/>
      <c r="K34" s="161"/>
      <c r="L34" s="161"/>
      <c r="M34" s="161"/>
      <c r="N34" s="161"/>
      <c r="O34" s="162"/>
      <c r="P34" s="140"/>
      <c r="Q34" s="140"/>
    </row>
    <row r="35" spans="3:17" ht="20.100000000000001" customHeight="1" x14ac:dyDescent="0.25">
      <c r="C35" s="158"/>
      <c r="D35" s="143"/>
      <c r="E35" s="140"/>
      <c r="F35" s="140"/>
      <c r="G35" s="159"/>
      <c r="H35" s="140"/>
      <c r="I35" s="140"/>
      <c r="J35" s="160"/>
      <c r="K35" s="161"/>
      <c r="L35" s="161"/>
      <c r="M35" s="161"/>
      <c r="N35" s="161"/>
      <c r="O35" s="162"/>
      <c r="P35" s="140"/>
      <c r="Q35" s="140"/>
    </row>
    <row r="36" spans="3:17" ht="20.100000000000001" customHeight="1" x14ac:dyDescent="0.25">
      <c r="C36" s="158"/>
      <c r="D36" s="143"/>
      <c r="E36" s="140"/>
      <c r="F36" s="140"/>
      <c r="G36" s="159"/>
      <c r="H36" s="140"/>
      <c r="I36" s="140"/>
      <c r="J36" s="160"/>
      <c r="K36" s="161"/>
      <c r="L36" s="161"/>
      <c r="M36" s="161"/>
      <c r="N36" s="161"/>
      <c r="O36" s="162"/>
      <c r="P36" s="140"/>
      <c r="Q36" s="140"/>
    </row>
    <row r="37" spans="3:17" ht="20.100000000000001" customHeight="1" x14ac:dyDescent="0.25">
      <c r="C37" s="158"/>
      <c r="D37" s="143"/>
      <c r="E37" s="140"/>
      <c r="F37" s="140"/>
      <c r="G37" s="159"/>
      <c r="H37" s="140"/>
      <c r="I37" s="140"/>
      <c r="J37" s="160"/>
      <c r="K37" s="161"/>
      <c r="L37" s="161"/>
      <c r="M37" s="161"/>
      <c r="N37" s="161"/>
      <c r="O37" s="162"/>
      <c r="P37" s="140"/>
      <c r="Q37" s="140"/>
    </row>
    <row r="38" spans="3:17" ht="20.100000000000001" customHeight="1" x14ac:dyDescent="0.25">
      <c r="C38" s="158"/>
      <c r="D38" s="143"/>
      <c r="E38" s="140"/>
      <c r="F38" s="140"/>
      <c r="G38" s="159"/>
      <c r="H38" s="140"/>
      <c r="I38" s="140"/>
      <c r="J38" s="160"/>
      <c r="K38" s="161"/>
      <c r="L38" s="161"/>
      <c r="M38" s="161"/>
      <c r="N38" s="161"/>
      <c r="O38" s="162"/>
      <c r="P38" s="140"/>
      <c r="Q38" s="140"/>
    </row>
    <row r="39" spans="3:17" ht="20.100000000000001" customHeight="1" x14ac:dyDescent="0.25">
      <c r="C39" s="158"/>
      <c r="D39" s="143"/>
      <c r="E39" s="140"/>
      <c r="F39" s="140"/>
      <c r="G39" s="159"/>
      <c r="H39" s="140"/>
      <c r="I39" s="140"/>
      <c r="J39" s="160"/>
      <c r="K39" s="161"/>
      <c r="L39" s="161"/>
      <c r="M39" s="161"/>
      <c r="N39" s="161"/>
      <c r="O39" s="162"/>
      <c r="P39" s="140"/>
      <c r="Q39" s="140"/>
    </row>
    <row r="40" spans="3:17" ht="20.100000000000001" customHeight="1" x14ac:dyDescent="0.25">
      <c r="C40" s="158"/>
      <c r="D40" s="143"/>
      <c r="E40" s="140"/>
      <c r="F40" s="140"/>
      <c r="G40" s="159"/>
      <c r="H40" s="140"/>
      <c r="I40" s="140"/>
      <c r="J40" s="160"/>
      <c r="K40" s="161"/>
      <c r="L40" s="161"/>
      <c r="M40" s="161"/>
      <c r="N40" s="161"/>
      <c r="O40" s="162"/>
      <c r="P40" s="140"/>
      <c r="Q40" s="140"/>
    </row>
    <row r="41" spans="3:17" ht="20.100000000000001" customHeight="1" x14ac:dyDescent="0.25">
      <c r="C41" s="158"/>
      <c r="D41" s="143"/>
      <c r="E41" s="140"/>
      <c r="F41" s="140"/>
      <c r="G41" s="159"/>
      <c r="H41" s="140"/>
      <c r="I41" s="140"/>
      <c r="J41" s="160"/>
      <c r="K41" s="161"/>
      <c r="L41" s="161"/>
      <c r="M41" s="161"/>
      <c r="N41" s="161"/>
      <c r="O41" s="162"/>
      <c r="P41" s="140"/>
      <c r="Q41" s="140"/>
    </row>
    <row r="42" spans="3:17" ht="20.100000000000001" customHeight="1" x14ac:dyDescent="0.25">
      <c r="C42" s="158"/>
      <c r="D42" s="143"/>
      <c r="E42" s="140"/>
      <c r="F42" s="140"/>
      <c r="G42" s="159"/>
      <c r="H42" s="140"/>
      <c r="I42" s="140"/>
      <c r="J42" s="160"/>
      <c r="K42" s="161"/>
      <c r="L42" s="161"/>
      <c r="M42" s="161"/>
      <c r="N42" s="161"/>
      <c r="O42" s="162"/>
      <c r="P42" s="140"/>
      <c r="Q42" s="140"/>
    </row>
    <row r="43" spans="3:17" ht="20.100000000000001" customHeight="1" x14ac:dyDescent="0.25">
      <c r="C43" s="158"/>
      <c r="D43" s="143"/>
      <c r="E43" s="140"/>
      <c r="F43" s="140"/>
      <c r="G43" s="159"/>
      <c r="H43" s="140"/>
      <c r="I43" s="140"/>
      <c r="J43" s="160"/>
      <c r="K43" s="161"/>
      <c r="L43" s="161"/>
      <c r="M43" s="161"/>
      <c r="N43" s="161"/>
      <c r="O43" s="162"/>
      <c r="P43" s="140"/>
      <c r="Q43" s="140"/>
    </row>
    <row r="44" spans="3:17" ht="20.100000000000001" customHeight="1" x14ac:dyDescent="0.25">
      <c r="C44" s="158"/>
      <c r="D44" s="143"/>
      <c r="E44" s="140"/>
      <c r="F44" s="140"/>
      <c r="G44" s="159"/>
      <c r="H44" s="140"/>
      <c r="I44" s="140"/>
      <c r="J44" s="160"/>
      <c r="K44" s="161"/>
      <c r="L44" s="161"/>
      <c r="M44" s="161"/>
      <c r="N44" s="161"/>
      <c r="O44" s="162"/>
      <c r="P44" s="140"/>
      <c r="Q44" s="140"/>
    </row>
    <row r="45" spans="3:17" ht="20.100000000000001" customHeight="1" x14ac:dyDescent="0.25">
      <c r="C45" s="158"/>
      <c r="D45" s="143"/>
      <c r="E45" s="140"/>
      <c r="F45" s="140"/>
      <c r="G45" s="159"/>
      <c r="H45" s="140"/>
      <c r="I45" s="140"/>
      <c r="J45" s="160"/>
      <c r="K45" s="161"/>
      <c r="L45" s="161"/>
      <c r="M45" s="161"/>
      <c r="N45" s="161"/>
      <c r="O45" s="162"/>
      <c r="P45" s="140"/>
      <c r="Q45" s="140"/>
    </row>
    <row r="46" spans="3:17" ht="20.100000000000001" customHeight="1" x14ac:dyDescent="0.25">
      <c r="C46" s="158"/>
      <c r="D46" s="143"/>
      <c r="E46" s="140"/>
      <c r="F46" s="140"/>
      <c r="G46" s="159"/>
      <c r="H46" s="140"/>
      <c r="I46" s="140"/>
      <c r="J46" s="160"/>
      <c r="K46" s="161"/>
      <c r="L46" s="161"/>
      <c r="M46" s="161"/>
      <c r="N46" s="161"/>
      <c r="O46" s="162"/>
      <c r="P46" s="140"/>
      <c r="Q46" s="140"/>
    </row>
    <row r="47" spans="3:17" ht="20.100000000000001" customHeight="1" x14ac:dyDescent="0.25">
      <c r="C47" s="158"/>
      <c r="D47" s="143"/>
      <c r="E47" s="140"/>
      <c r="F47" s="140"/>
      <c r="G47" s="159"/>
      <c r="H47" s="140"/>
      <c r="I47" s="140"/>
      <c r="J47" s="160"/>
      <c r="K47" s="161"/>
      <c r="L47" s="161"/>
      <c r="M47" s="161"/>
      <c r="N47" s="161"/>
      <c r="O47" s="162"/>
      <c r="P47" s="140"/>
      <c r="Q47" s="140"/>
    </row>
    <row r="48" spans="3:17" ht="20.100000000000001" customHeight="1" x14ac:dyDescent="0.25">
      <c r="C48" s="158"/>
      <c r="D48" s="143"/>
      <c r="E48" s="140"/>
      <c r="F48" s="140"/>
      <c r="G48" s="159"/>
      <c r="H48" s="140"/>
      <c r="I48" s="140"/>
      <c r="J48" s="160"/>
      <c r="K48" s="161"/>
      <c r="L48" s="161"/>
      <c r="M48" s="161"/>
      <c r="N48" s="161"/>
      <c r="O48" s="162"/>
      <c r="P48" s="140"/>
      <c r="Q48" s="140"/>
    </row>
    <row r="49" spans="3:17" ht="20.100000000000001" customHeight="1" x14ac:dyDescent="0.25">
      <c r="C49" s="158"/>
      <c r="D49" s="143"/>
      <c r="E49" s="140"/>
      <c r="F49" s="140"/>
      <c r="G49" s="159"/>
      <c r="H49" s="140"/>
      <c r="I49" s="140"/>
      <c r="J49" s="160"/>
      <c r="K49" s="161"/>
      <c r="L49" s="161"/>
      <c r="M49" s="161"/>
      <c r="N49" s="161"/>
      <c r="O49" s="162"/>
      <c r="P49" s="140"/>
      <c r="Q49" s="140"/>
    </row>
    <row r="50" spans="3:17" ht="20.100000000000001" customHeight="1" x14ac:dyDescent="0.25">
      <c r="C50" s="158"/>
      <c r="D50" s="143"/>
      <c r="E50" s="140"/>
      <c r="F50" s="140"/>
      <c r="G50" s="159"/>
      <c r="H50" s="140"/>
      <c r="I50" s="140"/>
      <c r="J50" s="160"/>
      <c r="K50" s="161"/>
      <c r="L50" s="161"/>
      <c r="M50" s="161"/>
      <c r="N50" s="161"/>
      <c r="O50" s="162"/>
      <c r="P50" s="140"/>
      <c r="Q50" s="140"/>
    </row>
    <row r="51" spans="3:17" ht="20.100000000000001" customHeight="1" x14ac:dyDescent="0.25">
      <c r="C51" s="158"/>
      <c r="D51" s="143"/>
      <c r="E51" s="140"/>
      <c r="F51" s="140"/>
      <c r="G51" s="159"/>
      <c r="H51" s="140"/>
      <c r="I51" s="140"/>
      <c r="J51" s="160"/>
      <c r="K51" s="161"/>
      <c r="L51" s="161"/>
      <c r="M51" s="161"/>
      <c r="N51" s="161"/>
      <c r="O51" s="162"/>
      <c r="P51" s="140"/>
      <c r="Q51" s="140"/>
    </row>
    <row r="52" spans="3:17" ht="20.100000000000001" customHeight="1" x14ac:dyDescent="0.25">
      <c r="C52" s="158"/>
      <c r="D52" s="143"/>
      <c r="E52" s="140"/>
      <c r="F52" s="140"/>
      <c r="G52" s="159"/>
      <c r="H52" s="140"/>
      <c r="I52" s="140"/>
      <c r="J52" s="160"/>
      <c r="K52" s="161"/>
      <c r="L52" s="161"/>
      <c r="M52" s="161"/>
      <c r="N52" s="161"/>
      <c r="O52" s="162"/>
      <c r="P52" s="140"/>
      <c r="Q52" s="140"/>
    </row>
    <row r="53" spans="3:17" ht="20.100000000000001" customHeight="1" x14ac:dyDescent="0.25">
      <c r="C53" s="158"/>
      <c r="D53" s="143"/>
      <c r="E53" s="140"/>
      <c r="F53" s="140"/>
      <c r="G53" s="159"/>
      <c r="H53" s="140"/>
      <c r="I53" s="140"/>
      <c r="J53" s="160"/>
      <c r="K53" s="161"/>
      <c r="L53" s="161"/>
      <c r="M53" s="161"/>
      <c r="N53" s="161"/>
      <c r="O53" s="162"/>
      <c r="P53" s="140"/>
      <c r="Q53" s="140"/>
    </row>
    <row r="54" spans="3:17" ht="20.100000000000001" customHeight="1" x14ac:dyDescent="0.25">
      <c r="C54" s="158"/>
      <c r="D54" s="143"/>
      <c r="E54" s="140"/>
      <c r="F54" s="140"/>
      <c r="G54" s="159"/>
      <c r="H54" s="140"/>
      <c r="I54" s="140"/>
      <c r="J54" s="160"/>
      <c r="K54" s="161"/>
      <c r="L54" s="161"/>
      <c r="M54" s="161"/>
      <c r="N54" s="161"/>
      <c r="O54" s="162"/>
      <c r="P54" s="140"/>
      <c r="Q54" s="140"/>
    </row>
    <row r="55" spans="3:17" ht="20.100000000000001" customHeight="1" x14ac:dyDescent="0.25">
      <c r="C55" s="158"/>
      <c r="D55" s="143"/>
      <c r="E55" s="140"/>
      <c r="F55" s="140"/>
      <c r="G55" s="159"/>
      <c r="H55" s="140"/>
      <c r="I55" s="140"/>
      <c r="J55" s="160"/>
      <c r="K55" s="161"/>
      <c r="L55" s="161"/>
      <c r="M55" s="161"/>
      <c r="N55" s="161"/>
      <c r="O55" s="162"/>
      <c r="P55" s="140"/>
      <c r="Q55" s="140"/>
    </row>
    <row r="56" spans="3:17" ht="20.100000000000001" customHeight="1" x14ac:dyDescent="0.25">
      <c r="C56" s="158"/>
      <c r="D56" s="143"/>
      <c r="E56" s="140"/>
      <c r="F56" s="140"/>
      <c r="G56" s="159"/>
      <c r="H56" s="140"/>
      <c r="I56" s="140"/>
      <c r="J56" s="160"/>
      <c r="K56" s="161"/>
      <c r="L56" s="161"/>
      <c r="M56" s="161"/>
      <c r="N56" s="161"/>
      <c r="O56" s="162"/>
      <c r="P56" s="140"/>
      <c r="Q56" s="140"/>
    </row>
    <row r="57" spans="3:17" ht="20.100000000000001" customHeight="1" x14ac:dyDescent="0.25">
      <c r="C57" s="158"/>
      <c r="D57" s="143"/>
      <c r="E57" s="140"/>
      <c r="F57" s="140"/>
      <c r="G57" s="159"/>
      <c r="H57" s="140"/>
      <c r="I57" s="140"/>
      <c r="J57" s="160"/>
      <c r="K57" s="161"/>
      <c r="L57" s="161"/>
      <c r="M57" s="161"/>
      <c r="N57" s="161"/>
      <c r="O57" s="162"/>
      <c r="P57" s="140"/>
      <c r="Q57" s="140"/>
    </row>
    <row r="58" spans="3:17" ht="20.100000000000001" customHeight="1" x14ac:dyDescent="0.25">
      <c r="C58" s="158"/>
      <c r="D58" s="143"/>
      <c r="E58" s="140"/>
      <c r="F58" s="140"/>
      <c r="G58" s="159"/>
      <c r="H58" s="140"/>
      <c r="I58" s="140"/>
      <c r="J58" s="160"/>
      <c r="K58" s="161"/>
      <c r="L58" s="161"/>
      <c r="M58" s="161"/>
      <c r="N58" s="161"/>
      <c r="O58" s="162"/>
      <c r="P58" s="140"/>
      <c r="Q58" s="140"/>
    </row>
    <row r="59" spans="3:17" ht="20.100000000000001" customHeight="1" x14ac:dyDescent="0.25">
      <c r="C59" s="158"/>
      <c r="D59" s="143"/>
      <c r="E59" s="140"/>
      <c r="F59" s="140"/>
      <c r="G59" s="159"/>
      <c r="H59" s="140"/>
      <c r="I59" s="140"/>
      <c r="J59" s="160"/>
      <c r="K59" s="161"/>
      <c r="L59" s="161"/>
      <c r="M59" s="161"/>
      <c r="N59" s="161"/>
      <c r="O59" s="162"/>
      <c r="P59" s="140"/>
      <c r="Q59" s="140"/>
    </row>
    <row r="60" spans="3:17" ht="20.100000000000001" customHeight="1" x14ac:dyDescent="0.25">
      <c r="C60" s="158"/>
      <c r="D60" s="143"/>
      <c r="E60" s="140"/>
      <c r="F60" s="140"/>
      <c r="G60" s="159"/>
      <c r="H60" s="140"/>
      <c r="I60" s="140"/>
      <c r="J60" s="160"/>
      <c r="K60" s="161"/>
      <c r="L60" s="161"/>
      <c r="M60" s="161"/>
      <c r="N60" s="161"/>
      <c r="O60" s="162"/>
      <c r="P60" s="140"/>
      <c r="Q60" s="140"/>
    </row>
    <row r="61" spans="3:17" ht="20.100000000000001" customHeight="1" x14ac:dyDescent="0.25">
      <c r="C61" s="158"/>
      <c r="D61" s="143"/>
      <c r="E61" s="140"/>
      <c r="F61" s="140"/>
      <c r="G61" s="159"/>
      <c r="H61" s="140"/>
      <c r="I61" s="140"/>
      <c r="J61" s="160"/>
      <c r="K61" s="161"/>
      <c r="L61" s="161"/>
      <c r="M61" s="161"/>
      <c r="N61" s="161"/>
      <c r="O61" s="162"/>
      <c r="P61" s="140"/>
      <c r="Q61" s="140"/>
    </row>
    <row r="62" spans="3:17" ht="20.100000000000001" customHeight="1" x14ac:dyDescent="0.25">
      <c r="C62" s="158"/>
      <c r="D62" s="143"/>
      <c r="E62" s="140"/>
      <c r="F62" s="140"/>
      <c r="G62" s="159"/>
      <c r="H62" s="140"/>
      <c r="I62" s="140"/>
      <c r="J62" s="160"/>
      <c r="K62" s="161"/>
      <c r="L62" s="161"/>
      <c r="M62" s="161"/>
      <c r="N62" s="161"/>
      <c r="O62" s="162"/>
      <c r="P62" s="140"/>
      <c r="Q62" s="140"/>
    </row>
    <row r="63" spans="3:17" ht="20.100000000000001" customHeight="1" x14ac:dyDescent="0.25">
      <c r="C63" s="158"/>
      <c r="D63" s="143"/>
      <c r="E63" s="140"/>
      <c r="F63" s="140"/>
      <c r="G63" s="159"/>
      <c r="H63" s="140"/>
      <c r="I63" s="140"/>
      <c r="J63" s="160"/>
      <c r="K63" s="161"/>
      <c r="L63" s="161"/>
      <c r="M63" s="161"/>
      <c r="N63" s="161"/>
      <c r="O63" s="162"/>
      <c r="P63" s="140"/>
      <c r="Q63" s="140"/>
    </row>
    <row r="64" spans="3:17" ht="20.100000000000001" customHeight="1" x14ac:dyDescent="0.25">
      <c r="C64" s="158"/>
      <c r="D64" s="143"/>
      <c r="E64" s="140"/>
      <c r="F64" s="140"/>
      <c r="G64" s="159"/>
      <c r="H64" s="140"/>
      <c r="I64" s="140"/>
      <c r="J64" s="160"/>
      <c r="K64" s="161"/>
      <c r="L64" s="161"/>
      <c r="M64" s="161"/>
      <c r="N64" s="161"/>
      <c r="O64" s="162"/>
      <c r="P64" s="140"/>
      <c r="Q64" s="140"/>
    </row>
    <row r="65" spans="3:17" ht="20.100000000000001" customHeight="1" x14ac:dyDescent="0.25">
      <c r="C65" s="158"/>
      <c r="D65" s="143"/>
      <c r="E65" s="140"/>
      <c r="F65" s="140"/>
      <c r="G65" s="159"/>
      <c r="H65" s="140"/>
      <c r="I65" s="140"/>
      <c r="J65" s="160"/>
      <c r="K65" s="161"/>
      <c r="L65" s="161"/>
      <c r="M65" s="161"/>
      <c r="N65" s="161"/>
      <c r="O65" s="162"/>
      <c r="P65" s="140"/>
      <c r="Q65" s="140"/>
    </row>
    <row r="66" spans="3:17" ht="20.100000000000001" customHeight="1" x14ac:dyDescent="0.25">
      <c r="C66" s="158"/>
      <c r="D66" s="143"/>
      <c r="E66" s="140"/>
      <c r="F66" s="140"/>
      <c r="G66" s="159"/>
      <c r="H66" s="140"/>
      <c r="I66" s="140"/>
      <c r="J66" s="160"/>
      <c r="K66" s="161"/>
      <c r="L66" s="161"/>
      <c r="M66" s="161"/>
      <c r="N66" s="161"/>
      <c r="O66" s="162"/>
      <c r="P66" s="140"/>
      <c r="Q66" s="140"/>
    </row>
    <row r="67" spans="3:17" ht="20.100000000000001" customHeight="1" x14ac:dyDescent="0.25">
      <c r="C67" s="158"/>
      <c r="D67" s="143"/>
      <c r="E67" s="140"/>
      <c r="F67" s="140"/>
      <c r="G67" s="159"/>
      <c r="H67" s="140"/>
      <c r="I67" s="140"/>
      <c r="J67" s="160"/>
      <c r="K67" s="161"/>
      <c r="L67" s="161"/>
      <c r="M67" s="161"/>
      <c r="N67" s="161"/>
      <c r="O67" s="162"/>
      <c r="P67" s="140"/>
      <c r="Q67" s="140"/>
    </row>
    <row r="68" spans="3:17" ht="20.100000000000001" customHeight="1" x14ac:dyDescent="0.25">
      <c r="C68" s="158"/>
      <c r="D68" s="143"/>
      <c r="E68" s="140"/>
      <c r="F68" s="140"/>
      <c r="G68" s="159"/>
      <c r="H68" s="140"/>
      <c r="I68" s="140"/>
      <c r="J68" s="160"/>
      <c r="K68" s="161"/>
      <c r="L68" s="161"/>
      <c r="M68" s="161"/>
      <c r="N68" s="161"/>
      <c r="O68" s="162"/>
      <c r="P68" s="140"/>
      <c r="Q68" s="140"/>
    </row>
    <row r="69" spans="3:17" ht="20.100000000000001" customHeight="1" x14ac:dyDescent="0.25">
      <c r="C69" s="158"/>
      <c r="D69" s="143"/>
      <c r="E69" s="140"/>
      <c r="F69" s="140"/>
      <c r="G69" s="159"/>
      <c r="H69" s="140"/>
      <c r="I69" s="140"/>
      <c r="J69" s="160"/>
      <c r="K69" s="161"/>
      <c r="L69" s="161"/>
      <c r="M69" s="161"/>
      <c r="N69" s="161"/>
      <c r="O69" s="162"/>
      <c r="P69" s="140"/>
      <c r="Q69" s="140"/>
    </row>
    <row r="70" spans="3:17" ht="20.100000000000001" customHeight="1" x14ac:dyDescent="0.25">
      <c r="C70" s="158"/>
      <c r="D70" s="143"/>
      <c r="E70" s="140"/>
      <c r="F70" s="140"/>
      <c r="G70" s="159"/>
      <c r="H70" s="140"/>
      <c r="I70" s="140"/>
      <c r="J70" s="160"/>
      <c r="K70" s="161"/>
      <c r="L70" s="161"/>
      <c r="M70" s="161"/>
      <c r="N70" s="161"/>
      <c r="O70" s="162"/>
      <c r="P70" s="140"/>
      <c r="Q70" s="140"/>
    </row>
    <row r="71" spans="3:17" ht="20.100000000000001" customHeight="1" x14ac:dyDescent="0.25">
      <c r="C71" s="158"/>
      <c r="D71" s="143"/>
      <c r="E71" s="140"/>
      <c r="F71" s="140"/>
      <c r="G71" s="159"/>
      <c r="H71" s="140"/>
      <c r="I71" s="140"/>
      <c r="J71" s="160"/>
      <c r="K71" s="161"/>
      <c r="L71" s="161"/>
      <c r="M71" s="161"/>
      <c r="N71" s="161"/>
      <c r="O71" s="162"/>
      <c r="P71" s="140"/>
      <c r="Q71" s="140"/>
    </row>
    <row r="72" spans="3:17" ht="20.100000000000001" customHeight="1" x14ac:dyDescent="0.25">
      <c r="C72" s="158"/>
      <c r="D72" s="143"/>
      <c r="E72" s="140"/>
      <c r="F72" s="140"/>
      <c r="G72" s="159"/>
      <c r="H72" s="140"/>
      <c r="I72" s="140"/>
      <c r="J72" s="160"/>
      <c r="K72" s="161"/>
      <c r="L72" s="161"/>
      <c r="M72" s="161"/>
      <c r="N72" s="161"/>
      <c r="O72" s="162"/>
      <c r="P72" s="140"/>
      <c r="Q72" s="140"/>
    </row>
    <row r="73" spans="3:17" ht="20.100000000000001" customHeight="1" x14ac:dyDescent="0.25">
      <c r="C73" s="158"/>
      <c r="D73" s="143"/>
      <c r="E73" s="140"/>
      <c r="F73" s="140"/>
      <c r="G73" s="159"/>
      <c r="H73" s="140"/>
      <c r="I73" s="140"/>
      <c r="J73" s="160"/>
      <c r="K73" s="161"/>
      <c r="L73" s="161"/>
      <c r="M73" s="161"/>
      <c r="N73" s="161"/>
      <c r="O73" s="162"/>
      <c r="P73" s="140"/>
      <c r="Q73" s="140"/>
    </row>
    <row r="74" spans="3:17" ht="20.100000000000001" customHeight="1" x14ac:dyDescent="0.25">
      <c r="C74" s="158"/>
      <c r="D74" s="143"/>
      <c r="E74" s="140"/>
      <c r="F74" s="140"/>
      <c r="G74" s="159"/>
      <c r="H74" s="140"/>
      <c r="I74" s="140"/>
      <c r="J74" s="160"/>
      <c r="K74" s="161"/>
      <c r="L74" s="161"/>
      <c r="M74" s="161"/>
      <c r="N74" s="161"/>
      <c r="O74" s="162"/>
      <c r="P74" s="140"/>
      <c r="Q74" s="140"/>
    </row>
    <row r="75" spans="3:17" ht="20.100000000000001" customHeight="1" x14ac:dyDescent="0.25">
      <c r="C75" s="158"/>
      <c r="D75" s="143"/>
      <c r="E75" s="140"/>
      <c r="F75" s="140"/>
      <c r="G75" s="159"/>
      <c r="H75" s="140"/>
      <c r="I75" s="140"/>
      <c r="J75" s="160"/>
      <c r="K75" s="161"/>
      <c r="L75" s="161"/>
      <c r="M75" s="161"/>
      <c r="N75" s="161"/>
      <c r="O75" s="162"/>
      <c r="P75" s="140"/>
      <c r="Q75" s="140"/>
    </row>
    <row r="76" spans="3:17" ht="20.100000000000001" customHeight="1" x14ac:dyDescent="0.25">
      <c r="C76" s="158"/>
      <c r="D76" s="143"/>
      <c r="E76" s="140"/>
      <c r="F76" s="140"/>
      <c r="G76" s="159"/>
      <c r="H76" s="140"/>
      <c r="I76" s="140"/>
      <c r="J76" s="160"/>
      <c r="K76" s="161"/>
      <c r="L76" s="161"/>
      <c r="M76" s="161"/>
      <c r="N76" s="161"/>
      <c r="O76" s="162"/>
      <c r="P76" s="140"/>
      <c r="Q76" s="140"/>
    </row>
    <row r="77" spans="3:17" ht="20.100000000000001" customHeight="1" x14ac:dyDescent="0.25">
      <c r="C77" s="158"/>
      <c r="D77" s="143"/>
      <c r="E77" s="140"/>
      <c r="F77" s="140"/>
      <c r="G77" s="159"/>
      <c r="H77" s="140"/>
      <c r="I77" s="140"/>
      <c r="J77" s="160"/>
      <c r="K77" s="161"/>
      <c r="L77" s="161"/>
      <c r="M77" s="161"/>
      <c r="N77" s="161"/>
      <c r="O77" s="162"/>
      <c r="P77" s="140"/>
      <c r="Q77" s="140"/>
    </row>
    <row r="78" spans="3:17" ht="20.100000000000001" customHeight="1" x14ac:dyDescent="0.25">
      <c r="C78" s="158"/>
      <c r="D78" s="143"/>
      <c r="E78" s="140"/>
      <c r="F78" s="140"/>
      <c r="G78" s="159"/>
      <c r="H78" s="140"/>
      <c r="I78" s="140"/>
      <c r="J78" s="160"/>
      <c r="K78" s="161"/>
      <c r="L78" s="161"/>
      <c r="M78" s="161"/>
      <c r="N78" s="161"/>
      <c r="O78" s="162"/>
      <c r="P78" s="140"/>
      <c r="Q78" s="140"/>
    </row>
    <row r="79" spans="3:17" ht="20.100000000000001" customHeight="1" x14ac:dyDescent="0.25">
      <c r="C79" s="158"/>
      <c r="D79" s="143"/>
      <c r="E79" s="140"/>
      <c r="F79" s="140"/>
      <c r="G79" s="159"/>
      <c r="H79" s="140"/>
      <c r="I79" s="140"/>
      <c r="J79" s="160"/>
      <c r="K79" s="161"/>
      <c r="L79" s="161"/>
      <c r="M79" s="161"/>
      <c r="N79" s="161"/>
      <c r="O79" s="162"/>
      <c r="P79" s="140"/>
      <c r="Q79" s="140"/>
    </row>
    <row r="80" spans="3:17" ht="20.100000000000001" customHeight="1" x14ac:dyDescent="0.25">
      <c r="C80" s="158"/>
      <c r="D80" s="143"/>
      <c r="E80" s="140"/>
      <c r="F80" s="140"/>
      <c r="G80" s="159"/>
      <c r="H80" s="140"/>
      <c r="I80" s="140"/>
      <c r="J80" s="160"/>
      <c r="K80" s="161"/>
      <c r="L80" s="161"/>
      <c r="M80" s="161"/>
      <c r="N80" s="161"/>
      <c r="O80" s="162"/>
      <c r="P80" s="140"/>
      <c r="Q80" s="140"/>
    </row>
    <row r="81" spans="3:17" ht="20.100000000000001" customHeight="1" x14ac:dyDescent="0.25">
      <c r="C81" s="158"/>
      <c r="D81" s="143"/>
      <c r="E81" s="140"/>
      <c r="F81" s="140"/>
      <c r="G81" s="159"/>
      <c r="H81" s="140"/>
      <c r="I81" s="140"/>
      <c r="J81" s="160"/>
      <c r="K81" s="161"/>
      <c r="L81" s="161"/>
      <c r="M81" s="161"/>
      <c r="N81" s="161"/>
      <c r="O81" s="162"/>
      <c r="P81" s="140"/>
      <c r="Q81" s="140"/>
    </row>
    <row r="82" spans="3:17" ht="20.100000000000001" customHeight="1" x14ac:dyDescent="0.25">
      <c r="C82" s="158"/>
      <c r="D82" s="143"/>
      <c r="E82" s="140"/>
      <c r="F82" s="140"/>
      <c r="G82" s="159"/>
      <c r="H82" s="140"/>
      <c r="I82" s="140"/>
      <c r="J82" s="160"/>
      <c r="K82" s="161"/>
      <c r="L82" s="161"/>
      <c r="M82" s="161"/>
      <c r="N82" s="161"/>
      <c r="O82" s="162"/>
      <c r="P82" s="140"/>
      <c r="Q82" s="140"/>
    </row>
    <row r="83" spans="3:17" ht="20.100000000000001" customHeight="1" x14ac:dyDescent="0.25">
      <c r="C83" s="158"/>
      <c r="D83" s="143"/>
      <c r="E83" s="140"/>
      <c r="F83" s="140"/>
      <c r="G83" s="159"/>
      <c r="H83" s="140"/>
      <c r="I83" s="140"/>
      <c r="J83" s="160"/>
      <c r="K83" s="161"/>
      <c r="L83" s="161"/>
      <c r="M83" s="161"/>
      <c r="N83" s="161"/>
      <c r="O83" s="162"/>
      <c r="P83" s="140"/>
      <c r="Q83" s="140"/>
    </row>
    <row r="84" spans="3:17" ht="20.100000000000001" customHeight="1" x14ac:dyDescent="0.25">
      <c r="C84" s="158"/>
      <c r="D84" s="143"/>
      <c r="E84" s="140"/>
      <c r="F84" s="140"/>
      <c r="G84" s="159"/>
      <c r="H84" s="140"/>
      <c r="I84" s="140"/>
      <c r="J84" s="160"/>
      <c r="K84" s="161"/>
      <c r="L84" s="161"/>
      <c r="M84" s="161"/>
      <c r="N84" s="161"/>
      <c r="O84" s="162"/>
      <c r="P84" s="140"/>
      <c r="Q84" s="140"/>
    </row>
    <row r="85" spans="3:17" ht="20.100000000000001" customHeight="1" x14ac:dyDescent="0.25">
      <c r="C85" s="158"/>
      <c r="D85" s="143"/>
      <c r="E85" s="140"/>
      <c r="F85" s="140"/>
      <c r="G85" s="159"/>
      <c r="H85" s="140"/>
      <c r="I85" s="140"/>
      <c r="J85" s="160"/>
      <c r="K85" s="161"/>
      <c r="L85" s="161"/>
      <c r="M85" s="161"/>
      <c r="N85" s="161"/>
      <c r="O85" s="162"/>
      <c r="P85" s="140"/>
      <c r="Q85" s="140"/>
    </row>
    <row r="86" spans="3:17" ht="20.100000000000001" customHeight="1" x14ac:dyDescent="0.25">
      <c r="C86" s="158"/>
      <c r="D86" s="143"/>
      <c r="E86" s="140"/>
      <c r="F86" s="140"/>
      <c r="G86" s="159"/>
      <c r="H86" s="140"/>
      <c r="I86" s="140"/>
      <c r="J86" s="160"/>
      <c r="K86" s="161"/>
      <c r="L86" s="161"/>
      <c r="M86" s="161"/>
      <c r="N86" s="161"/>
      <c r="O86" s="162"/>
      <c r="P86" s="140"/>
      <c r="Q86" s="140"/>
    </row>
    <row r="87" spans="3:17" ht="20.100000000000001" customHeight="1" x14ac:dyDescent="0.25">
      <c r="C87" s="158"/>
      <c r="D87" s="143"/>
      <c r="E87" s="140"/>
      <c r="F87" s="140"/>
      <c r="G87" s="159"/>
      <c r="H87" s="140"/>
      <c r="I87" s="140"/>
      <c r="J87" s="160"/>
      <c r="K87" s="161"/>
      <c r="L87" s="161"/>
      <c r="M87" s="161"/>
      <c r="N87" s="161"/>
      <c r="O87" s="162"/>
      <c r="P87" s="140"/>
      <c r="Q87" s="140"/>
    </row>
    <row r="88" spans="3:17" ht="20.100000000000001" customHeight="1" x14ac:dyDescent="0.25">
      <c r="C88" s="158"/>
      <c r="D88" s="143"/>
      <c r="E88" s="140"/>
      <c r="F88" s="140"/>
      <c r="G88" s="159"/>
      <c r="H88" s="140"/>
      <c r="I88" s="140"/>
      <c r="J88" s="160"/>
      <c r="K88" s="161"/>
      <c r="L88" s="161"/>
      <c r="M88" s="161"/>
      <c r="N88" s="161"/>
      <c r="O88" s="162"/>
      <c r="P88" s="140"/>
      <c r="Q88" s="140"/>
    </row>
    <row r="89" spans="3:17" ht="20.100000000000001" customHeight="1" x14ac:dyDescent="0.25">
      <c r="C89" s="158"/>
      <c r="D89" s="143"/>
      <c r="E89" s="140"/>
      <c r="F89" s="140"/>
      <c r="G89" s="159"/>
      <c r="H89" s="140"/>
      <c r="I89" s="140"/>
      <c r="J89" s="160"/>
      <c r="K89" s="161"/>
      <c r="L89" s="161"/>
      <c r="M89" s="161"/>
      <c r="N89" s="161"/>
      <c r="O89" s="162"/>
      <c r="P89" s="140"/>
      <c r="Q89" s="140"/>
    </row>
    <row r="90" spans="3:17" ht="20.100000000000001" customHeight="1" x14ac:dyDescent="0.25">
      <c r="C90" s="158"/>
      <c r="D90" s="143"/>
      <c r="E90" s="140"/>
      <c r="F90" s="140"/>
      <c r="G90" s="159"/>
      <c r="H90" s="140"/>
      <c r="I90" s="140"/>
      <c r="J90" s="160"/>
      <c r="K90" s="161"/>
      <c r="L90" s="161"/>
      <c r="M90" s="161"/>
      <c r="N90" s="161"/>
      <c r="O90" s="162"/>
      <c r="P90" s="140"/>
      <c r="Q90" s="140"/>
    </row>
    <row r="91" spans="3:17" ht="20.100000000000001" customHeight="1" x14ac:dyDescent="0.25">
      <c r="C91" s="158"/>
      <c r="D91" s="143"/>
      <c r="E91" s="140"/>
      <c r="F91" s="140"/>
      <c r="G91" s="159"/>
      <c r="H91" s="140"/>
      <c r="I91" s="140"/>
      <c r="J91" s="160"/>
      <c r="K91" s="161"/>
      <c r="L91" s="161"/>
      <c r="M91" s="161"/>
      <c r="N91" s="161"/>
      <c r="O91" s="162"/>
      <c r="P91" s="140"/>
      <c r="Q91" s="140"/>
    </row>
    <row r="92" spans="3:17" ht="20.100000000000001" customHeight="1" x14ac:dyDescent="0.25">
      <c r="C92" s="158"/>
      <c r="D92" s="143"/>
      <c r="E92" s="140"/>
      <c r="F92" s="140"/>
      <c r="G92" s="159"/>
      <c r="H92" s="140"/>
      <c r="I92" s="140"/>
      <c r="J92" s="160"/>
      <c r="K92" s="161"/>
      <c r="L92" s="161"/>
      <c r="M92" s="161"/>
      <c r="N92" s="161"/>
      <c r="O92" s="162"/>
      <c r="P92" s="140"/>
      <c r="Q92" s="140"/>
    </row>
    <row r="93" spans="3:17" ht="20.100000000000001" customHeight="1" x14ac:dyDescent="0.25">
      <c r="C93" s="158"/>
      <c r="D93" s="143"/>
      <c r="E93" s="140"/>
      <c r="F93" s="140"/>
      <c r="G93" s="159"/>
      <c r="H93" s="140"/>
      <c r="I93" s="140"/>
      <c r="J93" s="160"/>
      <c r="K93" s="161"/>
      <c r="L93" s="161"/>
      <c r="M93" s="161"/>
      <c r="N93" s="161"/>
      <c r="O93" s="162"/>
      <c r="P93" s="140"/>
      <c r="Q93" s="140"/>
    </row>
    <row r="94" spans="3:17" ht="20.100000000000001" customHeight="1" x14ac:dyDescent="0.25">
      <c r="C94" s="158"/>
      <c r="D94" s="143"/>
      <c r="E94" s="140"/>
      <c r="F94" s="140"/>
      <c r="G94" s="159"/>
      <c r="H94" s="140"/>
      <c r="I94" s="140"/>
      <c r="J94" s="160"/>
      <c r="K94" s="161"/>
      <c r="L94" s="161"/>
      <c r="M94" s="161"/>
      <c r="N94" s="161"/>
      <c r="O94" s="162"/>
      <c r="P94" s="140"/>
      <c r="Q94" s="140"/>
    </row>
    <row r="95" spans="3:17" ht="20.100000000000001" customHeight="1" x14ac:dyDescent="0.25">
      <c r="C95" s="158"/>
      <c r="D95" s="143"/>
      <c r="E95" s="140"/>
      <c r="F95" s="140"/>
      <c r="G95" s="159"/>
      <c r="H95" s="140"/>
      <c r="I95" s="140"/>
      <c r="J95" s="160"/>
      <c r="K95" s="161"/>
      <c r="L95" s="161"/>
      <c r="M95" s="161"/>
      <c r="N95" s="161"/>
      <c r="O95" s="162"/>
      <c r="P95" s="140"/>
      <c r="Q95" s="140"/>
    </row>
    <row r="96" spans="3:17" ht="20.100000000000001" customHeight="1" x14ac:dyDescent="0.25">
      <c r="C96" s="158"/>
      <c r="D96" s="143"/>
      <c r="E96" s="140"/>
      <c r="F96" s="140"/>
      <c r="G96" s="159"/>
      <c r="H96" s="140"/>
      <c r="I96" s="140"/>
      <c r="J96" s="160"/>
      <c r="K96" s="161"/>
      <c r="L96" s="161"/>
      <c r="M96" s="161"/>
      <c r="N96" s="161"/>
      <c r="O96" s="162"/>
      <c r="P96" s="140"/>
      <c r="Q96" s="140"/>
    </row>
    <row r="97" spans="3:17" ht="20.100000000000001" customHeight="1" x14ac:dyDescent="0.25">
      <c r="C97" s="158"/>
      <c r="D97" s="143"/>
      <c r="E97" s="140"/>
      <c r="F97" s="140"/>
      <c r="G97" s="159"/>
      <c r="H97" s="140"/>
      <c r="I97" s="140"/>
      <c r="J97" s="160"/>
      <c r="K97" s="161"/>
      <c r="L97" s="161"/>
      <c r="M97" s="161"/>
      <c r="N97" s="161"/>
      <c r="O97" s="162"/>
      <c r="P97" s="140"/>
      <c r="Q97" s="140"/>
    </row>
    <row r="98" spans="3:17" ht="20.100000000000001" customHeight="1" x14ac:dyDescent="0.25">
      <c r="C98" s="158"/>
      <c r="D98" s="143"/>
      <c r="E98" s="140"/>
      <c r="F98" s="140"/>
      <c r="G98" s="159"/>
      <c r="H98" s="140"/>
      <c r="I98" s="140"/>
      <c r="J98" s="160"/>
      <c r="K98" s="161"/>
      <c r="L98" s="161"/>
      <c r="M98" s="161"/>
      <c r="N98" s="161"/>
      <c r="O98" s="162"/>
      <c r="P98" s="140"/>
      <c r="Q98" s="140"/>
    </row>
    <row r="99" spans="3:17" ht="20.100000000000001" customHeight="1" x14ac:dyDescent="0.25">
      <c r="C99" s="158"/>
      <c r="D99" s="143"/>
      <c r="E99" s="140"/>
      <c r="F99" s="140"/>
      <c r="G99" s="159"/>
      <c r="H99" s="140"/>
      <c r="I99" s="140"/>
      <c r="J99" s="160"/>
      <c r="K99" s="161"/>
      <c r="L99" s="161"/>
      <c r="M99" s="161"/>
      <c r="N99" s="161"/>
      <c r="O99" s="162"/>
      <c r="P99" s="140"/>
      <c r="Q99" s="140"/>
    </row>
    <row r="100" spans="3:17" ht="20.100000000000001" customHeight="1" x14ac:dyDescent="0.25">
      <c r="C100" s="158"/>
      <c r="D100" s="143"/>
      <c r="E100" s="140"/>
      <c r="F100" s="140"/>
      <c r="G100" s="159"/>
      <c r="H100" s="140"/>
      <c r="I100" s="140"/>
      <c r="J100" s="160"/>
      <c r="K100" s="161"/>
      <c r="L100" s="161"/>
      <c r="M100" s="161"/>
      <c r="N100" s="161"/>
      <c r="O100" s="162"/>
      <c r="P100" s="140"/>
      <c r="Q100" s="140"/>
    </row>
    <row r="101" spans="3:17" ht="20.100000000000001" customHeight="1" x14ac:dyDescent="0.25">
      <c r="C101" s="158"/>
      <c r="D101" s="143"/>
      <c r="E101" s="140"/>
      <c r="F101" s="140"/>
      <c r="G101" s="159"/>
      <c r="H101" s="140"/>
      <c r="I101" s="140"/>
      <c r="J101" s="160"/>
      <c r="K101" s="161"/>
      <c r="L101" s="161"/>
      <c r="M101" s="161"/>
      <c r="N101" s="161"/>
      <c r="O101" s="162"/>
      <c r="P101" s="140"/>
      <c r="Q101" s="140"/>
    </row>
    <row r="102" spans="3:17" ht="20.100000000000001" customHeight="1" x14ac:dyDescent="0.25">
      <c r="C102" s="158"/>
      <c r="D102" s="143"/>
      <c r="E102" s="140"/>
      <c r="F102" s="140"/>
      <c r="G102" s="159"/>
      <c r="H102" s="140"/>
      <c r="I102" s="140"/>
      <c r="J102" s="160"/>
      <c r="K102" s="161"/>
      <c r="L102" s="161"/>
      <c r="M102" s="161"/>
      <c r="N102" s="161"/>
      <c r="O102" s="162"/>
      <c r="P102" s="140"/>
      <c r="Q102" s="140"/>
    </row>
    <row r="103" spans="3:17" ht="20.100000000000001" customHeight="1" x14ac:dyDescent="0.25">
      <c r="C103" s="158"/>
      <c r="D103" s="143"/>
      <c r="E103" s="140"/>
      <c r="F103" s="140"/>
      <c r="G103" s="159"/>
      <c r="H103" s="140"/>
      <c r="I103" s="140"/>
      <c r="J103" s="160"/>
      <c r="K103" s="161"/>
      <c r="L103" s="161"/>
      <c r="M103" s="161"/>
      <c r="N103" s="161"/>
      <c r="O103" s="162"/>
      <c r="P103" s="140"/>
      <c r="Q103" s="140"/>
    </row>
    <row r="104" spans="3:17" ht="20.100000000000001" customHeight="1" x14ac:dyDescent="0.25">
      <c r="C104" s="158"/>
      <c r="D104" s="143"/>
      <c r="E104" s="140"/>
      <c r="F104" s="140"/>
      <c r="G104" s="159"/>
      <c r="H104" s="140"/>
      <c r="I104" s="140"/>
      <c r="J104" s="160"/>
      <c r="K104" s="161"/>
      <c r="L104" s="161"/>
      <c r="M104" s="161"/>
      <c r="N104" s="161"/>
      <c r="O104" s="162"/>
      <c r="P104" s="140"/>
      <c r="Q104" s="140"/>
    </row>
    <row r="105" spans="3:17" ht="20.100000000000001" customHeight="1" x14ac:dyDescent="0.25">
      <c r="C105" s="158"/>
      <c r="D105" s="143"/>
      <c r="E105" s="140"/>
      <c r="F105" s="140"/>
      <c r="G105" s="159"/>
      <c r="H105" s="140"/>
      <c r="I105" s="140"/>
      <c r="J105" s="160"/>
      <c r="K105" s="161"/>
      <c r="L105" s="161"/>
      <c r="M105" s="161"/>
      <c r="N105" s="161"/>
      <c r="O105" s="162"/>
      <c r="P105" s="140"/>
      <c r="Q105" s="140"/>
    </row>
    <row r="106" spans="3:17" ht="20.100000000000001" customHeight="1" x14ac:dyDescent="0.25">
      <c r="C106" s="158"/>
      <c r="D106" s="143"/>
      <c r="E106" s="140"/>
      <c r="F106" s="140"/>
      <c r="G106" s="159"/>
      <c r="H106" s="140"/>
      <c r="I106" s="140"/>
      <c r="J106" s="160"/>
      <c r="K106" s="161"/>
      <c r="L106" s="161"/>
      <c r="M106" s="161"/>
      <c r="N106" s="161"/>
      <c r="O106" s="162"/>
      <c r="P106" s="140"/>
      <c r="Q106" s="140"/>
    </row>
    <row r="107" spans="3:17" ht="20.100000000000001" customHeight="1" x14ac:dyDescent="0.25">
      <c r="C107" s="158"/>
      <c r="D107" s="143"/>
      <c r="E107" s="140"/>
      <c r="F107" s="140"/>
      <c r="G107" s="159"/>
      <c r="H107" s="140"/>
      <c r="I107" s="140"/>
      <c r="J107" s="160"/>
      <c r="K107" s="161"/>
      <c r="L107" s="161"/>
      <c r="M107" s="161"/>
      <c r="N107" s="161"/>
      <c r="O107" s="162"/>
      <c r="P107" s="140"/>
      <c r="Q107" s="140"/>
    </row>
    <row r="108" spans="3:17" ht="20.100000000000001" customHeight="1" x14ac:dyDescent="0.25">
      <c r="C108" s="158"/>
      <c r="D108" s="143"/>
      <c r="E108" s="140"/>
      <c r="F108" s="140"/>
      <c r="G108" s="159"/>
      <c r="H108" s="140"/>
      <c r="I108" s="140"/>
      <c r="J108" s="160"/>
      <c r="K108" s="161"/>
      <c r="L108" s="161"/>
      <c r="M108" s="161"/>
      <c r="N108" s="161"/>
      <c r="O108" s="162"/>
      <c r="P108" s="140"/>
      <c r="Q108" s="140"/>
    </row>
    <row r="109" spans="3:17" ht="20.100000000000001" customHeight="1" x14ac:dyDescent="0.25">
      <c r="C109" s="158"/>
      <c r="D109" s="143"/>
      <c r="E109" s="140"/>
      <c r="F109" s="140"/>
      <c r="G109" s="159"/>
      <c r="H109" s="140"/>
      <c r="I109" s="140"/>
      <c r="J109" s="160"/>
      <c r="K109" s="161"/>
      <c r="L109" s="161"/>
      <c r="M109" s="161"/>
      <c r="N109" s="161"/>
      <c r="O109" s="162"/>
      <c r="P109" s="140"/>
      <c r="Q109" s="140"/>
    </row>
    <row r="110" spans="3:17" ht="20.100000000000001" customHeight="1" x14ac:dyDescent="0.25">
      <c r="C110" s="158"/>
      <c r="D110" s="143"/>
      <c r="E110" s="140"/>
      <c r="F110" s="140"/>
      <c r="G110" s="159"/>
      <c r="H110" s="140"/>
      <c r="I110" s="140"/>
      <c r="J110" s="160"/>
      <c r="K110" s="161"/>
      <c r="L110" s="161"/>
      <c r="M110" s="161"/>
      <c r="N110" s="161"/>
      <c r="O110" s="162"/>
      <c r="P110" s="140"/>
      <c r="Q110" s="140"/>
    </row>
    <row r="111" spans="3:17" ht="20.100000000000001" customHeight="1" x14ac:dyDescent="0.25">
      <c r="C111" s="158"/>
      <c r="D111" s="143"/>
      <c r="E111" s="140"/>
      <c r="F111" s="140"/>
      <c r="G111" s="159"/>
      <c r="H111" s="140"/>
      <c r="I111" s="140"/>
      <c r="J111" s="160"/>
      <c r="K111" s="161"/>
      <c r="L111" s="161"/>
      <c r="M111" s="161"/>
      <c r="N111" s="161"/>
      <c r="O111" s="162"/>
      <c r="P111" s="140"/>
      <c r="Q111" s="140"/>
    </row>
    <row r="112" spans="3:17" ht="20.100000000000001" customHeight="1" x14ac:dyDescent="0.25">
      <c r="C112" s="158"/>
      <c r="D112" s="143"/>
      <c r="E112" s="140"/>
      <c r="F112" s="140"/>
      <c r="G112" s="159"/>
      <c r="H112" s="140"/>
      <c r="I112" s="140"/>
      <c r="J112" s="160"/>
      <c r="K112" s="161"/>
      <c r="L112" s="161"/>
      <c r="M112" s="161"/>
      <c r="N112" s="161"/>
      <c r="O112" s="162"/>
      <c r="P112" s="140"/>
      <c r="Q112" s="140"/>
    </row>
    <row r="113" spans="3:17" ht="20.100000000000001" customHeight="1" x14ac:dyDescent="0.25">
      <c r="C113" s="158"/>
      <c r="D113" s="143"/>
      <c r="E113" s="140"/>
      <c r="F113" s="140"/>
      <c r="G113" s="159"/>
      <c r="H113" s="140"/>
      <c r="I113" s="140"/>
      <c r="J113" s="160"/>
      <c r="K113" s="161"/>
      <c r="L113" s="161"/>
      <c r="M113" s="161"/>
      <c r="N113" s="161"/>
      <c r="O113" s="162"/>
      <c r="P113" s="140"/>
      <c r="Q113" s="140"/>
    </row>
    <row r="114" spans="3:17" ht="20.100000000000001" customHeight="1" x14ac:dyDescent="0.25">
      <c r="C114" s="158"/>
      <c r="D114" s="143"/>
      <c r="E114" s="140"/>
      <c r="F114" s="140"/>
      <c r="G114" s="159"/>
      <c r="H114" s="140"/>
      <c r="I114" s="140"/>
      <c r="J114" s="160"/>
      <c r="K114" s="161"/>
      <c r="L114" s="161"/>
      <c r="M114" s="161"/>
      <c r="N114" s="161"/>
      <c r="O114" s="162"/>
      <c r="P114" s="140"/>
      <c r="Q114" s="140"/>
    </row>
    <row r="115" spans="3:17" ht="20.100000000000001" customHeight="1" x14ac:dyDescent="0.25">
      <c r="C115" s="158"/>
      <c r="D115" s="143"/>
      <c r="E115" s="140"/>
      <c r="F115" s="140"/>
      <c r="G115" s="159"/>
      <c r="H115" s="140"/>
      <c r="I115" s="140"/>
      <c r="J115" s="160"/>
      <c r="K115" s="161"/>
      <c r="L115" s="161"/>
      <c r="M115" s="161"/>
      <c r="N115" s="161"/>
      <c r="O115" s="162"/>
      <c r="P115" s="140"/>
      <c r="Q115" s="140"/>
    </row>
    <row r="116" spans="3:17" ht="20.100000000000001" customHeight="1" x14ac:dyDescent="0.25">
      <c r="C116" s="158"/>
      <c r="D116" s="143"/>
      <c r="E116" s="140"/>
      <c r="F116" s="140"/>
      <c r="G116" s="159"/>
      <c r="H116" s="140"/>
      <c r="I116" s="140"/>
      <c r="J116" s="160"/>
      <c r="K116" s="161"/>
      <c r="L116" s="161"/>
      <c r="M116" s="161"/>
      <c r="N116" s="161"/>
      <c r="O116" s="162"/>
      <c r="P116" s="140"/>
      <c r="Q116" s="140"/>
    </row>
    <row r="117" spans="3:17" ht="20.100000000000001" customHeight="1" x14ac:dyDescent="0.25">
      <c r="C117" s="158"/>
      <c r="D117" s="143"/>
      <c r="E117" s="140"/>
      <c r="F117" s="140"/>
      <c r="G117" s="159"/>
      <c r="H117" s="140"/>
      <c r="I117" s="140"/>
      <c r="J117" s="160"/>
      <c r="K117" s="161"/>
      <c r="L117" s="161"/>
      <c r="M117" s="161"/>
      <c r="N117" s="161"/>
      <c r="O117" s="162"/>
      <c r="P117" s="140"/>
      <c r="Q117" s="140"/>
    </row>
    <row r="118" spans="3:17" ht="20.100000000000001" customHeight="1" x14ac:dyDescent="0.25">
      <c r="C118" s="158"/>
      <c r="D118" s="143"/>
      <c r="E118" s="140"/>
      <c r="F118" s="140"/>
      <c r="G118" s="159"/>
      <c r="H118" s="140"/>
      <c r="I118" s="140"/>
      <c r="J118" s="160"/>
      <c r="K118" s="161"/>
      <c r="L118" s="161"/>
      <c r="M118" s="161"/>
      <c r="N118" s="161"/>
      <c r="O118" s="162"/>
      <c r="P118" s="140"/>
      <c r="Q118" s="140"/>
    </row>
    <row r="119" spans="3:17" ht="20.100000000000001" customHeight="1" x14ac:dyDescent="0.25">
      <c r="C119" s="158"/>
      <c r="D119" s="143"/>
      <c r="E119" s="140"/>
      <c r="F119" s="140"/>
      <c r="G119" s="159"/>
      <c r="H119" s="140"/>
      <c r="I119" s="140"/>
      <c r="J119" s="160"/>
      <c r="K119" s="161"/>
      <c r="L119" s="161"/>
      <c r="M119" s="161"/>
      <c r="N119" s="161"/>
      <c r="O119" s="162"/>
      <c r="P119" s="140"/>
      <c r="Q119" s="140"/>
    </row>
    <row r="120" spans="3:17" ht="20.100000000000001" customHeight="1" x14ac:dyDescent="0.25">
      <c r="C120" s="158"/>
      <c r="D120" s="143"/>
      <c r="E120" s="140"/>
      <c r="F120" s="140"/>
      <c r="G120" s="159"/>
      <c r="H120" s="140"/>
      <c r="I120" s="140"/>
      <c r="J120" s="160"/>
      <c r="K120" s="161"/>
      <c r="L120" s="161"/>
      <c r="M120" s="161"/>
      <c r="N120" s="161"/>
      <c r="O120" s="162"/>
      <c r="P120" s="140"/>
      <c r="Q120" s="140"/>
    </row>
    <row r="121" spans="3:17" ht="20.100000000000001" customHeight="1" x14ac:dyDescent="0.25">
      <c r="C121" s="158"/>
      <c r="D121" s="143"/>
      <c r="E121" s="140"/>
      <c r="F121" s="140"/>
      <c r="G121" s="159"/>
      <c r="H121" s="140"/>
      <c r="I121" s="140"/>
      <c r="J121" s="160"/>
      <c r="K121" s="161"/>
      <c r="L121" s="161"/>
      <c r="M121" s="161"/>
      <c r="N121" s="161"/>
      <c r="O121" s="162"/>
      <c r="P121" s="140"/>
      <c r="Q121" s="140"/>
    </row>
    <row r="122" spans="3:17" ht="20.100000000000001" customHeight="1" x14ac:dyDescent="0.25">
      <c r="C122" s="158"/>
      <c r="D122" s="143"/>
      <c r="E122" s="140"/>
      <c r="F122" s="140"/>
      <c r="G122" s="159"/>
      <c r="H122" s="140"/>
      <c r="I122" s="140"/>
      <c r="J122" s="160"/>
      <c r="K122" s="161"/>
      <c r="L122" s="161"/>
      <c r="M122" s="161"/>
      <c r="N122" s="161"/>
      <c r="O122" s="162"/>
      <c r="P122" s="140"/>
      <c r="Q122" s="140"/>
    </row>
    <row r="123" spans="3:17" ht="20.100000000000001" customHeight="1" x14ac:dyDescent="0.25">
      <c r="C123" s="158"/>
      <c r="D123" s="143"/>
      <c r="E123" s="140"/>
      <c r="F123" s="140"/>
      <c r="G123" s="159"/>
      <c r="H123" s="140"/>
      <c r="I123" s="140"/>
      <c r="J123" s="160"/>
      <c r="K123" s="161"/>
      <c r="L123" s="161"/>
      <c r="M123" s="161"/>
      <c r="N123" s="161"/>
      <c r="O123" s="162"/>
      <c r="P123" s="140"/>
      <c r="Q123" s="140"/>
    </row>
    <row r="124" spans="3:17" ht="20.100000000000001" customHeight="1" x14ac:dyDescent="0.25">
      <c r="C124" s="158"/>
      <c r="D124" s="143"/>
      <c r="E124" s="140"/>
      <c r="F124" s="140"/>
      <c r="G124" s="159"/>
      <c r="H124" s="140"/>
      <c r="I124" s="140"/>
      <c r="J124" s="160"/>
      <c r="K124" s="161"/>
      <c r="L124" s="161"/>
      <c r="M124" s="161"/>
      <c r="N124" s="161"/>
      <c r="O124" s="162"/>
      <c r="P124" s="140"/>
      <c r="Q124" s="140"/>
    </row>
    <row r="125" spans="3:17" ht="20.100000000000001" customHeight="1" x14ac:dyDescent="0.25">
      <c r="C125" s="158"/>
      <c r="D125" s="143"/>
      <c r="E125" s="140"/>
      <c r="F125" s="140"/>
      <c r="G125" s="159"/>
      <c r="H125" s="140"/>
      <c r="I125" s="140"/>
      <c r="J125" s="160"/>
      <c r="K125" s="161"/>
      <c r="L125" s="161"/>
      <c r="M125" s="161"/>
      <c r="N125" s="161"/>
      <c r="O125" s="162"/>
      <c r="P125" s="140"/>
      <c r="Q125" s="140"/>
    </row>
    <row r="126" spans="3:17" ht="20.100000000000001" customHeight="1" x14ac:dyDescent="0.25">
      <c r="C126" s="158"/>
      <c r="D126" s="143"/>
      <c r="E126" s="140"/>
      <c r="F126" s="140"/>
      <c r="G126" s="159"/>
      <c r="H126" s="140"/>
      <c r="I126" s="140"/>
      <c r="J126" s="160"/>
      <c r="K126" s="161"/>
      <c r="L126" s="161"/>
      <c r="M126" s="161"/>
      <c r="N126" s="161"/>
      <c r="O126" s="162"/>
      <c r="P126" s="140"/>
      <c r="Q126" s="140"/>
    </row>
    <row r="127" spans="3:17" ht="20.100000000000001" customHeight="1" x14ac:dyDescent="0.25">
      <c r="C127" s="158"/>
      <c r="D127" s="143"/>
      <c r="E127" s="140"/>
      <c r="F127" s="140"/>
      <c r="G127" s="159"/>
      <c r="H127" s="140"/>
      <c r="I127" s="140"/>
      <c r="J127" s="160"/>
      <c r="K127" s="161"/>
      <c r="L127" s="161"/>
      <c r="M127" s="161"/>
      <c r="N127" s="161"/>
      <c r="O127" s="162"/>
      <c r="P127" s="140"/>
      <c r="Q127" s="140"/>
    </row>
    <row r="128" spans="3:17" ht="20.100000000000001" customHeight="1" x14ac:dyDescent="0.25">
      <c r="C128" s="158"/>
      <c r="D128" s="143"/>
      <c r="E128" s="140"/>
      <c r="F128" s="140"/>
      <c r="G128" s="159"/>
      <c r="H128" s="140"/>
      <c r="I128" s="140"/>
      <c r="J128" s="160"/>
      <c r="K128" s="161"/>
      <c r="L128" s="161"/>
      <c r="M128" s="161"/>
      <c r="N128" s="161"/>
      <c r="O128" s="162"/>
      <c r="P128" s="140"/>
      <c r="Q128" s="140"/>
    </row>
    <row r="129" spans="3:17" ht="20.100000000000001" customHeight="1" x14ac:dyDescent="0.25">
      <c r="C129" s="158"/>
      <c r="D129" s="143"/>
      <c r="E129" s="140"/>
      <c r="F129" s="140"/>
      <c r="G129" s="159"/>
      <c r="H129" s="140"/>
      <c r="I129" s="140"/>
      <c r="J129" s="160"/>
      <c r="K129" s="161"/>
      <c r="L129" s="161"/>
      <c r="M129" s="161"/>
      <c r="N129" s="161"/>
      <c r="O129" s="162"/>
      <c r="P129" s="140"/>
      <c r="Q129" s="140"/>
    </row>
    <row r="130" spans="3:17" ht="20.100000000000001" customHeight="1" x14ac:dyDescent="0.25">
      <c r="C130" s="158"/>
      <c r="D130" s="143"/>
      <c r="E130" s="140"/>
      <c r="F130" s="140"/>
      <c r="G130" s="159"/>
      <c r="H130" s="140"/>
      <c r="I130" s="140"/>
      <c r="J130" s="160"/>
      <c r="K130" s="161"/>
      <c r="L130" s="161"/>
      <c r="M130" s="161"/>
      <c r="N130" s="161"/>
      <c r="O130" s="162"/>
      <c r="P130" s="140"/>
      <c r="Q130" s="140"/>
    </row>
    <row r="131" spans="3:17" ht="20.100000000000001" customHeight="1" x14ac:dyDescent="0.25">
      <c r="C131" s="158"/>
      <c r="D131" s="143"/>
      <c r="E131" s="140"/>
      <c r="F131" s="140"/>
      <c r="G131" s="159"/>
      <c r="H131" s="140"/>
      <c r="I131" s="140"/>
      <c r="J131" s="160"/>
      <c r="K131" s="161"/>
      <c r="L131" s="161"/>
      <c r="M131" s="161"/>
      <c r="N131" s="161"/>
      <c r="O131" s="162"/>
      <c r="P131" s="140"/>
      <c r="Q131" s="140"/>
    </row>
    <row r="132" spans="3:17" ht="20.100000000000001" customHeight="1" x14ac:dyDescent="0.25">
      <c r="C132" s="158"/>
      <c r="D132" s="143"/>
      <c r="E132" s="140"/>
      <c r="F132" s="140"/>
      <c r="G132" s="159"/>
      <c r="H132" s="140"/>
      <c r="I132" s="140"/>
      <c r="J132" s="160"/>
      <c r="K132" s="161"/>
      <c r="L132" s="161"/>
      <c r="M132" s="161"/>
      <c r="N132" s="161"/>
      <c r="O132" s="162"/>
      <c r="P132" s="140"/>
      <c r="Q132" s="140"/>
    </row>
    <row r="133" spans="3:17" ht="20.100000000000001" customHeight="1" x14ac:dyDescent="0.25">
      <c r="C133" s="158"/>
      <c r="D133" s="143"/>
      <c r="E133" s="140"/>
      <c r="F133" s="140"/>
      <c r="G133" s="159"/>
      <c r="H133" s="140"/>
      <c r="I133" s="140"/>
      <c r="J133" s="160"/>
      <c r="K133" s="161"/>
      <c r="L133" s="161"/>
      <c r="M133" s="161"/>
      <c r="N133" s="161"/>
      <c r="O133" s="162"/>
      <c r="P133" s="140"/>
      <c r="Q133" s="140"/>
    </row>
    <row r="134" spans="3:17" ht="20.100000000000001" customHeight="1" x14ac:dyDescent="0.25">
      <c r="C134" s="158"/>
      <c r="D134" s="143"/>
      <c r="E134" s="140"/>
      <c r="F134" s="140"/>
      <c r="G134" s="159"/>
      <c r="H134" s="140"/>
      <c r="I134" s="140"/>
      <c r="J134" s="160"/>
      <c r="K134" s="161"/>
      <c r="L134" s="161"/>
      <c r="M134" s="161"/>
      <c r="N134" s="161"/>
      <c r="O134" s="162"/>
      <c r="P134" s="140"/>
      <c r="Q134" s="140"/>
    </row>
    <row r="135" spans="3:17" ht="20.100000000000001" customHeight="1" x14ac:dyDescent="0.25">
      <c r="C135" s="158"/>
      <c r="D135" s="143"/>
      <c r="E135" s="140"/>
      <c r="F135" s="140"/>
      <c r="G135" s="159"/>
      <c r="H135" s="140"/>
      <c r="I135" s="140"/>
      <c r="J135" s="160"/>
      <c r="K135" s="161"/>
      <c r="L135" s="161"/>
      <c r="M135" s="161"/>
      <c r="N135" s="161"/>
      <c r="O135" s="162"/>
      <c r="P135" s="140"/>
      <c r="Q135" s="140"/>
    </row>
    <row r="136" spans="3:17" ht="20.100000000000001" customHeight="1" x14ac:dyDescent="0.25">
      <c r="C136" s="158"/>
      <c r="D136" s="143"/>
      <c r="E136" s="140"/>
      <c r="F136" s="140"/>
      <c r="G136" s="159"/>
      <c r="H136" s="140"/>
      <c r="I136" s="140"/>
      <c r="J136" s="160"/>
      <c r="K136" s="161"/>
      <c r="L136" s="161"/>
      <c r="M136" s="161"/>
      <c r="N136" s="161"/>
      <c r="O136" s="162"/>
      <c r="P136" s="140"/>
      <c r="Q136" s="140"/>
    </row>
    <row r="137" spans="3:17" ht="20.100000000000001" customHeight="1" x14ac:dyDescent="0.25">
      <c r="C137" s="158"/>
      <c r="D137" s="143"/>
      <c r="E137" s="140"/>
      <c r="F137" s="140"/>
      <c r="G137" s="159"/>
      <c r="H137" s="140"/>
      <c r="I137" s="140"/>
      <c r="J137" s="160"/>
      <c r="K137" s="161"/>
      <c r="L137" s="161"/>
      <c r="M137" s="161"/>
      <c r="N137" s="161"/>
      <c r="O137" s="162"/>
      <c r="P137" s="140"/>
      <c r="Q137" s="140"/>
    </row>
    <row r="138" spans="3:17" ht="20.100000000000001" customHeight="1" x14ac:dyDescent="0.25">
      <c r="C138" s="158"/>
      <c r="D138" s="143"/>
      <c r="E138" s="140"/>
      <c r="F138" s="140"/>
      <c r="G138" s="159"/>
      <c r="H138" s="140"/>
      <c r="I138" s="140"/>
      <c r="J138" s="160"/>
      <c r="K138" s="161"/>
      <c r="L138" s="161"/>
      <c r="M138" s="161"/>
      <c r="N138" s="161"/>
      <c r="O138" s="162"/>
      <c r="P138" s="140"/>
      <c r="Q138" s="140"/>
    </row>
    <row r="139" spans="3:17" ht="20.100000000000001" customHeight="1" x14ac:dyDescent="0.25">
      <c r="C139" s="158"/>
      <c r="D139" s="143"/>
      <c r="E139" s="140"/>
      <c r="F139" s="140"/>
      <c r="G139" s="159"/>
      <c r="H139" s="140"/>
      <c r="I139" s="140"/>
      <c r="J139" s="160"/>
      <c r="K139" s="161"/>
      <c r="L139" s="161"/>
      <c r="M139" s="161"/>
      <c r="N139" s="161"/>
      <c r="O139" s="162"/>
      <c r="P139" s="140"/>
      <c r="Q139" s="140"/>
    </row>
    <row r="140" spans="3:17" ht="20.100000000000001" customHeight="1" x14ac:dyDescent="0.25">
      <c r="C140" s="158"/>
      <c r="D140" s="143"/>
      <c r="E140" s="140"/>
      <c r="F140" s="140"/>
      <c r="G140" s="159"/>
      <c r="H140" s="140"/>
      <c r="I140" s="140"/>
      <c r="J140" s="160"/>
      <c r="K140" s="161"/>
      <c r="L140" s="161"/>
      <c r="M140" s="161"/>
      <c r="N140" s="161"/>
      <c r="O140" s="162"/>
      <c r="P140" s="140"/>
      <c r="Q140" s="140"/>
    </row>
    <row r="141" spans="3:17" ht="20.100000000000001" customHeight="1" x14ac:dyDescent="0.25">
      <c r="C141" s="158"/>
      <c r="D141" s="143"/>
      <c r="E141" s="140"/>
      <c r="F141" s="140"/>
      <c r="G141" s="159"/>
      <c r="H141" s="140"/>
      <c r="I141" s="140"/>
      <c r="J141" s="160"/>
      <c r="K141" s="161"/>
      <c r="L141" s="161"/>
      <c r="M141" s="161"/>
      <c r="N141" s="161"/>
      <c r="O141" s="162"/>
      <c r="P141" s="140"/>
      <c r="Q141" s="140"/>
    </row>
    <row r="142" spans="3:17" ht="20.100000000000001" customHeight="1" x14ac:dyDescent="0.25">
      <c r="C142" s="158"/>
      <c r="D142" s="143"/>
      <c r="E142" s="140"/>
      <c r="F142" s="140"/>
      <c r="G142" s="159"/>
      <c r="H142" s="140"/>
      <c r="I142" s="140"/>
      <c r="J142" s="160"/>
      <c r="K142" s="161"/>
      <c r="L142" s="161"/>
      <c r="M142" s="161"/>
      <c r="N142" s="161"/>
      <c r="O142" s="162"/>
      <c r="P142" s="140"/>
      <c r="Q142" s="140"/>
    </row>
    <row r="143" spans="3:17" ht="20.100000000000001" customHeight="1" x14ac:dyDescent="0.25">
      <c r="C143" s="158"/>
      <c r="D143" s="143"/>
      <c r="E143" s="140"/>
      <c r="F143" s="140"/>
      <c r="G143" s="159"/>
      <c r="H143" s="140"/>
      <c r="I143" s="140"/>
      <c r="J143" s="160"/>
      <c r="K143" s="161"/>
      <c r="L143" s="161"/>
      <c r="M143" s="161"/>
      <c r="N143" s="161"/>
      <c r="O143" s="162"/>
      <c r="P143" s="140"/>
      <c r="Q143" s="140"/>
    </row>
    <row r="144" spans="3:17" ht="20.100000000000001" customHeight="1" x14ac:dyDescent="0.25">
      <c r="C144" s="158"/>
      <c r="D144" s="143"/>
      <c r="E144" s="140"/>
      <c r="F144" s="140"/>
      <c r="G144" s="159"/>
      <c r="H144" s="140"/>
      <c r="I144" s="140"/>
      <c r="J144" s="160"/>
      <c r="K144" s="161"/>
      <c r="L144" s="161"/>
      <c r="M144" s="161"/>
      <c r="N144" s="161"/>
      <c r="O144" s="162"/>
      <c r="P144" s="140"/>
      <c r="Q144" s="140"/>
    </row>
    <row r="145" spans="3:17" ht="20.100000000000001" customHeight="1" x14ac:dyDescent="0.25">
      <c r="C145" s="158"/>
      <c r="D145" s="143"/>
      <c r="E145" s="140"/>
      <c r="F145" s="140"/>
      <c r="G145" s="159"/>
      <c r="H145" s="140"/>
      <c r="I145" s="140"/>
      <c r="J145" s="160"/>
      <c r="K145" s="161"/>
      <c r="L145" s="161"/>
      <c r="M145" s="161"/>
      <c r="N145" s="161"/>
      <c r="O145" s="162"/>
      <c r="P145" s="140"/>
      <c r="Q145" s="140"/>
    </row>
    <row r="146" spans="3:17" ht="20.100000000000001" customHeight="1" x14ac:dyDescent="0.25">
      <c r="C146" s="158"/>
      <c r="D146" s="143"/>
      <c r="E146" s="140"/>
      <c r="F146" s="140"/>
      <c r="G146" s="159"/>
      <c r="H146" s="140"/>
      <c r="I146" s="140"/>
      <c r="J146" s="160"/>
      <c r="K146" s="161"/>
      <c r="L146" s="161"/>
      <c r="M146" s="161"/>
      <c r="N146" s="161"/>
      <c r="O146" s="162"/>
      <c r="P146" s="140"/>
      <c r="Q146" s="140"/>
    </row>
    <row r="147" spans="3:17" ht="20.100000000000001" customHeight="1" x14ac:dyDescent="0.25">
      <c r="C147" s="158"/>
      <c r="D147" s="143"/>
      <c r="E147" s="140"/>
      <c r="F147" s="140"/>
      <c r="G147" s="159"/>
      <c r="H147" s="140"/>
      <c r="I147" s="140"/>
      <c r="J147" s="160"/>
      <c r="K147" s="161"/>
      <c r="L147" s="161"/>
      <c r="M147" s="161"/>
      <c r="N147" s="161"/>
      <c r="O147" s="162"/>
      <c r="P147" s="140"/>
      <c r="Q147" s="140"/>
    </row>
    <row r="148" spans="3:17" ht="20.100000000000001" customHeight="1" x14ac:dyDescent="0.25">
      <c r="C148" s="158"/>
      <c r="D148" s="143"/>
      <c r="E148" s="140"/>
      <c r="F148" s="140"/>
      <c r="G148" s="159"/>
      <c r="H148" s="140"/>
      <c r="I148" s="140"/>
      <c r="J148" s="160"/>
      <c r="K148" s="161"/>
      <c r="L148" s="161"/>
      <c r="M148" s="161"/>
      <c r="N148" s="161"/>
      <c r="O148" s="162"/>
      <c r="P148" s="140"/>
      <c r="Q148" s="140"/>
    </row>
    <row r="149" spans="3:17" ht="20.100000000000001" customHeight="1" x14ac:dyDescent="0.25">
      <c r="C149" s="158"/>
      <c r="D149" s="143"/>
      <c r="E149" s="140"/>
      <c r="F149" s="140"/>
      <c r="G149" s="159"/>
      <c r="H149" s="140"/>
      <c r="I149" s="140"/>
      <c r="J149" s="160"/>
      <c r="K149" s="161"/>
      <c r="L149" s="161"/>
      <c r="M149" s="161"/>
      <c r="N149" s="161"/>
      <c r="O149" s="162"/>
      <c r="P149" s="140"/>
      <c r="Q149" s="140"/>
    </row>
    <row r="150" spans="3:17" ht="20.100000000000001" customHeight="1" x14ac:dyDescent="0.25">
      <c r="C150" s="158"/>
      <c r="D150" s="143"/>
      <c r="E150" s="140"/>
      <c r="F150" s="140"/>
      <c r="G150" s="159"/>
      <c r="H150" s="140"/>
      <c r="I150" s="140"/>
      <c r="J150" s="160"/>
      <c r="K150" s="161"/>
      <c r="L150" s="161"/>
      <c r="M150" s="161"/>
      <c r="N150" s="161"/>
      <c r="O150" s="162"/>
      <c r="P150" s="140"/>
      <c r="Q150" s="140"/>
    </row>
    <row r="151" spans="3:17" ht="20.100000000000001" customHeight="1" x14ac:dyDescent="0.25">
      <c r="C151" s="158"/>
      <c r="D151" s="143"/>
      <c r="E151" s="140"/>
      <c r="F151" s="140"/>
      <c r="G151" s="159"/>
      <c r="H151" s="140"/>
      <c r="I151" s="140"/>
      <c r="J151" s="160"/>
      <c r="K151" s="161"/>
      <c r="L151" s="161"/>
      <c r="M151" s="161"/>
      <c r="N151" s="161"/>
      <c r="O151" s="162"/>
      <c r="P151" s="140"/>
      <c r="Q151" s="140"/>
    </row>
    <row r="152" spans="3:17" ht="20.100000000000001" customHeight="1" x14ac:dyDescent="0.25">
      <c r="C152" s="158"/>
      <c r="D152" s="143"/>
      <c r="E152" s="140"/>
      <c r="F152" s="140"/>
      <c r="G152" s="159"/>
      <c r="H152" s="140"/>
      <c r="I152" s="140"/>
      <c r="J152" s="160"/>
      <c r="K152" s="161"/>
      <c r="L152" s="161"/>
      <c r="M152" s="161"/>
      <c r="N152" s="161"/>
      <c r="O152" s="162"/>
      <c r="P152" s="140"/>
      <c r="Q152" s="140"/>
    </row>
    <row r="153" spans="3:17" ht="20.100000000000001" customHeight="1" x14ac:dyDescent="0.25">
      <c r="C153" s="158"/>
      <c r="D153" s="143"/>
      <c r="E153" s="140"/>
      <c r="F153" s="140"/>
      <c r="G153" s="159"/>
      <c r="H153" s="140"/>
      <c r="I153" s="140"/>
      <c r="J153" s="160"/>
      <c r="K153" s="161"/>
      <c r="L153" s="161"/>
      <c r="M153" s="161"/>
      <c r="N153" s="161"/>
      <c r="O153" s="162"/>
      <c r="P153" s="140"/>
      <c r="Q153" s="140"/>
    </row>
    <row r="154" spans="3:17" ht="20.100000000000001" customHeight="1" x14ac:dyDescent="0.25">
      <c r="C154" s="158"/>
      <c r="D154" s="143"/>
      <c r="E154" s="140"/>
      <c r="F154" s="140"/>
      <c r="G154" s="159"/>
      <c r="H154" s="140"/>
      <c r="I154" s="140"/>
      <c r="J154" s="160"/>
      <c r="K154" s="161"/>
      <c r="L154" s="161"/>
      <c r="M154" s="161"/>
      <c r="N154" s="161"/>
      <c r="O154" s="162"/>
      <c r="P154" s="140"/>
      <c r="Q154" s="140"/>
    </row>
    <row r="155" spans="3:17" ht="20.100000000000001" customHeight="1" x14ac:dyDescent="0.25">
      <c r="C155" s="158"/>
      <c r="D155" s="143"/>
      <c r="E155" s="140"/>
      <c r="F155" s="140"/>
      <c r="G155" s="159"/>
      <c r="H155" s="140"/>
      <c r="I155" s="140"/>
      <c r="J155" s="160"/>
      <c r="K155" s="161"/>
      <c r="L155" s="161"/>
      <c r="M155" s="161"/>
      <c r="N155" s="161"/>
      <c r="O155" s="162"/>
      <c r="P155" s="140"/>
      <c r="Q155" s="140"/>
    </row>
    <row r="156" spans="3:17" ht="20.100000000000001" customHeight="1" x14ac:dyDescent="0.25">
      <c r="C156" s="158"/>
      <c r="D156" s="143"/>
      <c r="E156" s="140"/>
      <c r="F156" s="140"/>
      <c r="G156" s="159"/>
      <c r="H156" s="140"/>
      <c r="I156" s="140"/>
      <c r="J156" s="160"/>
      <c r="K156" s="161"/>
      <c r="L156" s="161"/>
      <c r="M156" s="161"/>
      <c r="N156" s="161"/>
      <c r="O156" s="162"/>
      <c r="P156" s="140"/>
      <c r="Q156" s="140"/>
    </row>
    <row r="157" spans="3:17" ht="20.100000000000001" customHeight="1" x14ac:dyDescent="0.25">
      <c r="C157" s="158"/>
      <c r="D157" s="143"/>
      <c r="E157" s="140"/>
      <c r="F157" s="140"/>
      <c r="G157" s="159"/>
      <c r="H157" s="140"/>
      <c r="I157" s="140"/>
      <c r="J157" s="160"/>
      <c r="K157" s="161"/>
      <c r="L157" s="161"/>
      <c r="M157" s="161"/>
      <c r="N157" s="161"/>
      <c r="O157" s="162"/>
      <c r="P157" s="140"/>
      <c r="Q157" s="140"/>
    </row>
    <row r="158" spans="3:17" ht="20.100000000000001" customHeight="1" x14ac:dyDescent="0.25">
      <c r="C158" s="158"/>
      <c r="D158" s="143"/>
      <c r="E158" s="140"/>
      <c r="F158" s="140"/>
      <c r="G158" s="159"/>
      <c r="H158" s="140"/>
      <c r="I158" s="140"/>
      <c r="J158" s="160"/>
      <c r="K158" s="161"/>
      <c r="L158" s="161"/>
      <c r="M158" s="161"/>
      <c r="N158" s="161"/>
      <c r="O158" s="162"/>
      <c r="P158" s="140"/>
      <c r="Q158" s="140"/>
    </row>
    <row r="159" spans="3:17" ht="20.100000000000001" customHeight="1" x14ac:dyDescent="0.25">
      <c r="C159" s="158"/>
      <c r="D159" s="143"/>
      <c r="E159" s="140"/>
      <c r="F159" s="140"/>
      <c r="G159" s="159"/>
      <c r="H159" s="140"/>
      <c r="I159" s="140"/>
      <c r="J159" s="160"/>
      <c r="K159" s="161"/>
      <c r="L159" s="161"/>
      <c r="M159" s="161"/>
      <c r="N159" s="161"/>
      <c r="O159" s="162"/>
      <c r="P159" s="140"/>
      <c r="Q159" s="140"/>
    </row>
    <row r="160" spans="3:17" ht="20.100000000000001" customHeight="1" x14ac:dyDescent="0.25">
      <c r="C160" s="158"/>
      <c r="D160" s="143"/>
      <c r="E160" s="140"/>
      <c r="F160" s="140"/>
      <c r="G160" s="159"/>
      <c r="H160" s="140"/>
      <c r="I160" s="140"/>
      <c r="J160" s="160"/>
      <c r="K160" s="161"/>
      <c r="L160" s="161"/>
      <c r="M160" s="161"/>
      <c r="N160" s="161"/>
      <c r="O160" s="162"/>
      <c r="P160" s="140"/>
      <c r="Q160" s="140"/>
    </row>
    <row r="161" spans="3:17" ht="20.100000000000001" customHeight="1" x14ac:dyDescent="0.25">
      <c r="C161" s="158"/>
      <c r="D161" s="143"/>
      <c r="E161" s="140"/>
      <c r="F161" s="140"/>
      <c r="G161" s="159"/>
      <c r="H161" s="140"/>
      <c r="I161" s="140"/>
      <c r="J161" s="160"/>
      <c r="K161" s="161"/>
      <c r="L161" s="161"/>
      <c r="M161" s="161"/>
      <c r="N161" s="161"/>
      <c r="O161" s="162"/>
      <c r="P161" s="140"/>
      <c r="Q161" s="140"/>
    </row>
    <row r="162" spans="3:17" ht="20.100000000000001" customHeight="1" x14ac:dyDescent="0.25">
      <c r="C162" s="158"/>
      <c r="D162" s="143"/>
      <c r="E162" s="140"/>
      <c r="F162" s="140"/>
      <c r="G162" s="159"/>
      <c r="H162" s="140"/>
      <c r="I162" s="140"/>
      <c r="J162" s="160"/>
      <c r="K162" s="161"/>
      <c r="L162" s="161"/>
      <c r="M162" s="161"/>
      <c r="N162" s="161"/>
      <c r="O162" s="162"/>
      <c r="P162" s="140"/>
      <c r="Q162" s="140"/>
    </row>
    <row r="163" spans="3:17" ht="20.100000000000001" customHeight="1" x14ac:dyDescent="0.25">
      <c r="C163" s="158"/>
      <c r="D163" s="143"/>
      <c r="E163" s="140"/>
      <c r="F163" s="140"/>
      <c r="G163" s="159"/>
      <c r="H163" s="140"/>
      <c r="I163" s="140"/>
      <c r="J163" s="160"/>
      <c r="K163" s="161"/>
      <c r="L163" s="161"/>
      <c r="M163" s="161"/>
      <c r="N163" s="161"/>
      <c r="O163" s="162"/>
      <c r="P163" s="140"/>
      <c r="Q163" s="140"/>
    </row>
    <row r="164" spans="3:17" ht="20.100000000000001" customHeight="1" x14ac:dyDescent="0.25">
      <c r="C164" s="158"/>
      <c r="D164" s="143"/>
      <c r="E164" s="140"/>
      <c r="F164" s="140"/>
      <c r="G164" s="159"/>
      <c r="H164" s="140"/>
      <c r="I164" s="140"/>
      <c r="J164" s="160"/>
      <c r="K164" s="161"/>
      <c r="L164" s="161"/>
      <c r="M164" s="161"/>
      <c r="N164" s="161"/>
      <c r="O164" s="162"/>
      <c r="P164" s="140"/>
      <c r="Q164" s="140"/>
    </row>
    <row r="165" spans="3:17" ht="20.100000000000001" customHeight="1" x14ac:dyDescent="0.25">
      <c r="C165" s="158"/>
      <c r="D165" s="143"/>
      <c r="E165" s="140"/>
      <c r="F165" s="140"/>
      <c r="G165" s="159"/>
      <c r="H165" s="140"/>
      <c r="I165" s="140"/>
      <c r="J165" s="160"/>
      <c r="K165" s="161"/>
      <c r="L165" s="161"/>
      <c r="M165" s="161"/>
      <c r="N165" s="161"/>
      <c r="O165" s="162"/>
      <c r="P165" s="140"/>
      <c r="Q165" s="140"/>
    </row>
    <row r="166" spans="3:17" ht="20.100000000000001" customHeight="1" x14ac:dyDescent="0.25">
      <c r="C166" s="158"/>
      <c r="D166" s="143"/>
      <c r="E166" s="140"/>
      <c r="F166" s="140"/>
      <c r="G166" s="159"/>
      <c r="H166" s="140"/>
      <c r="I166" s="140"/>
      <c r="J166" s="160"/>
      <c r="K166" s="161"/>
      <c r="L166" s="161"/>
      <c r="M166" s="161"/>
      <c r="N166" s="161"/>
      <c r="O166" s="162"/>
      <c r="P166" s="140"/>
      <c r="Q166" s="140"/>
    </row>
    <row r="167" spans="3:17" ht="20.100000000000001" customHeight="1" x14ac:dyDescent="0.25">
      <c r="C167" s="158"/>
      <c r="D167" s="143"/>
      <c r="E167" s="140"/>
      <c r="F167" s="140"/>
      <c r="G167" s="159"/>
      <c r="H167" s="140"/>
      <c r="I167" s="140"/>
      <c r="J167" s="160"/>
      <c r="K167" s="161"/>
      <c r="L167" s="161"/>
      <c r="M167" s="161"/>
      <c r="N167" s="161"/>
      <c r="O167" s="162"/>
      <c r="P167" s="140"/>
      <c r="Q167" s="140"/>
    </row>
    <row r="168" spans="3:17" ht="20.100000000000001" customHeight="1" x14ac:dyDescent="0.25">
      <c r="C168" s="158"/>
      <c r="D168" s="143"/>
      <c r="E168" s="140"/>
      <c r="F168" s="140"/>
      <c r="G168" s="159"/>
      <c r="H168" s="140"/>
      <c r="I168" s="140"/>
      <c r="J168" s="160"/>
      <c r="K168" s="161"/>
      <c r="L168" s="161"/>
      <c r="M168" s="161"/>
      <c r="N168" s="161"/>
      <c r="O168" s="162"/>
      <c r="P168" s="140"/>
      <c r="Q168" s="140"/>
    </row>
    <row r="169" spans="3:17" ht="20.100000000000001" customHeight="1" x14ac:dyDescent="0.25">
      <c r="C169" s="158"/>
      <c r="D169" s="143"/>
      <c r="E169" s="140"/>
      <c r="F169" s="140"/>
      <c r="G169" s="159"/>
      <c r="H169" s="140"/>
      <c r="I169" s="140"/>
      <c r="J169" s="160"/>
      <c r="K169" s="161"/>
      <c r="L169" s="161"/>
      <c r="M169" s="161"/>
      <c r="N169" s="161"/>
      <c r="O169" s="162"/>
      <c r="P169" s="140"/>
      <c r="Q169" s="140"/>
    </row>
    <row r="170" spans="3:17" ht="20.100000000000001" customHeight="1" x14ac:dyDescent="0.25">
      <c r="C170" s="158"/>
      <c r="D170" s="143"/>
      <c r="E170" s="140"/>
      <c r="F170" s="140"/>
      <c r="G170" s="159"/>
      <c r="H170" s="140"/>
      <c r="I170" s="140"/>
      <c r="J170" s="160"/>
      <c r="K170" s="161"/>
      <c r="L170" s="161"/>
      <c r="M170" s="161"/>
      <c r="N170" s="161"/>
      <c r="O170" s="162"/>
      <c r="P170" s="140"/>
      <c r="Q170" s="140"/>
    </row>
    <row r="171" spans="3:17" ht="20.100000000000001" customHeight="1" x14ac:dyDescent="0.25">
      <c r="C171" s="158"/>
      <c r="D171" s="143"/>
      <c r="E171" s="140"/>
      <c r="F171" s="140"/>
      <c r="G171" s="159"/>
      <c r="H171" s="140"/>
      <c r="I171" s="140"/>
      <c r="J171" s="160"/>
      <c r="K171" s="161"/>
      <c r="L171" s="161"/>
      <c r="M171" s="161"/>
      <c r="N171" s="161"/>
      <c r="O171" s="162"/>
      <c r="P171" s="140"/>
      <c r="Q171" s="140"/>
    </row>
    <row r="172" spans="3:17" ht="20.100000000000001" customHeight="1" x14ac:dyDescent="0.25">
      <c r="C172" s="158"/>
      <c r="D172" s="143"/>
      <c r="E172" s="140"/>
      <c r="F172" s="140"/>
      <c r="G172" s="159"/>
      <c r="H172" s="140"/>
      <c r="I172" s="140"/>
      <c r="J172" s="160"/>
      <c r="K172" s="161"/>
      <c r="L172" s="161"/>
      <c r="M172" s="161"/>
      <c r="N172" s="161"/>
      <c r="O172" s="162"/>
      <c r="P172" s="140"/>
      <c r="Q172" s="140"/>
    </row>
    <row r="173" spans="3:17" ht="20.100000000000001" customHeight="1" x14ac:dyDescent="0.25">
      <c r="C173" s="158"/>
      <c r="D173" s="143"/>
      <c r="E173" s="140"/>
      <c r="F173" s="140"/>
      <c r="G173" s="159"/>
      <c r="H173" s="140"/>
      <c r="I173" s="140"/>
      <c r="J173" s="160"/>
      <c r="K173" s="161"/>
      <c r="L173" s="161"/>
      <c r="M173" s="161"/>
      <c r="N173" s="161"/>
      <c r="O173" s="162"/>
      <c r="P173" s="140"/>
      <c r="Q173" s="140"/>
    </row>
    <row r="174" spans="3:17" ht="20.100000000000001" customHeight="1" x14ac:dyDescent="0.25">
      <c r="C174" s="158"/>
      <c r="D174" s="143"/>
      <c r="E174" s="140"/>
      <c r="F174" s="140"/>
      <c r="G174" s="159"/>
      <c r="H174" s="140"/>
      <c r="I174" s="140"/>
      <c r="J174" s="160"/>
      <c r="K174" s="161"/>
      <c r="L174" s="161"/>
      <c r="M174" s="161"/>
      <c r="N174" s="161"/>
      <c r="O174" s="162"/>
      <c r="P174" s="140"/>
      <c r="Q174" s="140"/>
    </row>
    <row r="175" spans="3:17" ht="20.100000000000001" customHeight="1" x14ac:dyDescent="0.25">
      <c r="C175" s="158"/>
      <c r="D175" s="143"/>
      <c r="E175" s="140"/>
      <c r="F175" s="140"/>
      <c r="G175" s="159"/>
      <c r="H175" s="140"/>
      <c r="I175" s="140"/>
      <c r="J175" s="160"/>
      <c r="K175" s="161"/>
      <c r="L175" s="161"/>
      <c r="M175" s="161"/>
      <c r="N175" s="161"/>
      <c r="O175" s="162"/>
      <c r="P175" s="140"/>
      <c r="Q175" s="140"/>
    </row>
    <row r="176" spans="3:17" ht="20.100000000000001" customHeight="1" x14ac:dyDescent="0.25">
      <c r="C176" s="158"/>
      <c r="D176" s="143"/>
      <c r="E176" s="140"/>
      <c r="F176" s="140"/>
      <c r="G176" s="159"/>
      <c r="H176" s="140"/>
      <c r="I176" s="140"/>
      <c r="J176" s="160"/>
      <c r="K176" s="161"/>
      <c r="L176" s="161"/>
      <c r="M176" s="161"/>
      <c r="N176" s="161"/>
      <c r="O176" s="162"/>
      <c r="P176" s="140"/>
      <c r="Q176" s="140"/>
    </row>
    <row r="177" spans="3:17" ht="20.100000000000001" customHeight="1" x14ac:dyDescent="0.25">
      <c r="C177" s="158"/>
      <c r="D177" s="143"/>
      <c r="E177" s="140"/>
      <c r="F177" s="140"/>
      <c r="G177" s="159"/>
      <c r="H177" s="140"/>
      <c r="I177" s="140"/>
      <c r="J177" s="160"/>
      <c r="K177" s="161"/>
      <c r="L177" s="161"/>
      <c r="M177" s="161"/>
      <c r="N177" s="161"/>
      <c r="O177" s="162"/>
      <c r="P177" s="140"/>
      <c r="Q177" s="140"/>
    </row>
    <row r="178" spans="3:17" ht="20.100000000000001" customHeight="1" x14ac:dyDescent="0.25">
      <c r="C178" s="158"/>
      <c r="D178" s="143"/>
      <c r="E178" s="140"/>
      <c r="F178" s="140"/>
      <c r="G178" s="159"/>
      <c r="H178" s="140"/>
      <c r="I178" s="140"/>
      <c r="J178" s="160"/>
      <c r="K178" s="161"/>
      <c r="L178" s="161"/>
      <c r="M178" s="161"/>
      <c r="N178" s="161"/>
      <c r="O178" s="162"/>
      <c r="P178" s="140"/>
      <c r="Q178" s="140"/>
    </row>
    <row r="179" spans="3:17" ht="20.100000000000001" customHeight="1" x14ac:dyDescent="0.25">
      <c r="C179" s="158"/>
      <c r="D179" s="143"/>
      <c r="E179" s="140"/>
      <c r="F179" s="140"/>
      <c r="G179" s="159"/>
      <c r="H179" s="140"/>
      <c r="I179" s="140"/>
      <c r="J179" s="160"/>
      <c r="K179" s="161"/>
      <c r="L179" s="161"/>
      <c r="M179" s="161"/>
      <c r="N179" s="161"/>
      <c r="O179" s="162"/>
      <c r="P179" s="140"/>
      <c r="Q179" s="140"/>
    </row>
    <row r="180" spans="3:17" ht="20.100000000000001" customHeight="1" x14ac:dyDescent="0.25">
      <c r="C180" s="158"/>
      <c r="D180" s="143"/>
      <c r="E180" s="140"/>
      <c r="F180" s="140"/>
      <c r="G180" s="159"/>
      <c r="H180" s="140"/>
      <c r="I180" s="140"/>
      <c r="J180" s="160"/>
      <c r="K180" s="161"/>
      <c r="L180" s="161"/>
      <c r="M180" s="161"/>
      <c r="N180" s="161"/>
      <c r="O180" s="162"/>
      <c r="P180" s="140"/>
      <c r="Q180" s="140"/>
    </row>
    <row r="181" spans="3:17" ht="20.100000000000001" customHeight="1" x14ac:dyDescent="0.25">
      <c r="C181" s="158"/>
      <c r="D181" s="143"/>
      <c r="E181" s="140"/>
      <c r="F181" s="140"/>
      <c r="G181" s="159"/>
      <c r="H181" s="140"/>
      <c r="I181" s="140"/>
      <c r="J181" s="160"/>
      <c r="K181" s="161"/>
      <c r="L181" s="161"/>
      <c r="M181" s="161"/>
      <c r="N181" s="161"/>
      <c r="O181" s="162"/>
      <c r="P181" s="140"/>
      <c r="Q181" s="140"/>
    </row>
    <row r="182" spans="3:17" ht="20.100000000000001" customHeight="1" x14ac:dyDescent="0.25">
      <c r="C182" s="158"/>
      <c r="D182" s="143"/>
      <c r="E182" s="140"/>
      <c r="F182" s="140"/>
      <c r="G182" s="159"/>
      <c r="H182" s="140"/>
      <c r="I182" s="140"/>
      <c r="J182" s="160"/>
      <c r="K182" s="161"/>
      <c r="L182" s="161"/>
      <c r="M182" s="161"/>
      <c r="N182" s="161"/>
      <c r="O182" s="162"/>
      <c r="P182" s="140"/>
      <c r="Q182" s="140"/>
    </row>
    <row r="183" spans="3:17" ht="20.100000000000001" customHeight="1" x14ac:dyDescent="0.25">
      <c r="C183" s="158"/>
      <c r="D183" s="143"/>
      <c r="E183" s="140"/>
      <c r="F183" s="140"/>
      <c r="G183" s="159"/>
      <c r="H183" s="140"/>
      <c r="I183" s="140"/>
      <c r="J183" s="160"/>
      <c r="K183" s="161"/>
      <c r="L183" s="161"/>
      <c r="M183" s="161"/>
      <c r="N183" s="161"/>
      <c r="O183" s="162"/>
      <c r="P183" s="140"/>
      <c r="Q183" s="140"/>
    </row>
    <row r="184" spans="3:17" ht="20.100000000000001" customHeight="1" x14ac:dyDescent="0.25">
      <c r="C184" s="158"/>
      <c r="D184" s="143"/>
      <c r="E184" s="140"/>
      <c r="F184" s="140"/>
      <c r="G184" s="159"/>
      <c r="H184" s="140"/>
      <c r="I184" s="140"/>
      <c r="J184" s="160"/>
      <c r="K184" s="161"/>
      <c r="L184" s="161"/>
      <c r="M184" s="161"/>
      <c r="N184" s="161"/>
      <c r="O184" s="162"/>
      <c r="P184" s="140"/>
      <c r="Q184" s="140"/>
    </row>
    <row r="185" spans="3:17" ht="20.100000000000001" customHeight="1" x14ac:dyDescent="0.25">
      <c r="C185" s="158"/>
      <c r="D185" s="143"/>
      <c r="E185" s="140"/>
      <c r="F185" s="140"/>
      <c r="G185" s="159"/>
      <c r="H185" s="140"/>
      <c r="I185" s="140"/>
      <c r="J185" s="160"/>
      <c r="K185" s="161"/>
      <c r="L185" s="161"/>
      <c r="M185" s="161"/>
      <c r="N185" s="161"/>
      <c r="O185" s="162"/>
      <c r="P185" s="140"/>
      <c r="Q185" s="140"/>
    </row>
    <row r="186" spans="3:17" ht="20.100000000000001" customHeight="1" x14ac:dyDescent="0.25">
      <c r="C186" s="158"/>
      <c r="D186" s="143"/>
      <c r="E186" s="140"/>
      <c r="F186" s="140"/>
      <c r="G186" s="159"/>
      <c r="H186" s="140"/>
      <c r="I186" s="140"/>
      <c r="J186" s="160"/>
      <c r="K186" s="161"/>
      <c r="L186" s="161"/>
      <c r="M186" s="161"/>
      <c r="N186" s="161"/>
      <c r="O186" s="162"/>
      <c r="P186" s="140"/>
      <c r="Q186" s="140"/>
    </row>
    <row r="187" spans="3:17" ht="20.100000000000001" customHeight="1" x14ac:dyDescent="0.25">
      <c r="C187" s="158"/>
      <c r="D187" s="143"/>
      <c r="E187" s="140"/>
      <c r="F187" s="140"/>
      <c r="G187" s="159"/>
      <c r="H187" s="140"/>
      <c r="I187" s="140"/>
      <c r="J187" s="160"/>
      <c r="K187" s="161"/>
      <c r="L187" s="161"/>
      <c r="M187" s="161"/>
      <c r="N187" s="161"/>
      <c r="O187" s="162"/>
      <c r="P187" s="140"/>
      <c r="Q187" s="140"/>
    </row>
    <row r="188" spans="3:17" ht="20.100000000000001" customHeight="1" x14ac:dyDescent="0.25">
      <c r="C188" s="158"/>
      <c r="D188" s="143"/>
      <c r="E188" s="140"/>
      <c r="F188" s="140"/>
      <c r="G188" s="159"/>
      <c r="H188" s="140"/>
      <c r="I188" s="140"/>
      <c r="J188" s="160"/>
      <c r="K188" s="161"/>
      <c r="L188" s="161"/>
      <c r="M188" s="161"/>
      <c r="N188" s="161"/>
      <c r="O188" s="162"/>
      <c r="P188" s="140"/>
      <c r="Q188" s="140"/>
    </row>
    <row r="189" spans="3:17" ht="20.100000000000001" customHeight="1" x14ac:dyDescent="0.25">
      <c r="C189" s="158"/>
      <c r="D189" s="143"/>
      <c r="E189" s="140"/>
      <c r="F189" s="140"/>
      <c r="G189" s="159"/>
      <c r="H189" s="140"/>
      <c r="I189" s="140"/>
      <c r="J189" s="160"/>
      <c r="K189" s="161"/>
      <c r="L189" s="161"/>
      <c r="M189" s="161"/>
      <c r="N189" s="161"/>
      <c r="O189" s="162"/>
      <c r="P189" s="140"/>
      <c r="Q189" s="140"/>
    </row>
    <row r="190" spans="3:17" ht="20.100000000000001" customHeight="1" x14ac:dyDescent="0.25">
      <c r="C190" s="158"/>
      <c r="D190" s="143"/>
      <c r="E190" s="140"/>
      <c r="F190" s="140"/>
      <c r="G190" s="159"/>
      <c r="H190" s="140"/>
      <c r="I190" s="140"/>
      <c r="J190" s="160"/>
      <c r="K190" s="161"/>
      <c r="L190" s="161"/>
      <c r="M190" s="161"/>
      <c r="N190" s="161"/>
      <c r="O190" s="162"/>
      <c r="P190" s="140"/>
      <c r="Q190" s="140"/>
    </row>
    <row r="191" spans="3:17" ht="20.100000000000001" customHeight="1" x14ac:dyDescent="0.25">
      <c r="C191" s="158"/>
      <c r="D191" s="143"/>
      <c r="E191" s="140"/>
      <c r="F191" s="140"/>
      <c r="G191" s="159"/>
      <c r="H191" s="140"/>
      <c r="I191" s="140"/>
      <c r="J191" s="160"/>
      <c r="K191" s="161"/>
      <c r="L191" s="161"/>
      <c r="M191" s="161"/>
      <c r="N191" s="161"/>
      <c r="O191" s="162"/>
      <c r="P191" s="140"/>
      <c r="Q191" s="140"/>
    </row>
    <row r="192" spans="3:17" ht="20.100000000000001" customHeight="1" x14ac:dyDescent="0.25">
      <c r="C192" s="158"/>
      <c r="D192" s="143"/>
      <c r="E192" s="140"/>
      <c r="F192" s="140"/>
      <c r="G192" s="159"/>
      <c r="H192" s="140"/>
      <c r="I192" s="140"/>
      <c r="J192" s="160"/>
      <c r="K192" s="161"/>
      <c r="L192" s="161"/>
      <c r="M192" s="161"/>
      <c r="N192" s="161"/>
      <c r="O192" s="162"/>
      <c r="P192" s="140"/>
      <c r="Q192" s="140"/>
    </row>
    <row r="193" spans="3:17" ht="20.100000000000001" customHeight="1" x14ac:dyDescent="0.25">
      <c r="C193" s="158"/>
      <c r="D193" s="143"/>
      <c r="E193" s="140"/>
      <c r="F193" s="140"/>
      <c r="G193" s="159"/>
      <c r="H193" s="140"/>
      <c r="I193" s="140"/>
      <c r="J193" s="160"/>
      <c r="K193" s="161"/>
      <c r="L193" s="161"/>
      <c r="M193" s="161"/>
      <c r="N193" s="161"/>
      <c r="O193" s="162"/>
      <c r="P193" s="140"/>
      <c r="Q193" s="140"/>
    </row>
    <row r="194" spans="3:17" ht="20.100000000000001" customHeight="1" x14ac:dyDescent="0.25">
      <c r="C194" s="158"/>
      <c r="D194" s="143"/>
      <c r="E194" s="140"/>
      <c r="F194" s="140"/>
      <c r="G194" s="159"/>
      <c r="H194" s="140"/>
      <c r="I194" s="140"/>
      <c r="J194" s="160"/>
      <c r="K194" s="161"/>
      <c r="L194" s="161"/>
      <c r="M194" s="161"/>
      <c r="N194" s="161"/>
      <c r="O194" s="162"/>
      <c r="P194" s="140"/>
      <c r="Q194" s="140"/>
    </row>
    <row r="195" spans="3:17" ht="20.100000000000001" customHeight="1" x14ac:dyDescent="0.25">
      <c r="C195" s="158"/>
      <c r="D195" s="143"/>
      <c r="E195" s="140"/>
      <c r="F195" s="140"/>
      <c r="G195" s="159"/>
      <c r="H195" s="140"/>
      <c r="I195" s="140"/>
      <c r="J195" s="160"/>
      <c r="K195" s="161"/>
      <c r="L195" s="161"/>
      <c r="M195" s="161"/>
      <c r="N195" s="161"/>
      <c r="O195" s="162"/>
      <c r="P195" s="140"/>
      <c r="Q195" s="140"/>
    </row>
    <row r="196" spans="3:17" ht="20.100000000000001" customHeight="1" x14ac:dyDescent="0.25">
      <c r="C196" s="158"/>
      <c r="D196" s="143"/>
      <c r="E196" s="140"/>
      <c r="F196" s="140"/>
      <c r="G196" s="159"/>
      <c r="H196" s="140"/>
      <c r="I196" s="140"/>
      <c r="J196" s="160"/>
      <c r="K196" s="161"/>
      <c r="L196" s="161"/>
      <c r="M196" s="161"/>
      <c r="N196" s="161"/>
      <c r="O196" s="162"/>
      <c r="P196" s="140"/>
      <c r="Q196" s="140"/>
    </row>
    <row r="197" spans="3:17" ht="20.100000000000001" customHeight="1" x14ac:dyDescent="0.25">
      <c r="C197" s="158"/>
      <c r="D197" s="143"/>
      <c r="E197" s="140"/>
      <c r="F197" s="140"/>
      <c r="G197" s="159"/>
      <c r="H197" s="140"/>
      <c r="I197" s="140"/>
      <c r="J197" s="160"/>
      <c r="K197" s="161"/>
      <c r="L197" s="161"/>
      <c r="M197" s="161"/>
      <c r="N197" s="161"/>
      <c r="O197" s="162"/>
      <c r="P197" s="140"/>
      <c r="Q197" s="140"/>
    </row>
    <row r="198" spans="3:17" ht="20.100000000000001" customHeight="1" x14ac:dyDescent="0.25">
      <c r="C198" s="158"/>
      <c r="D198" s="143"/>
      <c r="E198" s="140"/>
      <c r="F198" s="140"/>
      <c r="G198" s="159"/>
      <c r="H198" s="140"/>
      <c r="I198" s="140"/>
      <c r="J198" s="160"/>
      <c r="K198" s="161"/>
      <c r="L198" s="161"/>
      <c r="M198" s="161"/>
      <c r="N198" s="161"/>
      <c r="O198" s="162"/>
      <c r="P198" s="140"/>
      <c r="Q198" s="140"/>
    </row>
    <row r="199" spans="3:17" ht="20.100000000000001" customHeight="1" x14ac:dyDescent="0.25">
      <c r="C199" s="158"/>
      <c r="D199" s="143"/>
      <c r="E199" s="140"/>
      <c r="F199" s="140"/>
      <c r="G199" s="159"/>
      <c r="H199" s="140"/>
      <c r="I199" s="140"/>
      <c r="J199" s="160"/>
      <c r="K199" s="161"/>
      <c r="L199" s="161"/>
      <c r="M199" s="161"/>
      <c r="N199" s="161"/>
      <c r="O199" s="162"/>
      <c r="P199" s="140"/>
      <c r="Q199" s="140"/>
    </row>
    <row r="200" spans="3:17" ht="20.100000000000001" customHeight="1" x14ac:dyDescent="0.25">
      <c r="C200" s="158"/>
      <c r="D200" s="143"/>
      <c r="E200" s="140"/>
      <c r="F200" s="140"/>
      <c r="G200" s="159"/>
      <c r="H200" s="140"/>
      <c r="I200" s="140"/>
      <c r="J200" s="160"/>
      <c r="K200" s="161"/>
      <c r="L200" s="161"/>
      <c r="M200" s="161"/>
      <c r="N200" s="161"/>
      <c r="O200" s="162"/>
      <c r="P200" s="140"/>
      <c r="Q200" s="140"/>
    </row>
    <row r="201" spans="3:17" ht="20.100000000000001" customHeight="1" x14ac:dyDescent="0.25">
      <c r="C201" s="158"/>
      <c r="D201" s="143"/>
      <c r="E201" s="140"/>
      <c r="F201" s="140"/>
      <c r="G201" s="159"/>
      <c r="H201" s="140"/>
      <c r="I201" s="140"/>
      <c r="J201" s="160"/>
      <c r="K201" s="161"/>
      <c r="L201" s="161"/>
      <c r="M201" s="161"/>
      <c r="N201" s="161"/>
      <c r="O201" s="162"/>
      <c r="P201" s="140"/>
      <c r="Q201" s="140"/>
    </row>
    <row r="202" spans="3:17" ht="20.100000000000001" customHeight="1" x14ac:dyDescent="0.25">
      <c r="C202" s="158"/>
      <c r="D202" s="143"/>
      <c r="E202" s="140"/>
      <c r="F202" s="140"/>
      <c r="G202" s="159"/>
      <c r="H202" s="140"/>
      <c r="I202" s="140"/>
      <c r="J202" s="160"/>
      <c r="K202" s="161"/>
      <c r="L202" s="161"/>
      <c r="M202" s="161"/>
      <c r="N202" s="161"/>
      <c r="O202" s="162"/>
      <c r="P202" s="140"/>
      <c r="Q202" s="140"/>
    </row>
    <row r="203" spans="3:17" ht="20.100000000000001" customHeight="1" x14ac:dyDescent="0.25">
      <c r="C203" s="158"/>
      <c r="D203" s="143"/>
      <c r="E203" s="140"/>
      <c r="F203" s="140"/>
      <c r="G203" s="159"/>
      <c r="H203" s="140"/>
      <c r="I203" s="140"/>
      <c r="J203" s="160"/>
      <c r="K203" s="161"/>
      <c r="L203" s="161"/>
      <c r="M203" s="161"/>
      <c r="N203" s="161"/>
      <c r="O203" s="162"/>
      <c r="P203" s="140"/>
      <c r="Q203" s="140"/>
    </row>
    <row r="204" spans="3:17" ht="20.100000000000001" customHeight="1" x14ac:dyDescent="0.25">
      <c r="C204" s="158"/>
      <c r="D204" s="143"/>
      <c r="E204" s="140"/>
      <c r="F204" s="140"/>
      <c r="G204" s="159"/>
      <c r="H204" s="140"/>
      <c r="I204" s="140"/>
      <c r="J204" s="160"/>
      <c r="K204" s="161"/>
      <c r="L204" s="161"/>
      <c r="M204" s="161"/>
      <c r="N204" s="161"/>
      <c r="O204" s="162"/>
      <c r="P204" s="140"/>
      <c r="Q204" s="140"/>
    </row>
    <row r="205" spans="3:17" ht="20.100000000000001" customHeight="1" x14ac:dyDescent="0.25">
      <c r="C205" s="158"/>
      <c r="D205" s="143"/>
      <c r="E205" s="140"/>
      <c r="F205" s="140"/>
      <c r="G205" s="159"/>
      <c r="H205" s="140"/>
      <c r="I205" s="140"/>
      <c r="J205" s="160"/>
      <c r="K205" s="161"/>
      <c r="L205" s="161"/>
      <c r="M205" s="161"/>
      <c r="N205" s="161"/>
      <c r="O205" s="162"/>
      <c r="P205" s="140"/>
      <c r="Q205" s="140"/>
    </row>
    <row r="206" spans="3:17" ht="20.100000000000001" customHeight="1" x14ac:dyDescent="0.25">
      <c r="C206" s="158"/>
      <c r="D206" s="143"/>
      <c r="E206" s="140"/>
      <c r="F206" s="140"/>
      <c r="G206" s="159"/>
      <c r="H206" s="140"/>
      <c r="I206" s="140"/>
      <c r="J206" s="160"/>
      <c r="K206" s="161"/>
      <c r="L206" s="161"/>
      <c r="M206" s="161"/>
      <c r="N206" s="161"/>
      <c r="O206" s="162"/>
      <c r="P206" s="140"/>
      <c r="Q206" s="140"/>
    </row>
    <row r="207" spans="3:17" ht="20.100000000000001" customHeight="1" x14ac:dyDescent="0.25"/>
    <row r="208" spans="3:17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</sheetData>
  <conditionalFormatting sqref="C7:C206">
    <cfRule type="expression" dxfId="1" priority="1">
      <formula>AND(C7&lt;&gt;"",COUNTIF($C$7:$C$206,C7)&gt;1)</formula>
    </cfRule>
  </conditionalFormatting>
  <dataValidations count="14">
    <dataValidation type="custom" allowBlank="1" showInputMessage="1" showErrorMessage="1" errorTitle="Duplicate ID" error="This netting set ID is already used. Enter a unique ID." promptTitle="Netting set ID" prompt="Unique ID of the legally enforceable netting set. Trades refer to it. A repeated ID makes the set INVALID." sqref="C7:C206">
      <formula1>COUNTIF($C$7:$C$206,C7)=1</formula1>
    </dataValidation>
    <dataValidation type="list" allowBlank="1" showInputMessage="1" showErrorMessage="1" errorTitle="Invalid choice" error="Choose Y or N." promptTitle="Margined" prompt="Y if a margin agreement exchanges variation margin (CRE52.2; CRR Art. 272(7)). Blank = N." sqref="E7:E206">
      <formula1>"Y,N"</formula1>
    </dataValidation>
    <dataValidation type="list" allowBlank="1" showInputMessage="1" showErrorMessage="1" errorTitle="Invalid clearing role" error="Choose N, CM or CLIENT." promptTitle="Client clearing role" prompt="N = not client clearing. CM = the bank is the clearing member (5-day MPOR floor). CLIENT = the bank is the client: 5 days under CRR, 10 under BCBS (CRE54)." sqref="F7:F206">
      <formula1>"N,CM,CLIENT"</formula1>
    </dataValidation>
    <dataValidation type="whole" operator="between" allowBlank="1" showInputMessage="1" showErrorMessage="1" errorTitle="Invalid remargin frequency" error="Enter a whole number of business days from 0 to 10000." promptTitle="Remargin frequency N" prompt="Business days between margin calls for a margined set; blank or 1 = daily. MPOR adds N - 1 (CRE52.50)." sqref="G7:G206">
      <formula1>0</formula1>
      <formula2>10000</formula2>
    </dataValidation>
    <dataValidation type="list" allowBlank="1" showInputMessage="1" showErrorMessage="1" errorTitle="Invalid choice" error="Choose Y or N." promptTitle="Large or illiquid" prompt="Y if the netting set has more than 5,000 trades or illiquid collateral or hard-to-replace OTC derivatives: MPOR floor 20 days (CRE52.50)." sqref="H7:H206">
      <formula1>"Y,N"</formula1>
    </dataValidation>
    <dataValidation type="list" allowBlank="1" showInputMessage="1" showErrorMessage="1" errorTitle="Invalid choice" error="Choose Y or N." promptTitle="Margin disputes" prompt="Y if more than two disputes lasting longer than the MPOR occurred in the last two quarters: MPOR doubled (CRE52.50)." sqref="I7:I206">
      <formula1>"Y,N"</formula1>
    </dataValidation>
    <dataValidation type="whole" operator="greaterThan" allowBlank="1" showInputMessage="1" showErrorMessage="1" errorTitle="Invalid MPOR override" error="Enter a whole number of business days greater than 0, or leave blank." promptTitle="MPOR override" prompt="Optional MPOR in business days. Applied only if not below the regulatory floor; otherwise the floor is used." sqref="J7:J206">
      <formula1>0</formula1>
    </dataValidation>
    <dataValidation type="custom" allowBlank="1" showInputMessage="1" showErrorMessage="1" errorTitle="Invalid amount" error="Enter a number: positive if held, negative if posted." promptTitle="Net variation margin" prompt="Net VM after haircuts, reporting currency: held (+), posted (-). VM held needs Margined = Y." sqref="K7:K206">
      <formula1>ISNUMBER(K7)</formula1>
    </dataValidation>
    <dataValidation type="custom" allowBlank="1" showInputMessage="1" showErrorMessage="1" errorTitle="Invalid amount" error="Enter a number: positive if held, negative if posted." promptTitle="NICA" prompt="Net independent collateral amount after haircuts, reporting currency: held (+), posted (-) (CRE52.13)." sqref="L7:L206">
      <formula1>ISNUMBER(L7)</formula1>
    </dataValidation>
    <dataValidation type="decimal" operator="greaterThanOrEqual" allowBlank="1" showInputMessage="1" showErrorMessage="1" errorTitle="Invalid threshold" error="Enter an amount of zero or more." promptTitle="Threshold TH" prompt="Threshold of the margin agreement, reporting currency (CRE52.18)." sqref="M7:M206">
      <formula1>0</formula1>
    </dataValidation>
    <dataValidation type="decimal" operator="greaterThanOrEqual" allowBlank="1" showInputMessage="1" showErrorMessage="1" errorTitle="Invalid MTA" error="Enter an amount of zero or more." promptTitle="Minimum transfer amount" prompt="MTA of the margin agreement, reporting currency (CRE52.18)." sqref="N7:N206">
      <formula1>0</formula1>
    </dataValidation>
    <dataValidation type="decimal" operator="greaterThan" allowBlank="1" showInputMessage="1" showErrorMessage="1" errorTitle="Invalid alpha" error="Enter a number greater than zero, or leave blank." promptTitle="Alpha override" prompt="Optional alpha for this netting set; blank = Params Alpha (1.4)." sqref="O7:O206">
      <formula1>0</formula1>
    </dataValidation>
    <dataValidation type="list" allowBlank="1" showInputMessage="1" showErrorMessage="1" errorTitle="Invalid regime" error="Choose CRR or BCBS, or leave blank." promptTitle="Regime override" prompt="CRR or BCBS for this netting set; blank = Params Regime." sqref="P7:P206">
      <formula1>"CRR,BCBS"</formula1>
    </dataValidation>
    <dataValidation type="list" allowBlank="1" showInputMessage="1" showErrorMessage="1" errorTitle="Invalid structure" error="Choose MIXED or SHARED, or leave blank." promptTitle="Margin agreements" prompt="Blank = one agreement, or none, covering only this set. MIXED or SHARED declares a structure the engine rejects (CRE52.74-.75)." sqref="Q7:Q206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Trades">
    <tabColor rgb="FFBF9000"/>
    <pageSetUpPr fitToPage="1"/>
  </sheetPr>
  <dimension ref="B1:Z515"/>
  <sheetViews>
    <sheetView showGridLines="0" tabSelected="1" zoomScaleNormal="100" workbookViewId="0">
      <pane xSplit="4" ySplit="5" topLeftCell="E6" activePane="bottomRight" state="frozen"/>
      <selection pane="topRight" activeCell="E3" sqref="E3"/>
      <selection pane="bottomLeft" activeCell="C7" sqref="C7"/>
      <selection pane="bottomRight" activeCell="H10" sqref="H10"/>
    </sheetView>
  </sheetViews>
  <sheetFormatPr defaultRowHeight="15" x14ac:dyDescent="0.25"/>
  <cols>
    <col min="1" max="2" width="4" style="0" customWidth="1"/>
    <col min="3" max="3" width="15.625" style="183" customWidth="1"/>
    <col min="4" max="4" width="20.625" style="183" customWidth="1"/>
    <col min="5" max="5" width="10.625" style="184" customWidth="1"/>
    <col min="6" max="6" width="12.75" style="184" customWidth="1"/>
    <col min="7" max="7" width="20.625" style="184" customWidth="1"/>
    <col min="8" max="11" width="10.625" style="184" customWidth="1"/>
    <col min="12" max="12" width="15.625" style="184" customWidth="1"/>
    <col min="13" max="13" width="15.625" style="183" customWidth="1"/>
    <col min="14" max="14" width="10.625" style="184" customWidth="1"/>
    <col min="15" max="15" width="15.625" style="183" customWidth="1"/>
    <col min="16" max="20" width="10.625" style="184" customWidth="1"/>
    <col min="21" max="23" width="10.625" style="183" customWidth="1"/>
    <col min="24" max="25" width="15.625" style="183" customWidth="1"/>
    <col min="26" max="26" width="50.75" style="183" customWidth="1"/>
    <col min="27" max="16384" width="9" style="0"/>
  </cols>
  <sheetData>
    <row r="1" spans="2:26" ht="24" customHeight="1" x14ac:dyDescent="0.25">
      <c r="B1" s="164" t="s">
        <v>0</v>
      </c>
      <c r="C1" s="165"/>
      <c r="D1" s="166"/>
      <c r="E1" s="167"/>
      <c r="F1" s="167"/>
      <c r="G1" s="167"/>
      <c r="H1" s="167"/>
      <c r="I1" s="167"/>
      <c r="J1" s="167"/>
      <c r="K1" s="167"/>
      <c r="L1" s="167"/>
      <c r="M1" s="166"/>
      <c r="N1" s="166"/>
      <c r="O1" s="166"/>
      <c r="P1" s="166"/>
      <c r="Q1" s="167"/>
      <c r="R1" s="167"/>
      <c r="S1" s="167"/>
      <c r="T1" s="167"/>
      <c r="U1" s="167"/>
      <c r="V1" s="167"/>
      <c r="W1" s="167"/>
      <c r="X1" s="167"/>
      <c r="Y1" s="167"/>
      <c r="Z1" s="167"/>
    </row>
    <row r="2" spans="2:26" ht="26.1" customHeight="1" x14ac:dyDescent="0.25">
      <c r="B2" s="168" t="s">
        <v>60</v>
      </c>
      <c r="C2" s="169"/>
      <c r="D2" s="170"/>
      <c r="E2" s="171"/>
      <c r="F2" s="171"/>
      <c r="G2" s="171"/>
      <c r="H2" s="171"/>
      <c r="I2" s="171"/>
      <c r="J2" s="171"/>
      <c r="K2" s="171"/>
      <c r="L2" s="171"/>
      <c r="M2" s="170"/>
      <c r="N2" s="170"/>
      <c r="O2" s="170"/>
      <c r="P2" s="170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spans="2:26" ht="30" customHeight="1" x14ac:dyDescent="0.25">
      <c r="C3" s="2" t="s">
        <v>308</v>
      </c>
      <c r="D3" s="0"/>
      <c r="E3" s="172"/>
      <c r="F3" s="172"/>
      <c r="G3" s="172"/>
      <c r="H3" s="172"/>
      <c r="I3" s="172"/>
      <c r="J3" s="172"/>
      <c r="K3" s="172"/>
      <c r="L3" s="172"/>
      <c r="M3" s="0"/>
      <c r="N3" s="0"/>
      <c r="O3" s="0"/>
      <c r="P3" s="0"/>
      <c r="Q3" s="172"/>
      <c r="R3" s="172"/>
      <c r="S3" s="172"/>
      <c r="T3" s="172"/>
      <c r="U3" s="0"/>
      <c r="V3" s="0"/>
      <c r="W3" s="0"/>
      <c r="X3" s="0"/>
      <c r="Y3" s="0"/>
      <c r="Z3" s="0"/>
    </row>
    <row r="4" spans="2:26" ht="24" customHeight="1" x14ac:dyDescent="0.25">
      <c r="C4" s="173" t="s">
        <v>327</v>
      </c>
      <c r="D4" s="173" t="s">
        <v>328</v>
      </c>
      <c r="E4" s="174" t="s">
        <v>329</v>
      </c>
      <c r="F4" s="174" t="s">
        <v>330</v>
      </c>
      <c r="G4" s="174" t="s">
        <v>331</v>
      </c>
      <c r="H4" s="174" t="s">
        <v>332</v>
      </c>
      <c r="I4" s="174" t="s">
        <v>333</v>
      </c>
      <c r="J4" s="174" t="s">
        <v>334</v>
      </c>
      <c r="K4" s="174" t="s">
        <v>335</v>
      </c>
      <c r="L4" s="174" t="s">
        <v>336</v>
      </c>
      <c r="M4" s="174" t="s">
        <v>337</v>
      </c>
      <c r="N4" s="173"/>
      <c r="O4" s="174" t="s">
        <v>338</v>
      </c>
      <c r="P4" s="174" t="s">
        <v>339</v>
      </c>
      <c r="Q4" s="174" t="s">
        <v>340</v>
      </c>
      <c r="R4" s="174" t="s">
        <v>341</v>
      </c>
      <c r="S4" s="174" t="s">
        <v>342</v>
      </c>
      <c r="T4" s="174" t="s">
        <v>343</v>
      </c>
      <c r="U4" s="174" t="s">
        <v>343</v>
      </c>
      <c r="V4" s="174" t="s">
        <v>343</v>
      </c>
      <c r="W4" s="174" t="s">
        <v>344</v>
      </c>
      <c r="X4" s="174" t="s">
        <v>345</v>
      </c>
      <c r="Y4" s="174" t="s">
        <v>345</v>
      </c>
      <c r="Z4" s="15"/>
    </row>
    <row r="5" spans="2:26" ht="50.1" customHeight="1" x14ac:dyDescent="0.25">
      <c r="C5" s="175" t="s">
        <v>309</v>
      </c>
      <c r="D5" s="175" t="s">
        <v>259</v>
      </c>
      <c r="E5" s="151" t="s">
        <v>177</v>
      </c>
      <c r="F5" s="151" t="s">
        <v>20</v>
      </c>
      <c r="G5" s="151" t="s">
        <v>310</v>
      </c>
      <c r="H5" s="151" t="s">
        <v>311</v>
      </c>
      <c r="I5" s="151" t="s">
        <v>18</v>
      </c>
      <c r="J5" s="151" t="s">
        <v>312</v>
      </c>
      <c r="K5" s="151" t="s">
        <v>28</v>
      </c>
      <c r="L5" s="151" t="s">
        <v>313</v>
      </c>
      <c r="M5" s="151" t="s">
        <v>24</v>
      </c>
      <c r="N5" s="151" t="s">
        <v>950</v>
      </c>
      <c r="O5" s="151" t="s">
        <v>315</v>
      </c>
      <c r="P5" s="151" t="s">
        <v>951</v>
      </c>
      <c r="Q5" s="151" t="s">
        <v>952</v>
      </c>
      <c r="R5" s="151" t="s">
        <v>953</v>
      </c>
      <c r="S5" s="151" t="s">
        <v>954</v>
      </c>
      <c r="T5" s="151" t="s">
        <v>955</v>
      </c>
      <c r="U5" s="151" t="s">
        <v>956</v>
      </c>
      <c r="V5" s="151" t="s">
        <v>957</v>
      </c>
      <c r="W5" s="151" t="s">
        <v>958</v>
      </c>
      <c r="X5" s="151" t="s">
        <v>959</v>
      </c>
      <c r="Y5" s="151" t="s">
        <v>960</v>
      </c>
      <c r="Z5" s="175" t="s">
        <v>326</v>
      </c>
    </row>
    <row r="6" spans="2:26" ht="20.100000000000001" customHeight="1" x14ac:dyDescent="0.25">
      <c r="C6" s="176" t="s">
        <v>346</v>
      </c>
      <c r="D6" s="176" t="s">
        <v>273</v>
      </c>
      <c r="E6" s="140" t="s">
        <v>45</v>
      </c>
      <c r="F6" s="140"/>
      <c r="G6" s="140" t="s">
        <v>248</v>
      </c>
      <c r="H6" s="140" t="s">
        <v>347</v>
      </c>
      <c r="I6" s="140" t="s">
        <v>348</v>
      </c>
      <c r="J6" s="140"/>
      <c r="K6" s="140" t="s">
        <v>349</v>
      </c>
      <c r="L6" s="140"/>
      <c r="M6" s="177">
        <v>10000</v>
      </c>
      <c r="N6" s="140" t="s">
        <v>123</v>
      </c>
      <c r="O6" s="177">
        <v>30</v>
      </c>
      <c r="P6" s="140" t="s">
        <v>123</v>
      </c>
      <c r="Q6" s="178"/>
      <c r="R6" s="178">
        <v>49945</v>
      </c>
      <c r="S6" s="178">
        <v>49945</v>
      </c>
      <c r="T6" s="178"/>
      <c r="U6" s="179"/>
      <c r="V6" s="179"/>
      <c r="W6" s="180"/>
      <c r="X6" s="181"/>
      <c r="Y6" s="181"/>
      <c r="Z6" s="182" t="s">
        <v>350</v>
      </c>
    </row>
    <row r="7" spans="2:26" ht="20.100000000000001" customHeight="1" x14ac:dyDescent="0.25">
      <c r="C7" s="176" t="s">
        <v>351</v>
      </c>
      <c r="D7" s="176" t="s">
        <v>273</v>
      </c>
      <c r="E7" s="140" t="s">
        <v>45</v>
      </c>
      <c r="F7" s="140"/>
      <c r="G7" s="140" t="s">
        <v>248</v>
      </c>
      <c r="H7" s="140" t="s">
        <v>347</v>
      </c>
      <c r="I7" s="140" t="s">
        <v>352</v>
      </c>
      <c r="J7" s="140"/>
      <c r="K7" s="140" t="s">
        <v>349</v>
      </c>
      <c r="L7" s="140"/>
      <c r="M7" s="177">
        <v>10000</v>
      </c>
      <c r="N7" s="140" t="s">
        <v>123</v>
      </c>
      <c r="O7" s="177">
        <v>-20</v>
      </c>
      <c r="P7" s="140" t="s">
        <v>123</v>
      </c>
      <c r="Q7" s="178"/>
      <c r="R7" s="178">
        <v>47755</v>
      </c>
      <c r="S7" s="178">
        <v>47755</v>
      </c>
      <c r="T7" s="178"/>
      <c r="U7" s="179"/>
      <c r="V7" s="179"/>
      <c r="W7" s="180"/>
      <c r="X7" s="181"/>
      <c r="Y7" s="181"/>
      <c r="Z7" s="182" t="s">
        <v>353</v>
      </c>
    </row>
    <row r="8" spans="2:26" ht="20.100000000000001" customHeight="1" x14ac:dyDescent="0.25">
      <c r="C8" s="176" t="s">
        <v>354</v>
      </c>
      <c r="D8" s="176" t="s">
        <v>273</v>
      </c>
      <c r="E8" s="140" t="s">
        <v>45</v>
      </c>
      <c r="F8" s="140"/>
      <c r="G8" s="140" t="s">
        <v>123</v>
      </c>
      <c r="H8" s="140" t="s">
        <v>355</v>
      </c>
      <c r="I8" s="140" t="s">
        <v>348</v>
      </c>
      <c r="J8" s="140" t="s">
        <v>356</v>
      </c>
      <c r="K8" s="140" t="s">
        <v>349</v>
      </c>
      <c r="L8" s="140"/>
      <c r="M8" s="177">
        <v>5000</v>
      </c>
      <c r="N8" s="140" t="s">
        <v>123</v>
      </c>
      <c r="O8" s="177">
        <v>50</v>
      </c>
      <c r="P8" s="140" t="s">
        <v>123</v>
      </c>
      <c r="Q8" s="178">
        <v>46660</v>
      </c>
      <c r="R8" s="178">
        <v>50310</v>
      </c>
      <c r="S8" s="178">
        <v>50310</v>
      </c>
      <c r="T8" s="178">
        <v>46660</v>
      </c>
      <c r="U8" s="179">
        <v>0.06</v>
      </c>
      <c r="V8" s="179">
        <v>0.05</v>
      </c>
      <c r="W8" s="180"/>
      <c r="X8" s="181"/>
      <c r="Y8" s="181"/>
      <c r="Z8" s="182" t="s">
        <v>357</v>
      </c>
    </row>
    <row r="9" spans="2:26" ht="20.100000000000001" customHeight="1" x14ac:dyDescent="0.25">
      <c r="C9" s="176" t="s">
        <v>358</v>
      </c>
      <c r="D9" s="176" t="s">
        <v>277</v>
      </c>
      <c r="E9" s="140" t="s">
        <v>188</v>
      </c>
      <c r="F9" s="140" t="s">
        <v>192</v>
      </c>
      <c r="G9" s="140" t="s">
        <v>359</v>
      </c>
      <c r="H9" s="140" t="s">
        <v>347</v>
      </c>
      <c r="I9" s="140" t="s">
        <v>348</v>
      </c>
      <c r="J9" s="140"/>
      <c r="K9" s="140" t="s">
        <v>349</v>
      </c>
      <c r="L9" s="140"/>
      <c r="M9" s="177">
        <v>10000</v>
      </c>
      <c r="N9" s="140" t="s">
        <v>123</v>
      </c>
      <c r="O9" s="177">
        <v>20</v>
      </c>
      <c r="P9" s="140" t="s">
        <v>123</v>
      </c>
      <c r="Q9" s="178"/>
      <c r="R9" s="178">
        <v>47390</v>
      </c>
      <c r="S9" s="178">
        <v>47390</v>
      </c>
      <c r="T9" s="178"/>
      <c r="U9" s="179"/>
      <c r="V9" s="179"/>
      <c r="W9" s="180"/>
      <c r="X9" s="181"/>
      <c r="Y9" s="181"/>
      <c r="Z9" s="182" t="s">
        <v>360</v>
      </c>
    </row>
    <row r="10" spans="2:26" ht="20.100000000000001" customHeight="1" x14ac:dyDescent="0.25">
      <c r="C10" s="176" t="s">
        <v>361</v>
      </c>
      <c r="D10" s="176" t="s">
        <v>277</v>
      </c>
      <c r="E10" s="140" t="s">
        <v>188</v>
      </c>
      <c r="F10" s="140" t="s">
        <v>196</v>
      </c>
      <c r="G10" s="140" t="s">
        <v>362</v>
      </c>
      <c r="H10" s="140" t="s">
        <v>347</v>
      </c>
      <c r="I10" s="140" t="s">
        <v>352</v>
      </c>
      <c r="J10" s="140"/>
      <c r="K10" s="140" t="s">
        <v>349</v>
      </c>
      <c r="L10" s="140"/>
      <c r="M10" s="177">
        <v>10000</v>
      </c>
      <c r="N10" s="140" t="s">
        <v>123</v>
      </c>
      <c r="O10" s="177">
        <v>-40</v>
      </c>
      <c r="P10" s="140" t="s">
        <v>123</v>
      </c>
      <c r="Q10" s="178"/>
      <c r="R10" s="178">
        <v>48485</v>
      </c>
      <c r="S10" s="178">
        <v>48485</v>
      </c>
      <c r="T10" s="178"/>
      <c r="U10" s="179"/>
      <c r="V10" s="179"/>
      <c r="W10" s="180"/>
      <c r="X10" s="181"/>
      <c r="Y10" s="181"/>
      <c r="Z10" s="182" t="s">
        <v>363</v>
      </c>
    </row>
    <row r="11" spans="2:26" ht="20.100000000000001" customHeight="1" x14ac:dyDescent="0.25">
      <c r="C11" s="176" t="s">
        <v>364</v>
      </c>
      <c r="D11" s="176" t="s">
        <v>277</v>
      </c>
      <c r="E11" s="140" t="s">
        <v>188</v>
      </c>
      <c r="F11" s="140" t="s">
        <v>217</v>
      </c>
      <c r="G11" s="140" t="s">
        <v>365</v>
      </c>
      <c r="H11" s="140" t="s">
        <v>347</v>
      </c>
      <c r="I11" s="140" t="s">
        <v>348</v>
      </c>
      <c r="J11" s="140"/>
      <c r="K11" s="140" t="s">
        <v>349</v>
      </c>
      <c r="L11" s="140"/>
      <c r="M11" s="177">
        <v>10000</v>
      </c>
      <c r="N11" s="140" t="s">
        <v>123</v>
      </c>
      <c r="O11" s="177">
        <v>0</v>
      </c>
      <c r="P11" s="140" t="s">
        <v>123</v>
      </c>
      <c r="Q11" s="178"/>
      <c r="R11" s="178">
        <v>48120</v>
      </c>
      <c r="S11" s="178">
        <v>48120</v>
      </c>
      <c r="T11" s="178"/>
      <c r="U11" s="179"/>
      <c r="V11" s="179"/>
      <c r="W11" s="180"/>
      <c r="X11" s="181"/>
      <c r="Y11" s="181"/>
      <c r="Z11" s="182" t="s">
        <v>366</v>
      </c>
    </row>
    <row r="12" spans="2:26" ht="20.100000000000001" customHeight="1" x14ac:dyDescent="0.25">
      <c r="C12" s="176" t="s">
        <v>367</v>
      </c>
      <c r="D12" s="176" t="s">
        <v>279</v>
      </c>
      <c r="E12" s="140" t="s">
        <v>51</v>
      </c>
      <c r="F12" s="140" t="s">
        <v>231</v>
      </c>
      <c r="G12" s="140" t="s">
        <v>368</v>
      </c>
      <c r="H12" s="140" t="s">
        <v>347</v>
      </c>
      <c r="I12" s="140" t="s">
        <v>348</v>
      </c>
      <c r="J12" s="140"/>
      <c r="K12" s="140" t="s">
        <v>349</v>
      </c>
      <c r="L12" s="140"/>
      <c r="M12" s="177">
        <v>10000</v>
      </c>
      <c r="N12" s="140" t="s">
        <v>123</v>
      </c>
      <c r="O12" s="177">
        <v>-50</v>
      </c>
      <c r="P12" s="140" t="s">
        <v>123</v>
      </c>
      <c r="Q12" s="178"/>
      <c r="R12" s="178"/>
      <c r="S12" s="178">
        <v>46569</v>
      </c>
      <c r="T12" s="178"/>
      <c r="U12" s="179"/>
      <c r="V12" s="179"/>
      <c r="W12" s="180"/>
      <c r="X12" s="181"/>
      <c r="Y12" s="181"/>
      <c r="Z12" s="182" t="s">
        <v>369</v>
      </c>
    </row>
    <row r="13" spans="2:26" ht="20.100000000000001" customHeight="1" x14ac:dyDescent="0.25">
      <c r="C13" s="176" t="s">
        <v>370</v>
      </c>
      <c r="D13" s="176" t="s">
        <v>279</v>
      </c>
      <c r="E13" s="140" t="s">
        <v>51</v>
      </c>
      <c r="F13" s="140" t="s">
        <v>231</v>
      </c>
      <c r="G13" s="140" t="s">
        <v>368</v>
      </c>
      <c r="H13" s="140" t="s">
        <v>347</v>
      </c>
      <c r="I13" s="140" t="s">
        <v>352</v>
      </c>
      <c r="J13" s="140"/>
      <c r="K13" s="140" t="s">
        <v>349</v>
      </c>
      <c r="L13" s="140"/>
      <c r="M13" s="177">
        <v>20000</v>
      </c>
      <c r="N13" s="140" t="s">
        <v>123</v>
      </c>
      <c r="O13" s="177">
        <v>-30</v>
      </c>
      <c r="P13" s="140" t="s">
        <v>123</v>
      </c>
      <c r="Q13" s="178"/>
      <c r="R13" s="178"/>
      <c r="S13" s="178">
        <v>47025</v>
      </c>
      <c r="T13" s="178"/>
      <c r="U13" s="179"/>
      <c r="V13" s="179"/>
      <c r="W13" s="180"/>
      <c r="X13" s="181"/>
      <c r="Y13" s="181"/>
      <c r="Z13" s="182" t="s">
        <v>371</v>
      </c>
    </row>
    <row r="14" spans="2:26" ht="20.100000000000001" customHeight="1" x14ac:dyDescent="0.25">
      <c r="C14" s="176" t="s">
        <v>372</v>
      </c>
      <c r="D14" s="176" t="s">
        <v>279</v>
      </c>
      <c r="E14" s="140" t="s">
        <v>51</v>
      </c>
      <c r="F14" s="140" t="s">
        <v>233</v>
      </c>
      <c r="G14" s="140" t="s">
        <v>373</v>
      </c>
      <c r="H14" s="140" t="s">
        <v>347</v>
      </c>
      <c r="I14" s="140" t="s">
        <v>348</v>
      </c>
      <c r="J14" s="140"/>
      <c r="K14" s="140" t="s">
        <v>349</v>
      </c>
      <c r="L14" s="140"/>
      <c r="M14" s="177">
        <v>10000</v>
      </c>
      <c r="N14" s="140" t="s">
        <v>123</v>
      </c>
      <c r="O14" s="177">
        <v>100</v>
      </c>
      <c r="P14" s="140" t="s">
        <v>123</v>
      </c>
      <c r="Q14" s="178"/>
      <c r="R14" s="178"/>
      <c r="S14" s="178">
        <v>48120</v>
      </c>
      <c r="T14" s="178"/>
      <c r="U14" s="179"/>
      <c r="V14" s="179"/>
      <c r="W14" s="180"/>
      <c r="X14" s="181"/>
      <c r="Y14" s="181"/>
      <c r="Z14" s="182" t="s">
        <v>374</v>
      </c>
    </row>
    <row r="15" spans="2:26" ht="20.100000000000001" customHeight="1" x14ac:dyDescent="0.25">
      <c r="C15" s="176" t="s">
        <v>375</v>
      </c>
      <c r="D15" s="176" t="s">
        <v>281</v>
      </c>
      <c r="E15" s="140" t="s">
        <v>45</v>
      </c>
      <c r="F15" s="140"/>
      <c r="G15" s="140" t="s">
        <v>248</v>
      </c>
      <c r="H15" s="140" t="s">
        <v>347</v>
      </c>
      <c r="I15" s="140" t="s">
        <v>348</v>
      </c>
      <c r="J15" s="140"/>
      <c r="K15" s="140" t="s">
        <v>349</v>
      </c>
      <c r="L15" s="140"/>
      <c r="M15" s="177">
        <v>10000</v>
      </c>
      <c r="N15" s="140" t="s">
        <v>123</v>
      </c>
      <c r="O15" s="177">
        <v>30</v>
      </c>
      <c r="P15" s="140" t="s">
        <v>123</v>
      </c>
      <c r="Q15" s="178"/>
      <c r="R15" s="178">
        <v>49945</v>
      </c>
      <c r="S15" s="178">
        <v>49945</v>
      </c>
      <c r="T15" s="178"/>
      <c r="U15" s="179"/>
      <c r="V15" s="179"/>
      <c r="W15" s="180"/>
      <c r="X15" s="181"/>
      <c r="Y15" s="181"/>
      <c r="Z15" s="182" t="s">
        <v>350</v>
      </c>
    </row>
    <row r="16" spans="2:26" ht="20.100000000000001" customHeight="1" x14ac:dyDescent="0.25">
      <c r="C16" s="176" t="s">
        <v>376</v>
      </c>
      <c r="D16" s="176" t="s">
        <v>281</v>
      </c>
      <c r="E16" s="140" t="s">
        <v>45</v>
      </c>
      <c r="F16" s="140"/>
      <c r="G16" s="140" t="s">
        <v>248</v>
      </c>
      <c r="H16" s="140" t="s">
        <v>347</v>
      </c>
      <c r="I16" s="140" t="s">
        <v>352</v>
      </c>
      <c r="J16" s="140"/>
      <c r="K16" s="140" t="s">
        <v>349</v>
      </c>
      <c r="L16" s="140"/>
      <c r="M16" s="177">
        <v>10000</v>
      </c>
      <c r="N16" s="140" t="s">
        <v>123</v>
      </c>
      <c r="O16" s="177">
        <v>-20</v>
      </c>
      <c r="P16" s="140" t="s">
        <v>123</v>
      </c>
      <c r="Q16" s="178"/>
      <c r="R16" s="178">
        <v>47755</v>
      </c>
      <c r="S16" s="178">
        <v>47755</v>
      </c>
      <c r="T16" s="178"/>
      <c r="U16" s="179"/>
      <c r="V16" s="179"/>
      <c r="W16" s="180"/>
      <c r="X16" s="181"/>
      <c r="Y16" s="181"/>
      <c r="Z16" s="182" t="s">
        <v>353</v>
      </c>
    </row>
    <row r="17" spans="3:26" ht="20.100000000000001" customHeight="1" x14ac:dyDescent="0.25">
      <c r="C17" s="176" t="s">
        <v>377</v>
      </c>
      <c r="D17" s="176" t="s">
        <v>281</v>
      </c>
      <c r="E17" s="140" t="s">
        <v>45</v>
      </c>
      <c r="F17" s="140"/>
      <c r="G17" s="140" t="s">
        <v>123</v>
      </c>
      <c r="H17" s="140" t="s">
        <v>355</v>
      </c>
      <c r="I17" s="140" t="s">
        <v>348</v>
      </c>
      <c r="J17" s="140" t="s">
        <v>356</v>
      </c>
      <c r="K17" s="140" t="s">
        <v>349</v>
      </c>
      <c r="L17" s="140"/>
      <c r="M17" s="177">
        <v>5000</v>
      </c>
      <c r="N17" s="140" t="s">
        <v>123</v>
      </c>
      <c r="O17" s="177">
        <v>50</v>
      </c>
      <c r="P17" s="140" t="s">
        <v>123</v>
      </c>
      <c r="Q17" s="178">
        <v>46660</v>
      </c>
      <c r="R17" s="178">
        <v>50310</v>
      </c>
      <c r="S17" s="178">
        <v>50310</v>
      </c>
      <c r="T17" s="178">
        <v>46660</v>
      </c>
      <c r="U17" s="179">
        <v>0.06</v>
      </c>
      <c r="V17" s="179">
        <v>0.05</v>
      </c>
      <c r="W17" s="180"/>
      <c r="X17" s="181"/>
      <c r="Y17" s="181"/>
      <c r="Z17" s="182" t="s">
        <v>357</v>
      </c>
    </row>
    <row r="18" spans="3:26" ht="20.100000000000001" customHeight="1" x14ac:dyDescent="0.25">
      <c r="C18" s="176" t="s">
        <v>378</v>
      </c>
      <c r="D18" s="176" t="s">
        <v>281</v>
      </c>
      <c r="E18" s="140" t="s">
        <v>188</v>
      </c>
      <c r="F18" s="140" t="s">
        <v>192</v>
      </c>
      <c r="G18" s="140" t="s">
        <v>359</v>
      </c>
      <c r="H18" s="140" t="s">
        <v>347</v>
      </c>
      <c r="I18" s="140" t="s">
        <v>348</v>
      </c>
      <c r="J18" s="140"/>
      <c r="K18" s="140" t="s">
        <v>349</v>
      </c>
      <c r="L18" s="140"/>
      <c r="M18" s="177">
        <v>10000</v>
      </c>
      <c r="N18" s="140" t="s">
        <v>123</v>
      </c>
      <c r="O18" s="177">
        <v>20</v>
      </c>
      <c r="P18" s="140" t="s">
        <v>123</v>
      </c>
      <c r="Q18" s="178"/>
      <c r="R18" s="178">
        <v>47390</v>
      </c>
      <c r="S18" s="178">
        <v>47390</v>
      </c>
      <c r="T18" s="178"/>
      <c r="U18" s="179"/>
      <c r="V18" s="179"/>
      <c r="W18" s="180"/>
      <c r="X18" s="181"/>
      <c r="Y18" s="181"/>
      <c r="Z18" s="182" t="s">
        <v>360</v>
      </c>
    </row>
    <row r="19" spans="3:26" ht="20.100000000000001" customHeight="1" x14ac:dyDescent="0.25">
      <c r="C19" s="176" t="s">
        <v>379</v>
      </c>
      <c r="D19" s="176" t="s">
        <v>281</v>
      </c>
      <c r="E19" s="140" t="s">
        <v>188</v>
      </c>
      <c r="F19" s="140" t="s">
        <v>196</v>
      </c>
      <c r="G19" s="140" t="s">
        <v>362</v>
      </c>
      <c r="H19" s="140" t="s">
        <v>347</v>
      </c>
      <c r="I19" s="140" t="s">
        <v>352</v>
      </c>
      <c r="J19" s="140"/>
      <c r="K19" s="140" t="s">
        <v>349</v>
      </c>
      <c r="L19" s="140"/>
      <c r="M19" s="177">
        <v>10000</v>
      </c>
      <c r="N19" s="140" t="s">
        <v>123</v>
      </c>
      <c r="O19" s="177">
        <v>-40</v>
      </c>
      <c r="P19" s="140" t="s">
        <v>123</v>
      </c>
      <c r="Q19" s="178"/>
      <c r="R19" s="178">
        <v>48485</v>
      </c>
      <c r="S19" s="178">
        <v>48485</v>
      </c>
      <c r="T19" s="178"/>
      <c r="U19" s="179"/>
      <c r="V19" s="179"/>
      <c r="W19" s="180"/>
      <c r="X19" s="181"/>
      <c r="Y19" s="181"/>
      <c r="Z19" s="182" t="s">
        <v>363</v>
      </c>
    </row>
    <row r="20" spans="3:26" ht="20.100000000000001" customHeight="1" x14ac:dyDescent="0.25">
      <c r="C20" s="176" t="s">
        <v>380</v>
      </c>
      <c r="D20" s="176" t="s">
        <v>281</v>
      </c>
      <c r="E20" s="140" t="s">
        <v>188</v>
      </c>
      <c r="F20" s="140" t="s">
        <v>217</v>
      </c>
      <c r="G20" s="140" t="s">
        <v>365</v>
      </c>
      <c r="H20" s="140" t="s">
        <v>347</v>
      </c>
      <c r="I20" s="140" t="s">
        <v>348</v>
      </c>
      <c r="J20" s="140"/>
      <c r="K20" s="140" t="s">
        <v>349</v>
      </c>
      <c r="L20" s="140"/>
      <c r="M20" s="177">
        <v>10000</v>
      </c>
      <c r="N20" s="140" t="s">
        <v>123</v>
      </c>
      <c r="O20" s="177">
        <v>0</v>
      </c>
      <c r="P20" s="140" t="s">
        <v>123</v>
      </c>
      <c r="Q20" s="178"/>
      <c r="R20" s="178">
        <v>48120</v>
      </c>
      <c r="S20" s="178">
        <v>48120</v>
      </c>
      <c r="T20" s="178"/>
      <c r="U20" s="179"/>
      <c r="V20" s="179"/>
      <c r="W20" s="180"/>
      <c r="X20" s="181"/>
      <c r="Y20" s="181"/>
      <c r="Z20" s="182" t="s">
        <v>366</v>
      </c>
    </row>
    <row r="21" spans="3:26" ht="20.100000000000001" customHeight="1" x14ac:dyDescent="0.25">
      <c r="C21" s="176" t="s">
        <v>381</v>
      </c>
      <c r="D21" s="176" t="s">
        <v>283</v>
      </c>
      <c r="E21" s="140" t="s">
        <v>45</v>
      </c>
      <c r="F21" s="140"/>
      <c r="G21" s="140" t="s">
        <v>248</v>
      </c>
      <c r="H21" s="140" t="s">
        <v>347</v>
      </c>
      <c r="I21" s="140" t="s">
        <v>348</v>
      </c>
      <c r="J21" s="140"/>
      <c r="K21" s="140" t="s">
        <v>349</v>
      </c>
      <c r="L21" s="140"/>
      <c r="M21" s="177">
        <v>10000</v>
      </c>
      <c r="N21" s="140" t="s">
        <v>123</v>
      </c>
      <c r="O21" s="177">
        <v>30</v>
      </c>
      <c r="P21" s="140" t="s">
        <v>123</v>
      </c>
      <c r="Q21" s="178"/>
      <c r="R21" s="178">
        <v>49945</v>
      </c>
      <c r="S21" s="178">
        <v>49945</v>
      </c>
      <c r="T21" s="178"/>
      <c r="U21" s="179"/>
      <c r="V21" s="179"/>
      <c r="W21" s="180"/>
      <c r="X21" s="181"/>
      <c r="Y21" s="181"/>
      <c r="Z21" s="182" t="s">
        <v>350</v>
      </c>
    </row>
    <row r="22" spans="3:26" ht="20.100000000000001" customHeight="1" x14ac:dyDescent="0.25">
      <c r="C22" s="176" t="s">
        <v>382</v>
      </c>
      <c r="D22" s="176" t="s">
        <v>283</v>
      </c>
      <c r="E22" s="140" t="s">
        <v>45</v>
      </c>
      <c r="F22" s="140"/>
      <c r="G22" s="140" t="s">
        <v>248</v>
      </c>
      <c r="H22" s="140" t="s">
        <v>347</v>
      </c>
      <c r="I22" s="140" t="s">
        <v>352</v>
      </c>
      <c r="J22" s="140"/>
      <c r="K22" s="140" t="s">
        <v>349</v>
      </c>
      <c r="L22" s="140"/>
      <c r="M22" s="177">
        <v>10000</v>
      </c>
      <c r="N22" s="140" t="s">
        <v>123</v>
      </c>
      <c r="O22" s="177">
        <v>-20</v>
      </c>
      <c r="P22" s="140" t="s">
        <v>123</v>
      </c>
      <c r="Q22" s="178"/>
      <c r="R22" s="178">
        <v>47755</v>
      </c>
      <c r="S22" s="178">
        <v>47755</v>
      </c>
      <c r="T22" s="178"/>
      <c r="U22" s="179"/>
      <c r="V22" s="179"/>
      <c r="W22" s="180"/>
      <c r="X22" s="181"/>
      <c r="Y22" s="181"/>
      <c r="Z22" s="182" t="s">
        <v>353</v>
      </c>
    </row>
    <row r="23" spans="3:26" ht="20.100000000000001" customHeight="1" x14ac:dyDescent="0.25">
      <c r="C23" s="176" t="s">
        <v>383</v>
      </c>
      <c r="D23" s="176" t="s">
        <v>283</v>
      </c>
      <c r="E23" s="140" t="s">
        <v>45</v>
      </c>
      <c r="F23" s="140"/>
      <c r="G23" s="140" t="s">
        <v>123</v>
      </c>
      <c r="H23" s="140" t="s">
        <v>355</v>
      </c>
      <c r="I23" s="140" t="s">
        <v>348</v>
      </c>
      <c r="J23" s="140" t="s">
        <v>356</v>
      </c>
      <c r="K23" s="140" t="s">
        <v>349</v>
      </c>
      <c r="L23" s="140"/>
      <c r="M23" s="177">
        <v>5000</v>
      </c>
      <c r="N23" s="140" t="s">
        <v>123</v>
      </c>
      <c r="O23" s="177">
        <v>50</v>
      </c>
      <c r="P23" s="140" t="s">
        <v>123</v>
      </c>
      <c r="Q23" s="178">
        <v>46660</v>
      </c>
      <c r="R23" s="178">
        <v>50310</v>
      </c>
      <c r="S23" s="178">
        <v>50310</v>
      </c>
      <c r="T23" s="178">
        <v>46660</v>
      </c>
      <c r="U23" s="179">
        <v>0.06</v>
      </c>
      <c r="V23" s="179">
        <v>0.05</v>
      </c>
      <c r="W23" s="180"/>
      <c r="X23" s="181"/>
      <c r="Y23" s="181"/>
      <c r="Z23" s="182" t="s">
        <v>357</v>
      </c>
    </row>
    <row r="24" spans="3:26" ht="20.100000000000001" customHeight="1" x14ac:dyDescent="0.25">
      <c r="C24" s="176" t="s">
        <v>384</v>
      </c>
      <c r="D24" s="176" t="s">
        <v>283</v>
      </c>
      <c r="E24" s="140" t="s">
        <v>51</v>
      </c>
      <c r="F24" s="140" t="s">
        <v>231</v>
      </c>
      <c r="G24" s="140" t="s">
        <v>368</v>
      </c>
      <c r="H24" s="140" t="s">
        <v>347</v>
      </c>
      <c r="I24" s="140" t="s">
        <v>348</v>
      </c>
      <c r="J24" s="140"/>
      <c r="K24" s="140" t="s">
        <v>349</v>
      </c>
      <c r="L24" s="140"/>
      <c r="M24" s="177">
        <v>10000</v>
      </c>
      <c r="N24" s="140" t="s">
        <v>123</v>
      </c>
      <c r="O24" s="177">
        <v>-50</v>
      </c>
      <c r="P24" s="140" t="s">
        <v>123</v>
      </c>
      <c r="Q24" s="178"/>
      <c r="R24" s="178"/>
      <c r="S24" s="178">
        <v>46569</v>
      </c>
      <c r="T24" s="178"/>
      <c r="U24" s="179"/>
      <c r="V24" s="179"/>
      <c r="W24" s="180"/>
      <c r="X24" s="181"/>
      <c r="Y24" s="181"/>
      <c r="Z24" s="182" t="s">
        <v>369</v>
      </c>
    </row>
    <row r="25" spans="3:26" ht="20.100000000000001" customHeight="1" x14ac:dyDescent="0.25">
      <c r="C25" s="176" t="s">
        <v>385</v>
      </c>
      <c r="D25" s="176" t="s">
        <v>283</v>
      </c>
      <c r="E25" s="140" t="s">
        <v>51</v>
      </c>
      <c r="F25" s="140" t="s">
        <v>231</v>
      </c>
      <c r="G25" s="140" t="s">
        <v>368</v>
      </c>
      <c r="H25" s="140" t="s">
        <v>347</v>
      </c>
      <c r="I25" s="140" t="s">
        <v>352</v>
      </c>
      <c r="J25" s="140"/>
      <c r="K25" s="140" t="s">
        <v>349</v>
      </c>
      <c r="L25" s="140"/>
      <c r="M25" s="177">
        <v>20000</v>
      </c>
      <c r="N25" s="140" t="s">
        <v>123</v>
      </c>
      <c r="O25" s="177">
        <v>-30</v>
      </c>
      <c r="P25" s="140" t="s">
        <v>123</v>
      </c>
      <c r="Q25" s="178"/>
      <c r="R25" s="178"/>
      <c r="S25" s="178">
        <v>47025</v>
      </c>
      <c r="T25" s="178"/>
      <c r="U25" s="179"/>
      <c r="V25" s="179"/>
      <c r="W25" s="180"/>
      <c r="X25" s="181"/>
      <c r="Y25" s="181"/>
      <c r="Z25" s="182" t="s">
        <v>371</v>
      </c>
    </row>
    <row r="26" spans="3:26" ht="20.100000000000001" customHeight="1" x14ac:dyDescent="0.25">
      <c r="C26" s="176" t="s">
        <v>386</v>
      </c>
      <c r="D26" s="176" t="s">
        <v>283</v>
      </c>
      <c r="E26" s="140" t="s">
        <v>51</v>
      </c>
      <c r="F26" s="140" t="s">
        <v>233</v>
      </c>
      <c r="G26" s="140" t="s">
        <v>373</v>
      </c>
      <c r="H26" s="140" t="s">
        <v>347</v>
      </c>
      <c r="I26" s="140" t="s">
        <v>348</v>
      </c>
      <c r="J26" s="140"/>
      <c r="K26" s="140" t="s">
        <v>349</v>
      </c>
      <c r="L26" s="140"/>
      <c r="M26" s="177">
        <v>10000</v>
      </c>
      <c r="N26" s="140" t="s">
        <v>123</v>
      </c>
      <c r="O26" s="177">
        <v>100</v>
      </c>
      <c r="P26" s="140" t="s">
        <v>123</v>
      </c>
      <c r="Q26" s="178"/>
      <c r="R26" s="178"/>
      <c r="S26" s="178">
        <v>48120</v>
      </c>
      <c r="T26" s="178"/>
      <c r="U26" s="179"/>
      <c r="V26" s="179"/>
      <c r="W26" s="180"/>
      <c r="X26" s="181"/>
      <c r="Y26" s="181"/>
      <c r="Z26" s="182" t="s">
        <v>374</v>
      </c>
    </row>
    <row r="27" spans="3:26" ht="20.100000000000001" customHeight="1" x14ac:dyDescent="0.25">
      <c r="C27" s="176" t="s">
        <v>387</v>
      </c>
      <c r="D27" s="176" t="s">
        <v>286</v>
      </c>
      <c r="E27" s="140" t="s">
        <v>45</v>
      </c>
      <c r="F27" s="140"/>
      <c r="G27" s="140" t="s">
        <v>248</v>
      </c>
      <c r="H27" s="140" t="s">
        <v>347</v>
      </c>
      <c r="I27" s="140" t="s">
        <v>348</v>
      </c>
      <c r="J27" s="140"/>
      <c r="K27" s="140" t="s">
        <v>349</v>
      </c>
      <c r="L27" s="140"/>
      <c r="M27" s="177">
        <v>10000</v>
      </c>
      <c r="N27" s="140" t="s">
        <v>123</v>
      </c>
      <c r="O27" s="177">
        <v>30</v>
      </c>
      <c r="P27" s="140" t="s">
        <v>123</v>
      </c>
      <c r="Q27" s="178"/>
      <c r="R27" s="178">
        <v>49945</v>
      </c>
      <c r="S27" s="178">
        <v>49945</v>
      </c>
      <c r="T27" s="178"/>
      <c r="U27" s="179"/>
      <c r="V27" s="179"/>
      <c r="W27" s="180"/>
      <c r="X27" s="181"/>
      <c r="Y27" s="181"/>
      <c r="Z27" s="182" t="s">
        <v>350</v>
      </c>
    </row>
    <row r="28" spans="3:26" ht="20.100000000000001" customHeight="1" x14ac:dyDescent="0.25">
      <c r="C28" s="176" t="s">
        <v>388</v>
      </c>
      <c r="D28" s="176" t="s">
        <v>286</v>
      </c>
      <c r="E28" s="140" t="s">
        <v>45</v>
      </c>
      <c r="F28" s="140"/>
      <c r="G28" s="140" t="s">
        <v>248</v>
      </c>
      <c r="H28" s="140" t="s">
        <v>347</v>
      </c>
      <c r="I28" s="140" t="s">
        <v>352</v>
      </c>
      <c r="J28" s="140"/>
      <c r="K28" s="140" t="s">
        <v>349</v>
      </c>
      <c r="L28" s="140"/>
      <c r="M28" s="177">
        <v>10000</v>
      </c>
      <c r="N28" s="140" t="s">
        <v>123</v>
      </c>
      <c r="O28" s="177">
        <v>-20</v>
      </c>
      <c r="P28" s="140" t="s">
        <v>123</v>
      </c>
      <c r="Q28" s="178"/>
      <c r="R28" s="178">
        <v>47755</v>
      </c>
      <c r="S28" s="178">
        <v>47755</v>
      </c>
      <c r="T28" s="178"/>
      <c r="U28" s="179"/>
      <c r="V28" s="179"/>
      <c r="W28" s="180"/>
      <c r="X28" s="181"/>
      <c r="Y28" s="181"/>
      <c r="Z28" s="182" t="s">
        <v>353</v>
      </c>
    </row>
    <row r="29" spans="3:26" ht="20.100000000000001" customHeight="1" x14ac:dyDescent="0.25">
      <c r="C29" s="176" t="s">
        <v>389</v>
      </c>
      <c r="D29" s="176" t="s">
        <v>286</v>
      </c>
      <c r="E29" s="140" t="s">
        <v>45</v>
      </c>
      <c r="F29" s="140"/>
      <c r="G29" s="140" t="s">
        <v>123</v>
      </c>
      <c r="H29" s="140" t="s">
        <v>355</v>
      </c>
      <c r="I29" s="140" t="s">
        <v>348</v>
      </c>
      <c r="J29" s="140" t="s">
        <v>356</v>
      </c>
      <c r="K29" s="140" t="s">
        <v>349</v>
      </c>
      <c r="L29" s="140"/>
      <c r="M29" s="177">
        <v>5000</v>
      </c>
      <c r="N29" s="140" t="s">
        <v>123</v>
      </c>
      <c r="O29" s="177">
        <v>50</v>
      </c>
      <c r="P29" s="140" t="s">
        <v>123</v>
      </c>
      <c r="Q29" s="178">
        <v>46660</v>
      </c>
      <c r="R29" s="178">
        <v>50310</v>
      </c>
      <c r="S29" s="178">
        <v>50310</v>
      </c>
      <c r="T29" s="178">
        <v>46660</v>
      </c>
      <c r="U29" s="179">
        <v>0.06</v>
      </c>
      <c r="V29" s="179">
        <v>0.05</v>
      </c>
      <c r="W29" s="180"/>
      <c r="X29" s="181"/>
      <c r="Y29" s="181"/>
      <c r="Z29" s="182" t="s">
        <v>357</v>
      </c>
    </row>
    <row r="30" spans="3:26" ht="20.100000000000001" customHeight="1" x14ac:dyDescent="0.25">
      <c r="C30" s="176" t="s">
        <v>390</v>
      </c>
      <c r="D30" s="176" t="s">
        <v>286</v>
      </c>
      <c r="E30" s="140" t="s">
        <v>51</v>
      </c>
      <c r="F30" s="140" t="s">
        <v>231</v>
      </c>
      <c r="G30" s="140" t="s">
        <v>368</v>
      </c>
      <c r="H30" s="140" t="s">
        <v>347</v>
      </c>
      <c r="I30" s="140" t="s">
        <v>348</v>
      </c>
      <c r="J30" s="140"/>
      <c r="K30" s="140" t="s">
        <v>349</v>
      </c>
      <c r="L30" s="140"/>
      <c r="M30" s="177">
        <v>10000</v>
      </c>
      <c r="N30" s="140" t="s">
        <v>123</v>
      </c>
      <c r="O30" s="177">
        <v>-50</v>
      </c>
      <c r="P30" s="140" t="s">
        <v>123</v>
      </c>
      <c r="Q30" s="178"/>
      <c r="R30" s="178"/>
      <c r="S30" s="178">
        <v>46569</v>
      </c>
      <c r="T30" s="178"/>
      <c r="U30" s="179"/>
      <c r="V30" s="179"/>
      <c r="W30" s="180"/>
      <c r="X30" s="181"/>
      <c r="Y30" s="181"/>
      <c r="Z30" s="182" t="s">
        <v>369</v>
      </c>
    </row>
    <row r="31" spans="3:26" ht="20.100000000000001" customHeight="1" x14ac:dyDescent="0.25">
      <c r="C31" s="176" t="s">
        <v>391</v>
      </c>
      <c r="D31" s="176" t="s">
        <v>286</v>
      </c>
      <c r="E31" s="140" t="s">
        <v>51</v>
      </c>
      <c r="F31" s="140" t="s">
        <v>231</v>
      </c>
      <c r="G31" s="140" t="s">
        <v>368</v>
      </c>
      <c r="H31" s="140" t="s">
        <v>347</v>
      </c>
      <c r="I31" s="140" t="s">
        <v>352</v>
      </c>
      <c r="J31" s="140"/>
      <c r="K31" s="140" t="s">
        <v>349</v>
      </c>
      <c r="L31" s="140"/>
      <c r="M31" s="177">
        <v>20000</v>
      </c>
      <c r="N31" s="140" t="s">
        <v>123</v>
      </c>
      <c r="O31" s="177">
        <v>-30</v>
      </c>
      <c r="P31" s="140" t="s">
        <v>123</v>
      </c>
      <c r="Q31" s="178"/>
      <c r="R31" s="178"/>
      <c r="S31" s="178">
        <v>47025</v>
      </c>
      <c r="T31" s="178"/>
      <c r="U31" s="179"/>
      <c r="V31" s="179"/>
      <c r="W31" s="180"/>
      <c r="X31" s="181"/>
      <c r="Y31" s="181"/>
      <c r="Z31" s="182" t="s">
        <v>371</v>
      </c>
    </row>
    <row r="32" spans="3:26" ht="20.100000000000001" customHeight="1" x14ac:dyDescent="0.25">
      <c r="C32" s="176" t="s">
        <v>392</v>
      </c>
      <c r="D32" s="176" t="s">
        <v>286</v>
      </c>
      <c r="E32" s="140" t="s">
        <v>51</v>
      </c>
      <c r="F32" s="140" t="s">
        <v>233</v>
      </c>
      <c r="G32" s="140" t="s">
        <v>373</v>
      </c>
      <c r="H32" s="140" t="s">
        <v>347</v>
      </c>
      <c r="I32" s="140" t="s">
        <v>348</v>
      </c>
      <c r="J32" s="140"/>
      <c r="K32" s="140" t="s">
        <v>349</v>
      </c>
      <c r="L32" s="140"/>
      <c r="M32" s="177">
        <v>10000</v>
      </c>
      <c r="N32" s="140" t="s">
        <v>123</v>
      </c>
      <c r="O32" s="177">
        <v>100</v>
      </c>
      <c r="P32" s="140" t="s">
        <v>123</v>
      </c>
      <c r="Q32" s="178"/>
      <c r="R32" s="178"/>
      <c r="S32" s="178">
        <v>48120</v>
      </c>
      <c r="T32" s="178"/>
      <c r="U32" s="179"/>
      <c r="V32" s="179"/>
      <c r="W32" s="180"/>
      <c r="X32" s="181"/>
      <c r="Y32" s="181"/>
      <c r="Z32" s="182" t="s">
        <v>374</v>
      </c>
    </row>
    <row r="33" spans="3:26" ht="20.100000000000001" customHeight="1" x14ac:dyDescent="0.25">
      <c r="C33" s="176" t="s">
        <v>393</v>
      </c>
      <c r="D33" s="176" t="s">
        <v>292</v>
      </c>
      <c r="E33" s="140" t="s">
        <v>45</v>
      </c>
      <c r="F33" s="140"/>
      <c r="G33" s="140" t="s">
        <v>248</v>
      </c>
      <c r="H33" s="140" t="s">
        <v>347</v>
      </c>
      <c r="I33" s="140" t="s">
        <v>348</v>
      </c>
      <c r="J33" s="140"/>
      <c r="K33" s="140" t="s">
        <v>349</v>
      </c>
      <c r="L33" s="140"/>
      <c r="M33" s="177">
        <v>10000</v>
      </c>
      <c r="N33" s="140" t="s">
        <v>123</v>
      </c>
      <c r="O33" s="177">
        <v>30</v>
      </c>
      <c r="P33" s="140" t="s">
        <v>123</v>
      </c>
      <c r="Q33" s="178"/>
      <c r="R33" s="178">
        <v>49945</v>
      </c>
      <c r="S33" s="178">
        <v>49945</v>
      </c>
      <c r="T33" s="178"/>
      <c r="U33" s="179"/>
      <c r="V33" s="179"/>
      <c r="W33" s="180"/>
      <c r="X33" s="181"/>
      <c r="Y33" s="181"/>
      <c r="Z33" s="182" t="s">
        <v>350</v>
      </c>
    </row>
    <row r="34" spans="3:26" ht="20.100000000000001" customHeight="1" x14ac:dyDescent="0.25">
      <c r="C34" s="176" t="s">
        <v>394</v>
      </c>
      <c r="D34" s="176" t="s">
        <v>292</v>
      </c>
      <c r="E34" s="140" t="s">
        <v>45</v>
      </c>
      <c r="F34" s="140"/>
      <c r="G34" s="140" t="s">
        <v>248</v>
      </c>
      <c r="H34" s="140" t="s">
        <v>347</v>
      </c>
      <c r="I34" s="140" t="s">
        <v>352</v>
      </c>
      <c r="J34" s="140"/>
      <c r="K34" s="140" t="s">
        <v>349</v>
      </c>
      <c r="L34" s="140"/>
      <c r="M34" s="177">
        <v>10000</v>
      </c>
      <c r="N34" s="140" t="s">
        <v>123</v>
      </c>
      <c r="O34" s="177">
        <v>-20</v>
      </c>
      <c r="P34" s="140" t="s">
        <v>123</v>
      </c>
      <c r="Q34" s="178"/>
      <c r="R34" s="178">
        <v>47755</v>
      </c>
      <c r="S34" s="178">
        <v>47755</v>
      </c>
      <c r="T34" s="178"/>
      <c r="U34" s="179"/>
      <c r="V34" s="179"/>
      <c r="W34" s="180"/>
      <c r="X34" s="181"/>
      <c r="Y34" s="181"/>
      <c r="Z34" s="182" t="s">
        <v>353</v>
      </c>
    </row>
    <row r="35" spans="3:26" ht="20.100000000000001" customHeight="1" x14ac:dyDescent="0.25">
      <c r="C35" s="176" t="s">
        <v>395</v>
      </c>
      <c r="D35" s="176" t="s">
        <v>292</v>
      </c>
      <c r="E35" s="140" t="s">
        <v>45</v>
      </c>
      <c r="F35" s="140"/>
      <c r="G35" s="140" t="s">
        <v>123</v>
      </c>
      <c r="H35" s="140" t="s">
        <v>355</v>
      </c>
      <c r="I35" s="140" t="s">
        <v>348</v>
      </c>
      <c r="J35" s="140" t="s">
        <v>356</v>
      </c>
      <c r="K35" s="140" t="s">
        <v>349</v>
      </c>
      <c r="L35" s="140"/>
      <c r="M35" s="177">
        <v>5000</v>
      </c>
      <c r="N35" s="140" t="s">
        <v>123</v>
      </c>
      <c r="O35" s="177">
        <v>50</v>
      </c>
      <c r="P35" s="140" t="s">
        <v>123</v>
      </c>
      <c r="Q35" s="178">
        <v>46660</v>
      </c>
      <c r="R35" s="178">
        <v>50310</v>
      </c>
      <c r="S35" s="178">
        <v>50310</v>
      </c>
      <c r="T35" s="178">
        <v>46660</v>
      </c>
      <c r="U35" s="179">
        <v>0.01</v>
      </c>
      <c r="V35" s="179">
        <v>0.05</v>
      </c>
      <c r="W35" s="180"/>
      <c r="X35" s="181"/>
      <c r="Y35" s="181"/>
      <c r="Z35" s="182" t="s">
        <v>396</v>
      </c>
    </row>
    <row r="36" spans="3:26" ht="20.100000000000001" customHeight="1" x14ac:dyDescent="0.25">
      <c r="C36" s="176" t="s">
        <v>397</v>
      </c>
      <c r="D36" s="176" t="s">
        <v>288</v>
      </c>
      <c r="E36" s="140" t="s">
        <v>45</v>
      </c>
      <c r="F36" s="140"/>
      <c r="G36" s="140" t="s">
        <v>123</v>
      </c>
      <c r="H36" s="140" t="s">
        <v>347</v>
      </c>
      <c r="I36" s="140" t="s">
        <v>352</v>
      </c>
      <c r="J36" s="140"/>
      <c r="K36" s="140" t="s">
        <v>349</v>
      </c>
      <c r="L36" s="140"/>
      <c r="M36" s="177">
        <v>5845000000</v>
      </c>
      <c r="N36" s="140" t="s">
        <v>123</v>
      </c>
      <c r="O36" s="177">
        <v>-1100000000</v>
      </c>
      <c r="P36" s="140" t="s">
        <v>123</v>
      </c>
      <c r="Q36" s="178"/>
      <c r="R36" s="178">
        <v>49945</v>
      </c>
      <c r="S36" s="178">
        <v>49945</v>
      </c>
      <c r="T36" s="178"/>
      <c r="U36" s="179"/>
      <c r="V36" s="179"/>
      <c r="W36" s="180"/>
      <c r="X36" s="181"/>
      <c r="Y36" s="181"/>
      <c r="Z36" s="182" t="s">
        <v>398</v>
      </c>
    </row>
    <row r="37" spans="3:26" ht="20.100000000000001" customHeight="1" x14ac:dyDescent="0.25">
      <c r="C37" s="176" t="s">
        <v>399</v>
      </c>
      <c r="D37" s="176" t="s">
        <v>290</v>
      </c>
      <c r="E37" s="140" t="s">
        <v>45</v>
      </c>
      <c r="F37" s="140"/>
      <c r="G37" s="140" t="s">
        <v>123</v>
      </c>
      <c r="H37" s="140" t="s">
        <v>347</v>
      </c>
      <c r="I37" s="140" t="s">
        <v>352</v>
      </c>
      <c r="J37" s="140"/>
      <c r="K37" s="140" t="s">
        <v>349</v>
      </c>
      <c r="L37" s="140"/>
      <c r="M37" s="177">
        <v>5845000000</v>
      </c>
      <c r="N37" s="140" t="s">
        <v>123</v>
      </c>
      <c r="O37" s="177">
        <v>-1100000000</v>
      </c>
      <c r="P37" s="140" t="s">
        <v>123</v>
      </c>
      <c r="Q37" s="178"/>
      <c r="R37" s="178">
        <v>49945</v>
      </c>
      <c r="S37" s="178">
        <v>49945</v>
      </c>
      <c r="T37" s="178"/>
      <c r="U37" s="179"/>
      <c r="V37" s="179"/>
      <c r="W37" s="180"/>
      <c r="X37" s="181"/>
      <c r="Y37" s="181"/>
      <c r="Z37" s="182" t="s">
        <v>398</v>
      </c>
    </row>
    <row r="38" spans="3:26" ht="20.100000000000001" customHeight="1" x14ac:dyDescent="0.25">
      <c r="C38" s="176" t="s">
        <v>400</v>
      </c>
      <c r="D38" s="176" t="s">
        <v>294</v>
      </c>
      <c r="E38" s="140" t="s">
        <v>45</v>
      </c>
      <c r="F38" s="140"/>
      <c r="G38" s="140" t="s">
        <v>123</v>
      </c>
      <c r="H38" s="140" t="s">
        <v>355</v>
      </c>
      <c r="I38" s="140" t="s">
        <v>348</v>
      </c>
      <c r="J38" s="140" t="s">
        <v>356</v>
      </c>
      <c r="K38" s="140" t="s">
        <v>349</v>
      </c>
      <c r="L38" s="140"/>
      <c r="M38" s="177">
        <v>10000</v>
      </c>
      <c r="N38" s="140" t="s">
        <v>123</v>
      </c>
      <c r="O38" s="177">
        <v>15</v>
      </c>
      <c r="P38" s="140" t="s">
        <v>123</v>
      </c>
      <c r="Q38" s="178">
        <v>46660</v>
      </c>
      <c r="R38" s="178">
        <v>48485</v>
      </c>
      <c r="S38" s="178">
        <v>48485</v>
      </c>
      <c r="T38" s="178">
        <v>46660</v>
      </c>
      <c r="U38" s="179">
        <v>-2E-3</v>
      </c>
      <c r="V38" s="179">
        <v>1E-3</v>
      </c>
      <c r="W38" s="180"/>
      <c r="X38" s="181"/>
      <c r="Y38" s="181"/>
      <c r="Z38" s="182" t="s">
        <v>401</v>
      </c>
    </row>
    <row r="39" spans="3:26" ht="20.100000000000001" customHeight="1" x14ac:dyDescent="0.25">
      <c r="C39" s="176" t="s">
        <v>402</v>
      </c>
      <c r="D39" s="176" t="s">
        <v>296</v>
      </c>
      <c r="E39" s="140" t="s">
        <v>45</v>
      </c>
      <c r="F39" s="140"/>
      <c r="G39" s="140" t="s">
        <v>123</v>
      </c>
      <c r="H39" s="140" t="s">
        <v>355</v>
      </c>
      <c r="I39" s="140" t="s">
        <v>348</v>
      </c>
      <c r="J39" s="140" t="s">
        <v>356</v>
      </c>
      <c r="K39" s="140" t="s">
        <v>349</v>
      </c>
      <c r="L39" s="140"/>
      <c r="M39" s="177">
        <v>10000</v>
      </c>
      <c r="N39" s="140" t="s">
        <v>123</v>
      </c>
      <c r="O39" s="177">
        <v>15</v>
      </c>
      <c r="P39" s="140" t="s">
        <v>123</v>
      </c>
      <c r="Q39" s="178">
        <v>46660</v>
      </c>
      <c r="R39" s="178">
        <v>48485</v>
      </c>
      <c r="S39" s="178">
        <v>48485</v>
      </c>
      <c r="T39" s="178">
        <v>46660</v>
      </c>
      <c r="U39" s="179">
        <v>-2E-3</v>
      </c>
      <c r="V39" s="179">
        <v>1E-3</v>
      </c>
      <c r="W39" s="180"/>
      <c r="X39" s="181"/>
      <c r="Y39" s="181"/>
      <c r="Z39" s="182" t="s">
        <v>401</v>
      </c>
    </row>
    <row r="40" spans="3:26" ht="20.100000000000001" customHeight="1" x14ac:dyDescent="0.25">
      <c r="C40" s="176" t="s">
        <v>403</v>
      </c>
      <c r="D40" s="176" t="s">
        <v>298</v>
      </c>
      <c r="E40" s="140" t="s">
        <v>51</v>
      </c>
      <c r="F40" s="140" t="s">
        <v>231</v>
      </c>
      <c r="G40" s="140" t="s">
        <v>404</v>
      </c>
      <c r="H40" s="140" t="s">
        <v>355</v>
      </c>
      <c r="I40" s="140" t="s">
        <v>348</v>
      </c>
      <c r="J40" s="140" t="s">
        <v>405</v>
      </c>
      <c r="K40" s="140" t="s">
        <v>349</v>
      </c>
      <c r="L40" s="140"/>
      <c r="M40" s="177">
        <v>10000</v>
      </c>
      <c r="N40" s="140" t="s">
        <v>123</v>
      </c>
      <c r="O40" s="177">
        <v>40</v>
      </c>
      <c r="P40" s="140" t="s">
        <v>123</v>
      </c>
      <c r="Q40" s="178"/>
      <c r="R40" s="178"/>
      <c r="S40" s="178">
        <v>46477</v>
      </c>
      <c r="T40" s="178">
        <v>46477</v>
      </c>
      <c r="U40" s="179">
        <v>-5</v>
      </c>
      <c r="V40" s="179">
        <v>-4</v>
      </c>
      <c r="W40" s="180"/>
      <c r="X40" s="181"/>
      <c r="Y40" s="181"/>
      <c r="Z40" s="182" t="s">
        <v>406</v>
      </c>
    </row>
    <row r="41" spans="3:26" ht="20.100000000000001" customHeight="1" x14ac:dyDescent="0.25">
      <c r="C41" s="176" t="s">
        <v>407</v>
      </c>
      <c r="D41" s="176" t="s">
        <v>300</v>
      </c>
      <c r="E41" s="140" t="s">
        <v>241</v>
      </c>
      <c r="F41" s="140"/>
      <c r="G41" s="140" t="s">
        <v>408</v>
      </c>
      <c r="H41" s="140" t="s">
        <v>347</v>
      </c>
      <c r="I41" s="140" t="s">
        <v>348</v>
      </c>
      <c r="J41" s="140"/>
      <c r="K41" s="140" t="s">
        <v>349</v>
      </c>
      <c r="L41" s="140"/>
      <c r="M41" s="177">
        <v>10000</v>
      </c>
      <c r="N41" s="140" t="s">
        <v>123</v>
      </c>
      <c r="O41" s="177">
        <v>0</v>
      </c>
      <c r="P41" s="140" t="s">
        <v>123</v>
      </c>
      <c r="Q41" s="178"/>
      <c r="R41" s="178"/>
      <c r="S41" s="178">
        <v>47025</v>
      </c>
      <c r="T41" s="178"/>
      <c r="U41" s="179"/>
      <c r="V41" s="179"/>
      <c r="W41" s="180"/>
      <c r="X41" s="181"/>
      <c r="Y41" s="181"/>
      <c r="Z41" s="182" t="s">
        <v>409</v>
      </c>
    </row>
    <row r="42" spans="3:26" ht="20.100000000000001" customHeight="1" x14ac:dyDescent="0.25">
      <c r="C42" s="176" t="s">
        <v>410</v>
      </c>
      <c r="D42" s="176" t="s">
        <v>300</v>
      </c>
      <c r="E42" s="140" t="s">
        <v>241</v>
      </c>
      <c r="F42" s="140"/>
      <c r="G42" s="140" t="s">
        <v>408</v>
      </c>
      <c r="H42" s="140" t="s">
        <v>347</v>
      </c>
      <c r="I42" s="140" t="s">
        <v>352</v>
      </c>
      <c r="J42" s="140"/>
      <c r="K42" s="140" t="s">
        <v>349</v>
      </c>
      <c r="L42" s="140"/>
      <c r="M42" s="177">
        <v>4000</v>
      </c>
      <c r="N42" s="140" t="s">
        <v>123</v>
      </c>
      <c r="O42" s="177">
        <v>0</v>
      </c>
      <c r="P42" s="140" t="s">
        <v>123</v>
      </c>
      <c r="Q42" s="178"/>
      <c r="R42" s="178"/>
      <c r="S42" s="178">
        <v>47390</v>
      </c>
      <c r="T42" s="178"/>
      <c r="U42" s="179"/>
      <c r="V42" s="179"/>
      <c r="W42" s="180"/>
      <c r="X42" s="181"/>
      <c r="Y42" s="181"/>
      <c r="Z42" s="182" t="s">
        <v>411</v>
      </c>
    </row>
    <row r="43" spans="3:26" ht="20.100000000000001" customHeight="1" x14ac:dyDescent="0.25">
      <c r="C43" s="176" t="s">
        <v>412</v>
      </c>
      <c r="D43" s="176" t="s">
        <v>300</v>
      </c>
      <c r="E43" s="140" t="s">
        <v>241</v>
      </c>
      <c r="F43" s="140"/>
      <c r="G43" s="140" t="s">
        <v>413</v>
      </c>
      <c r="H43" s="140" t="s">
        <v>347</v>
      </c>
      <c r="I43" s="140" t="s">
        <v>348</v>
      </c>
      <c r="J43" s="140"/>
      <c r="K43" s="140" t="s">
        <v>349</v>
      </c>
      <c r="L43" s="140"/>
      <c r="M43" s="177">
        <v>5000</v>
      </c>
      <c r="N43" s="140" t="s">
        <v>123</v>
      </c>
      <c r="O43" s="177">
        <v>0</v>
      </c>
      <c r="P43" s="140" t="s">
        <v>123</v>
      </c>
      <c r="Q43" s="178"/>
      <c r="R43" s="178"/>
      <c r="S43" s="178">
        <v>46843</v>
      </c>
      <c r="T43" s="178"/>
      <c r="U43" s="179"/>
      <c r="V43" s="179"/>
      <c r="W43" s="180"/>
      <c r="X43" s="181"/>
      <c r="Y43" s="181"/>
      <c r="Z43" s="182" t="s">
        <v>414</v>
      </c>
    </row>
    <row r="44" spans="3:26" ht="20.100000000000001" customHeight="1" x14ac:dyDescent="0.25">
      <c r="C44" s="176" t="s">
        <v>415</v>
      </c>
      <c r="D44" s="176" t="s">
        <v>948</v>
      </c>
      <c r="E44" s="140" t="s">
        <v>241</v>
      </c>
      <c r="F44" s="140"/>
      <c r="G44" s="140" t="s">
        <v>408</v>
      </c>
      <c r="H44" s="140" t="s">
        <v>347</v>
      </c>
      <c r="I44" s="140" t="s">
        <v>348</v>
      </c>
      <c r="J44" s="140"/>
      <c r="K44" s="140" t="s">
        <v>349</v>
      </c>
      <c r="L44" s="140"/>
      <c r="M44" s="177">
        <v>10000</v>
      </c>
      <c r="N44" s="140" t="s">
        <v>123</v>
      </c>
      <c r="O44" s="177">
        <v>0</v>
      </c>
      <c r="P44" s="140" t="s">
        <v>123</v>
      </c>
      <c r="Q44" s="178"/>
      <c r="R44" s="178"/>
      <c r="S44" s="178">
        <v>47025</v>
      </c>
      <c r="T44" s="178"/>
      <c r="U44" s="179"/>
      <c r="V44" s="179"/>
      <c r="W44" s="180"/>
      <c r="X44" s="181"/>
      <c r="Y44" s="181"/>
      <c r="Z44" s="182" t="s">
        <v>416</v>
      </c>
    </row>
    <row r="45" spans="3:26" ht="20.100000000000001" customHeight="1" x14ac:dyDescent="0.25">
      <c r="C45" s="176" t="s">
        <v>417</v>
      </c>
      <c r="D45" s="176" t="s">
        <v>302</v>
      </c>
      <c r="E45" s="140" t="s">
        <v>51</v>
      </c>
      <c r="F45" s="140" t="s">
        <v>239</v>
      </c>
      <c r="G45" s="140" t="s">
        <v>418</v>
      </c>
      <c r="H45" s="140" t="s">
        <v>347</v>
      </c>
      <c r="I45" s="140" t="s">
        <v>348</v>
      </c>
      <c r="J45" s="140"/>
      <c r="K45" s="140" t="s">
        <v>349</v>
      </c>
      <c r="L45" s="140"/>
      <c r="M45" s="177">
        <v>1000</v>
      </c>
      <c r="N45" s="140" t="s">
        <v>123</v>
      </c>
      <c r="O45" s="177">
        <v>5</v>
      </c>
      <c r="P45" s="140" t="s">
        <v>123</v>
      </c>
      <c r="Q45" s="178"/>
      <c r="R45" s="178"/>
      <c r="S45" s="178">
        <v>46477</v>
      </c>
      <c r="T45" s="178"/>
      <c r="U45" s="179"/>
      <c r="V45" s="179"/>
      <c r="W45" s="180"/>
      <c r="X45" s="181"/>
      <c r="Y45" s="181"/>
      <c r="Z45" s="182" t="s">
        <v>419</v>
      </c>
    </row>
    <row r="46" spans="3:26" ht="20.100000000000001" customHeight="1" x14ac:dyDescent="0.25">
      <c r="C46" s="176" t="s">
        <v>420</v>
      </c>
      <c r="D46" s="176" t="s">
        <v>304</v>
      </c>
      <c r="E46" s="140" t="s">
        <v>45</v>
      </c>
      <c r="F46" s="140"/>
      <c r="G46" s="140" t="s">
        <v>123</v>
      </c>
      <c r="H46" s="140" t="s">
        <v>347</v>
      </c>
      <c r="I46" s="140" t="s">
        <v>348</v>
      </c>
      <c r="J46" s="140"/>
      <c r="K46" s="140" t="s">
        <v>349</v>
      </c>
      <c r="L46" s="140"/>
      <c r="M46" s="177">
        <v>50000000</v>
      </c>
      <c r="N46" s="140" t="s">
        <v>123</v>
      </c>
      <c r="O46" s="177">
        <v>820000</v>
      </c>
      <c r="P46" s="140" t="s">
        <v>123</v>
      </c>
      <c r="Q46" s="178"/>
      <c r="R46" s="178">
        <v>48850</v>
      </c>
      <c r="S46" s="178">
        <v>48850</v>
      </c>
      <c r="T46" s="178"/>
      <c r="U46" s="179"/>
      <c r="V46" s="179"/>
      <c r="W46" s="180"/>
      <c r="X46" s="181"/>
      <c r="Y46" s="181"/>
      <c r="Z46" s="182" t="s">
        <v>421</v>
      </c>
    </row>
    <row r="47" spans="3:26" ht="20.100000000000001" customHeight="1" x14ac:dyDescent="0.25">
      <c r="C47" s="176" t="s">
        <v>422</v>
      </c>
      <c r="D47" s="176" t="s">
        <v>304</v>
      </c>
      <c r="E47" s="140" t="s">
        <v>45</v>
      </c>
      <c r="F47" s="140"/>
      <c r="G47" s="140" t="s">
        <v>123</v>
      </c>
      <c r="H47" s="140" t="s">
        <v>347</v>
      </c>
      <c r="I47" s="140" t="s">
        <v>352</v>
      </c>
      <c r="J47" s="140"/>
      <c r="K47" s="140" t="s">
        <v>349</v>
      </c>
      <c r="L47" s="140"/>
      <c r="M47" s="177">
        <v>30000000</v>
      </c>
      <c r="N47" s="140" t="s">
        <v>123</v>
      </c>
      <c r="O47" s="177">
        <v>-210000</v>
      </c>
      <c r="P47" s="140" t="s">
        <v>123</v>
      </c>
      <c r="Q47" s="178"/>
      <c r="R47" s="178">
        <v>47025</v>
      </c>
      <c r="S47" s="178">
        <v>47025</v>
      </c>
      <c r="T47" s="178"/>
      <c r="U47" s="179"/>
      <c r="V47" s="179"/>
      <c r="W47" s="180"/>
      <c r="X47" s="181"/>
      <c r="Y47" s="181"/>
      <c r="Z47" s="182" t="s">
        <v>423</v>
      </c>
    </row>
    <row r="48" spans="3:26" ht="20.100000000000001" customHeight="1" x14ac:dyDescent="0.25">
      <c r="C48" s="176" t="s">
        <v>424</v>
      </c>
      <c r="D48" s="176" t="s">
        <v>304</v>
      </c>
      <c r="E48" s="140" t="s">
        <v>45</v>
      </c>
      <c r="F48" s="140"/>
      <c r="G48" s="140" t="s">
        <v>248</v>
      </c>
      <c r="H48" s="140" t="s">
        <v>347</v>
      </c>
      <c r="I48" s="140" t="s">
        <v>352</v>
      </c>
      <c r="J48" s="140"/>
      <c r="K48" s="140" t="s">
        <v>349</v>
      </c>
      <c r="L48" s="140"/>
      <c r="M48" s="177">
        <v>40000000</v>
      </c>
      <c r="N48" s="140" t="s">
        <v>248</v>
      </c>
      <c r="O48" s="177">
        <v>-1150000</v>
      </c>
      <c r="P48" s="140" t="s">
        <v>248</v>
      </c>
      <c r="Q48" s="178"/>
      <c r="R48" s="178">
        <v>50675</v>
      </c>
      <c r="S48" s="178">
        <v>50675</v>
      </c>
      <c r="T48" s="178"/>
      <c r="U48" s="179"/>
      <c r="V48" s="179"/>
      <c r="W48" s="180"/>
      <c r="X48" s="181"/>
      <c r="Y48" s="181"/>
      <c r="Z48" s="182" t="s">
        <v>425</v>
      </c>
    </row>
    <row r="49" spans="3:26" ht="20.100000000000001" customHeight="1" x14ac:dyDescent="0.25">
      <c r="C49" s="176" t="s">
        <v>426</v>
      </c>
      <c r="D49" s="176" t="s">
        <v>304</v>
      </c>
      <c r="E49" s="140" t="s">
        <v>45</v>
      </c>
      <c r="F49" s="140"/>
      <c r="G49" s="140" t="s">
        <v>123</v>
      </c>
      <c r="H49" s="140" t="s">
        <v>347</v>
      </c>
      <c r="I49" s="140" t="s">
        <v>348</v>
      </c>
      <c r="J49" s="140"/>
      <c r="K49" s="140" t="s">
        <v>427</v>
      </c>
      <c r="L49" s="140" t="s">
        <v>428</v>
      </c>
      <c r="M49" s="177">
        <v>25000000</v>
      </c>
      <c r="N49" s="140" t="s">
        <v>123</v>
      </c>
      <c r="O49" s="177">
        <v>45000</v>
      </c>
      <c r="P49" s="140" t="s">
        <v>123</v>
      </c>
      <c r="Q49" s="178"/>
      <c r="R49" s="178">
        <v>48120</v>
      </c>
      <c r="S49" s="178">
        <v>48120</v>
      </c>
      <c r="T49" s="178"/>
      <c r="U49" s="179"/>
      <c r="V49" s="179"/>
      <c r="W49" s="180"/>
      <c r="X49" s="181"/>
      <c r="Y49" s="181"/>
      <c r="Z49" s="182" t="s">
        <v>429</v>
      </c>
    </row>
    <row r="50" spans="3:26" ht="20.100000000000001" customHeight="1" x14ac:dyDescent="0.25">
      <c r="C50" s="176" t="s">
        <v>430</v>
      </c>
      <c r="D50" s="176" t="s">
        <v>304</v>
      </c>
      <c r="E50" s="140" t="s">
        <v>45</v>
      </c>
      <c r="F50" s="140"/>
      <c r="G50" s="140" t="s">
        <v>123</v>
      </c>
      <c r="H50" s="140" t="s">
        <v>355</v>
      </c>
      <c r="I50" s="140" t="s">
        <v>348</v>
      </c>
      <c r="J50" s="140" t="s">
        <v>405</v>
      </c>
      <c r="K50" s="140" t="s">
        <v>349</v>
      </c>
      <c r="L50" s="140"/>
      <c r="M50" s="177">
        <v>20000000</v>
      </c>
      <c r="N50" s="140" t="s">
        <v>123</v>
      </c>
      <c r="O50" s="177">
        <v>310000</v>
      </c>
      <c r="P50" s="140" t="s">
        <v>123</v>
      </c>
      <c r="Q50" s="178">
        <v>47025</v>
      </c>
      <c r="R50" s="178">
        <v>48850</v>
      </c>
      <c r="S50" s="178">
        <v>48850</v>
      </c>
      <c r="T50" s="178">
        <v>47025</v>
      </c>
      <c r="U50" s="179">
        <v>2.5999999999999999E-2</v>
      </c>
      <c r="V50" s="179">
        <v>0.03</v>
      </c>
      <c r="W50" s="180"/>
      <c r="X50" s="181"/>
      <c r="Y50" s="181"/>
      <c r="Z50" s="182" t="s">
        <v>431</v>
      </c>
    </row>
    <row r="51" spans="3:26" ht="20.100000000000001" customHeight="1" x14ac:dyDescent="0.25">
      <c r="C51" s="176" t="s">
        <v>432</v>
      </c>
      <c r="D51" s="176" t="s">
        <v>304</v>
      </c>
      <c r="E51" s="140" t="s">
        <v>45</v>
      </c>
      <c r="F51" s="140"/>
      <c r="G51" s="140" t="s">
        <v>123</v>
      </c>
      <c r="H51" s="140" t="s">
        <v>347</v>
      </c>
      <c r="I51" s="140" t="s">
        <v>352</v>
      </c>
      <c r="J51" s="140"/>
      <c r="K51" s="140" t="s">
        <v>349</v>
      </c>
      <c r="L51" s="140"/>
      <c r="M51" s="177">
        <v>15000000</v>
      </c>
      <c r="N51" s="140" t="s">
        <v>123</v>
      </c>
      <c r="O51" s="177">
        <v>-60000</v>
      </c>
      <c r="P51" s="140" t="s">
        <v>123</v>
      </c>
      <c r="Q51" s="178">
        <v>46660</v>
      </c>
      <c r="R51" s="178">
        <v>47755</v>
      </c>
      <c r="S51" s="178">
        <v>47755</v>
      </c>
      <c r="T51" s="178"/>
      <c r="U51" s="179"/>
      <c r="V51" s="179"/>
      <c r="W51" s="180"/>
      <c r="X51" s="181"/>
      <c r="Y51" s="181"/>
      <c r="Z51" s="182" t="s">
        <v>433</v>
      </c>
    </row>
    <row r="52" spans="3:26" ht="20.100000000000001" customHeight="1" x14ac:dyDescent="0.25">
      <c r="C52" s="176" t="s">
        <v>434</v>
      </c>
      <c r="D52" s="176" t="s">
        <v>304</v>
      </c>
      <c r="E52" s="140" t="s">
        <v>47</v>
      </c>
      <c r="F52" s="140"/>
      <c r="G52" s="140" t="s">
        <v>435</v>
      </c>
      <c r="H52" s="140" t="s">
        <v>347</v>
      </c>
      <c r="I52" s="140" t="s">
        <v>352</v>
      </c>
      <c r="J52" s="140"/>
      <c r="K52" s="140" t="s">
        <v>349</v>
      </c>
      <c r="L52" s="140"/>
      <c r="M52" s="177">
        <v>25000000</v>
      </c>
      <c r="N52" s="140" t="s">
        <v>248</v>
      </c>
      <c r="O52" s="177">
        <v>-320000</v>
      </c>
      <c r="P52" s="140" t="s">
        <v>123</v>
      </c>
      <c r="Q52" s="178"/>
      <c r="R52" s="178"/>
      <c r="S52" s="178">
        <v>46660</v>
      </c>
      <c r="T52" s="178"/>
      <c r="U52" s="179"/>
      <c r="V52" s="179"/>
      <c r="W52" s="180"/>
      <c r="X52" s="181"/>
      <c r="Y52" s="181"/>
      <c r="Z52" s="182" t="s">
        <v>436</v>
      </c>
    </row>
    <row r="53" spans="3:26" ht="20.100000000000001" customHeight="1" x14ac:dyDescent="0.25">
      <c r="C53" s="176" t="s">
        <v>437</v>
      </c>
      <c r="D53" s="176" t="s">
        <v>304</v>
      </c>
      <c r="E53" s="140" t="s">
        <v>47</v>
      </c>
      <c r="F53" s="140"/>
      <c r="G53" s="140" t="s">
        <v>438</v>
      </c>
      <c r="H53" s="140" t="s">
        <v>355</v>
      </c>
      <c r="I53" s="140" t="s">
        <v>348</v>
      </c>
      <c r="J53" s="140" t="s">
        <v>405</v>
      </c>
      <c r="K53" s="140" t="s">
        <v>349</v>
      </c>
      <c r="L53" s="140"/>
      <c r="M53" s="177">
        <v>10000000</v>
      </c>
      <c r="N53" s="140" t="s">
        <v>248</v>
      </c>
      <c r="O53" s="177">
        <v>140000</v>
      </c>
      <c r="P53" s="140" t="s">
        <v>123</v>
      </c>
      <c r="Q53" s="178"/>
      <c r="R53" s="178"/>
      <c r="S53" s="178">
        <v>46477</v>
      </c>
      <c r="T53" s="178">
        <v>46477</v>
      </c>
      <c r="U53" s="179">
        <v>148.5</v>
      </c>
      <c r="V53" s="179">
        <v>150</v>
      </c>
      <c r="W53" s="180"/>
      <c r="X53" s="181"/>
      <c r="Y53" s="181"/>
      <c r="Z53" s="182" t="s">
        <v>439</v>
      </c>
    </row>
    <row r="54" spans="3:26" ht="20.100000000000001" customHeight="1" x14ac:dyDescent="0.25">
      <c r="C54" s="176" t="s">
        <v>440</v>
      </c>
      <c r="D54" s="176" t="s">
        <v>304</v>
      </c>
      <c r="E54" s="140" t="s">
        <v>47</v>
      </c>
      <c r="F54" s="140"/>
      <c r="G54" s="140" t="s">
        <v>441</v>
      </c>
      <c r="H54" s="140" t="s">
        <v>347</v>
      </c>
      <c r="I54" s="140" t="s">
        <v>348</v>
      </c>
      <c r="J54" s="140"/>
      <c r="K54" s="140" t="s">
        <v>349</v>
      </c>
      <c r="L54" s="140"/>
      <c r="M54" s="177">
        <v>15000000</v>
      </c>
      <c r="N54" s="140" t="s">
        <v>250</v>
      </c>
      <c r="O54" s="177">
        <v>95000</v>
      </c>
      <c r="P54" s="140" t="s">
        <v>123</v>
      </c>
      <c r="Q54" s="178"/>
      <c r="R54" s="178"/>
      <c r="S54" s="178">
        <v>46477</v>
      </c>
      <c r="T54" s="178"/>
      <c r="U54" s="179"/>
      <c r="V54" s="179"/>
      <c r="W54" s="180"/>
      <c r="X54" s="181"/>
      <c r="Y54" s="181"/>
      <c r="Z54" s="182" t="s">
        <v>442</v>
      </c>
    </row>
    <row r="55" spans="3:26" ht="20.100000000000001" customHeight="1" x14ac:dyDescent="0.25">
      <c r="C55" s="176" t="s">
        <v>443</v>
      </c>
      <c r="D55" s="176" t="s">
        <v>304</v>
      </c>
      <c r="E55" s="140" t="s">
        <v>45</v>
      </c>
      <c r="F55" s="140"/>
      <c r="G55" s="140" t="s">
        <v>250</v>
      </c>
      <c r="H55" s="140" t="s">
        <v>347</v>
      </c>
      <c r="I55" s="140" t="s">
        <v>348</v>
      </c>
      <c r="J55" s="140"/>
      <c r="K55" s="140" t="s">
        <v>349</v>
      </c>
      <c r="L55" s="140"/>
      <c r="M55" s="177">
        <v>20000000</v>
      </c>
      <c r="N55" s="140" t="s">
        <v>250</v>
      </c>
      <c r="O55" s="177">
        <v>12000</v>
      </c>
      <c r="P55" s="140" t="s">
        <v>250</v>
      </c>
      <c r="Q55" s="178"/>
      <c r="R55" s="178">
        <v>46569</v>
      </c>
      <c r="S55" s="178">
        <v>46569</v>
      </c>
      <c r="T55" s="178"/>
      <c r="U55" s="179"/>
      <c r="V55" s="179"/>
      <c r="W55" s="180"/>
      <c r="X55" s="181"/>
      <c r="Y55" s="181"/>
      <c r="Z55" s="182" t="s">
        <v>444</v>
      </c>
    </row>
    <row r="56" spans="3:26" ht="20.100000000000001" customHeight="1" x14ac:dyDescent="0.25">
      <c r="C56" s="176" t="s">
        <v>445</v>
      </c>
      <c r="D56" s="176" t="s">
        <v>948</v>
      </c>
      <c r="E56" s="140" t="s">
        <v>45</v>
      </c>
      <c r="F56" s="140"/>
      <c r="G56" s="140" t="s">
        <v>123</v>
      </c>
      <c r="H56" s="140" t="s">
        <v>347</v>
      </c>
      <c r="I56" s="140" t="s">
        <v>348</v>
      </c>
      <c r="J56" s="140"/>
      <c r="K56" s="140" t="s">
        <v>349</v>
      </c>
      <c r="L56" s="140"/>
      <c r="M56" s="177">
        <v>5000000</v>
      </c>
      <c r="N56" s="140" t="s">
        <v>123</v>
      </c>
      <c r="O56" s="177">
        <v>0</v>
      </c>
      <c r="P56" s="140" t="s">
        <v>123</v>
      </c>
      <c r="Q56" s="178"/>
      <c r="R56" s="178">
        <v>46265</v>
      </c>
      <c r="S56" s="178">
        <v>46265</v>
      </c>
      <c r="T56" s="178"/>
      <c r="U56" s="179"/>
      <c r="V56" s="179"/>
      <c r="W56" s="180"/>
      <c r="X56" s="181"/>
      <c r="Y56" s="181"/>
      <c r="Z56" s="182" t="s">
        <v>446</v>
      </c>
    </row>
    <row r="57" spans="3:26" ht="20.100000000000001" customHeight="1" x14ac:dyDescent="0.25">
      <c r="C57" s="176" t="s">
        <v>447</v>
      </c>
      <c r="D57" s="176" t="s">
        <v>306</v>
      </c>
      <c r="E57" s="140" t="s">
        <v>188</v>
      </c>
      <c r="F57" s="140" t="s">
        <v>196</v>
      </c>
      <c r="G57" s="140" t="s">
        <v>448</v>
      </c>
      <c r="H57" s="140" t="s">
        <v>347</v>
      </c>
      <c r="I57" s="140" t="s">
        <v>348</v>
      </c>
      <c r="J57" s="140"/>
      <c r="K57" s="140" t="s">
        <v>349</v>
      </c>
      <c r="L57" s="140"/>
      <c r="M57" s="177">
        <v>10000000</v>
      </c>
      <c r="N57" s="140" t="s">
        <v>123</v>
      </c>
      <c r="O57" s="177">
        <v>-95000</v>
      </c>
      <c r="P57" s="140" t="s">
        <v>123</v>
      </c>
      <c r="Q57" s="178"/>
      <c r="R57" s="178">
        <v>48120</v>
      </c>
      <c r="S57" s="178">
        <v>48120</v>
      </c>
      <c r="T57" s="178"/>
      <c r="U57" s="179"/>
      <c r="V57" s="179"/>
      <c r="W57" s="180"/>
      <c r="X57" s="181"/>
      <c r="Y57" s="181"/>
      <c r="Z57" s="182" t="s">
        <v>449</v>
      </c>
    </row>
    <row r="58" spans="3:26" ht="20.100000000000001" customHeight="1" x14ac:dyDescent="0.25">
      <c r="C58" s="176" t="s">
        <v>450</v>
      </c>
      <c r="D58" s="176" t="s">
        <v>306</v>
      </c>
      <c r="E58" s="140" t="s">
        <v>188</v>
      </c>
      <c r="F58" s="140" t="s">
        <v>196</v>
      </c>
      <c r="G58" s="140" t="s">
        <v>448</v>
      </c>
      <c r="H58" s="140" t="s">
        <v>347</v>
      </c>
      <c r="I58" s="140" t="s">
        <v>352</v>
      </c>
      <c r="J58" s="140"/>
      <c r="K58" s="140" t="s">
        <v>349</v>
      </c>
      <c r="L58" s="140"/>
      <c r="M58" s="177">
        <v>5000000</v>
      </c>
      <c r="N58" s="140" t="s">
        <v>123</v>
      </c>
      <c r="O58" s="177">
        <v>40000</v>
      </c>
      <c r="P58" s="140" t="s">
        <v>123</v>
      </c>
      <c r="Q58" s="178"/>
      <c r="R58" s="178">
        <v>47390</v>
      </c>
      <c r="S58" s="178">
        <v>47390</v>
      </c>
      <c r="T58" s="178"/>
      <c r="U58" s="179"/>
      <c r="V58" s="179"/>
      <c r="W58" s="180"/>
      <c r="X58" s="181"/>
      <c r="Y58" s="181"/>
      <c r="Z58" s="182" t="s">
        <v>451</v>
      </c>
    </row>
    <row r="59" spans="3:26" ht="20.100000000000001" customHeight="1" x14ac:dyDescent="0.25">
      <c r="C59" s="176" t="s">
        <v>452</v>
      </c>
      <c r="D59" s="176" t="s">
        <v>306</v>
      </c>
      <c r="E59" s="140" t="s">
        <v>188</v>
      </c>
      <c r="F59" s="140" t="s">
        <v>207</v>
      </c>
      <c r="G59" s="140" t="s">
        <v>453</v>
      </c>
      <c r="H59" s="140" t="s">
        <v>347</v>
      </c>
      <c r="I59" s="140" t="s">
        <v>352</v>
      </c>
      <c r="J59" s="140"/>
      <c r="K59" s="140" t="s">
        <v>349</v>
      </c>
      <c r="L59" s="140"/>
      <c r="M59" s="177">
        <v>8000000</v>
      </c>
      <c r="N59" s="140" t="s">
        <v>123</v>
      </c>
      <c r="O59" s="177">
        <v>120000</v>
      </c>
      <c r="P59" s="140" t="s">
        <v>123</v>
      </c>
      <c r="Q59" s="178"/>
      <c r="R59" s="178">
        <v>47755</v>
      </c>
      <c r="S59" s="178">
        <v>47755</v>
      </c>
      <c r="T59" s="178"/>
      <c r="U59" s="179"/>
      <c r="V59" s="179"/>
      <c r="W59" s="180"/>
      <c r="X59" s="181"/>
      <c r="Y59" s="181"/>
      <c r="Z59" s="182" t="s">
        <v>454</v>
      </c>
    </row>
    <row r="60" spans="3:26" ht="20.100000000000001" customHeight="1" x14ac:dyDescent="0.25">
      <c r="C60" s="176" t="s">
        <v>455</v>
      </c>
      <c r="D60" s="176" t="s">
        <v>306</v>
      </c>
      <c r="E60" s="140" t="s">
        <v>188</v>
      </c>
      <c r="F60" s="140" t="s">
        <v>217</v>
      </c>
      <c r="G60" s="140" t="s">
        <v>456</v>
      </c>
      <c r="H60" s="140" t="s">
        <v>347</v>
      </c>
      <c r="I60" s="140" t="s">
        <v>348</v>
      </c>
      <c r="J60" s="140"/>
      <c r="K60" s="140" t="s">
        <v>349</v>
      </c>
      <c r="L60" s="140"/>
      <c r="M60" s="177">
        <v>25000000</v>
      </c>
      <c r="N60" s="140" t="s">
        <v>123</v>
      </c>
      <c r="O60" s="177">
        <v>-210000</v>
      </c>
      <c r="P60" s="140" t="s">
        <v>123</v>
      </c>
      <c r="Q60" s="178"/>
      <c r="R60" s="178">
        <v>48120</v>
      </c>
      <c r="S60" s="178">
        <v>48120</v>
      </c>
      <c r="T60" s="178"/>
      <c r="U60" s="179"/>
      <c r="V60" s="179"/>
      <c r="W60" s="180"/>
      <c r="X60" s="181"/>
      <c r="Y60" s="181"/>
      <c r="Z60" s="182" t="s">
        <v>457</v>
      </c>
    </row>
    <row r="61" spans="3:26" ht="20.100000000000001" customHeight="1" x14ac:dyDescent="0.25">
      <c r="C61" s="176" t="s">
        <v>458</v>
      </c>
      <c r="D61" s="176" t="s">
        <v>306</v>
      </c>
      <c r="E61" s="140" t="s">
        <v>188</v>
      </c>
      <c r="F61" s="140" t="s">
        <v>217</v>
      </c>
      <c r="G61" s="140" t="s">
        <v>459</v>
      </c>
      <c r="H61" s="140" t="s">
        <v>345</v>
      </c>
      <c r="I61" s="140" t="s">
        <v>352</v>
      </c>
      <c r="J61" s="140"/>
      <c r="K61" s="140" t="s">
        <v>349</v>
      </c>
      <c r="L61" s="140"/>
      <c r="M61" s="177">
        <v>5000000</v>
      </c>
      <c r="N61" s="140" t="s">
        <v>123</v>
      </c>
      <c r="O61" s="177">
        <v>85000</v>
      </c>
      <c r="P61" s="140" t="s">
        <v>123</v>
      </c>
      <c r="Q61" s="178"/>
      <c r="R61" s="178">
        <v>48120</v>
      </c>
      <c r="S61" s="178">
        <v>48120</v>
      </c>
      <c r="T61" s="178"/>
      <c r="U61" s="179"/>
      <c r="V61" s="179"/>
      <c r="W61" s="180"/>
      <c r="X61" s="181">
        <v>0.03</v>
      </c>
      <c r="Y61" s="181">
        <v>0.06</v>
      </c>
      <c r="Z61" s="182" t="s">
        <v>460</v>
      </c>
    </row>
    <row r="62" spans="3:26" ht="20.100000000000001" customHeight="1" x14ac:dyDescent="0.25">
      <c r="C62" s="176" t="s">
        <v>461</v>
      </c>
      <c r="D62" s="176" t="s">
        <v>306</v>
      </c>
      <c r="E62" s="140" t="s">
        <v>222</v>
      </c>
      <c r="F62" s="140" t="s">
        <v>223</v>
      </c>
      <c r="G62" s="140" t="s">
        <v>462</v>
      </c>
      <c r="H62" s="140" t="s">
        <v>347</v>
      </c>
      <c r="I62" s="140" t="s">
        <v>348</v>
      </c>
      <c r="J62" s="140"/>
      <c r="K62" s="140" t="s">
        <v>349</v>
      </c>
      <c r="L62" s="140"/>
      <c r="M62" s="177">
        <v>8000000</v>
      </c>
      <c r="N62" s="140" t="s">
        <v>123</v>
      </c>
      <c r="O62" s="177">
        <v>310000</v>
      </c>
      <c r="P62" s="140" t="s">
        <v>123</v>
      </c>
      <c r="Q62" s="178"/>
      <c r="R62" s="178"/>
      <c r="S62" s="178">
        <v>46660</v>
      </c>
      <c r="T62" s="178"/>
      <c r="U62" s="179"/>
      <c r="V62" s="179"/>
      <c r="W62" s="180"/>
      <c r="X62" s="181"/>
      <c r="Y62" s="181"/>
      <c r="Z62" s="182" t="s">
        <v>463</v>
      </c>
    </row>
    <row r="63" spans="3:26" ht="20.100000000000001" customHeight="1" x14ac:dyDescent="0.25">
      <c r="C63" s="176" t="s">
        <v>464</v>
      </c>
      <c r="D63" s="176" t="s">
        <v>306</v>
      </c>
      <c r="E63" s="140" t="s">
        <v>222</v>
      </c>
      <c r="F63" s="140" t="s">
        <v>226</v>
      </c>
      <c r="G63" s="140" t="s">
        <v>465</v>
      </c>
      <c r="H63" s="140" t="s">
        <v>355</v>
      </c>
      <c r="I63" s="140" t="s">
        <v>352</v>
      </c>
      <c r="J63" s="140" t="s">
        <v>356</v>
      </c>
      <c r="K63" s="140" t="s">
        <v>349</v>
      </c>
      <c r="L63" s="140"/>
      <c r="M63" s="177">
        <v>10000000</v>
      </c>
      <c r="N63" s="140" t="s">
        <v>123</v>
      </c>
      <c r="O63" s="177">
        <v>-150000</v>
      </c>
      <c r="P63" s="140" t="s">
        <v>123</v>
      </c>
      <c r="Q63" s="178"/>
      <c r="R63" s="178"/>
      <c r="S63" s="178">
        <v>46477</v>
      </c>
      <c r="T63" s="178">
        <v>46477</v>
      </c>
      <c r="U63" s="179">
        <v>5400</v>
      </c>
      <c r="V63" s="179">
        <v>5000</v>
      </c>
      <c r="W63" s="180"/>
      <c r="X63" s="181"/>
      <c r="Y63" s="181"/>
      <c r="Z63" s="182" t="s">
        <v>466</v>
      </c>
    </row>
    <row r="64" spans="3:26" ht="20.100000000000001" customHeight="1" x14ac:dyDescent="0.25">
      <c r="C64" s="176" t="s">
        <v>467</v>
      </c>
      <c r="D64" s="176" t="s">
        <v>306</v>
      </c>
      <c r="E64" s="140" t="s">
        <v>222</v>
      </c>
      <c r="F64" s="140" t="s">
        <v>223</v>
      </c>
      <c r="G64" s="140" t="s">
        <v>468</v>
      </c>
      <c r="H64" s="140" t="s">
        <v>347</v>
      </c>
      <c r="I64" s="140" t="s">
        <v>352</v>
      </c>
      <c r="J64" s="140"/>
      <c r="K64" s="140" t="s">
        <v>349</v>
      </c>
      <c r="L64" s="140"/>
      <c r="M64" s="177">
        <v>4000000</v>
      </c>
      <c r="N64" s="140" t="s">
        <v>123</v>
      </c>
      <c r="O64" s="177">
        <v>-25000</v>
      </c>
      <c r="P64" s="140" t="s">
        <v>123</v>
      </c>
      <c r="Q64" s="178"/>
      <c r="R64" s="178"/>
      <c r="S64" s="178">
        <v>46565</v>
      </c>
      <c r="T64" s="178"/>
      <c r="U64" s="179"/>
      <c r="V64" s="179"/>
      <c r="W64" s="180"/>
      <c r="X64" s="181"/>
      <c r="Y64" s="181"/>
      <c r="Z64" s="182" t="s">
        <v>469</v>
      </c>
    </row>
    <row r="65" spans="3:26" ht="20.100000000000001" customHeight="1" x14ac:dyDescent="0.25">
      <c r="C65" s="176" t="s">
        <v>470</v>
      </c>
      <c r="D65" s="176" t="s">
        <v>306</v>
      </c>
      <c r="E65" s="140" t="s">
        <v>222</v>
      </c>
      <c r="F65" s="140" t="s">
        <v>226</v>
      </c>
      <c r="G65" s="140" t="s">
        <v>465</v>
      </c>
      <c r="H65" s="140" t="s">
        <v>347</v>
      </c>
      <c r="I65" s="140" t="s">
        <v>348</v>
      </c>
      <c r="J65" s="140"/>
      <c r="K65" s="140" t="s">
        <v>471</v>
      </c>
      <c r="L65" s="140" t="s">
        <v>472</v>
      </c>
      <c r="M65" s="177">
        <v>1000000</v>
      </c>
      <c r="N65" s="140" t="s">
        <v>123</v>
      </c>
      <c r="O65" s="177">
        <v>18000</v>
      </c>
      <c r="P65" s="140" t="s">
        <v>123</v>
      </c>
      <c r="Q65" s="178"/>
      <c r="R65" s="178"/>
      <c r="S65" s="178">
        <v>46660</v>
      </c>
      <c r="T65" s="178"/>
      <c r="U65" s="179"/>
      <c r="V65" s="179"/>
      <c r="W65" s="180"/>
      <c r="X65" s="181"/>
      <c r="Y65" s="181"/>
      <c r="Z65" s="182" t="s">
        <v>473</v>
      </c>
    </row>
    <row r="66" spans="3:26" ht="20.100000000000001" customHeight="1" x14ac:dyDescent="0.25">
      <c r="C66" s="176" t="s">
        <v>474</v>
      </c>
      <c r="D66" s="176" t="s">
        <v>306</v>
      </c>
      <c r="E66" s="140" t="s">
        <v>51</v>
      </c>
      <c r="F66" s="140" t="s">
        <v>231</v>
      </c>
      <c r="G66" s="140" t="s">
        <v>475</v>
      </c>
      <c r="H66" s="140" t="s">
        <v>347</v>
      </c>
      <c r="I66" s="140" t="s">
        <v>348</v>
      </c>
      <c r="J66" s="140"/>
      <c r="K66" s="140" t="s">
        <v>349</v>
      </c>
      <c r="L66" s="140"/>
      <c r="M66" s="177">
        <v>6000000</v>
      </c>
      <c r="N66" s="140" t="s">
        <v>248</v>
      </c>
      <c r="O66" s="177">
        <v>75000</v>
      </c>
      <c r="P66" s="140" t="s">
        <v>248</v>
      </c>
      <c r="Q66" s="178"/>
      <c r="R66" s="178"/>
      <c r="S66" s="178">
        <v>46660</v>
      </c>
      <c r="T66" s="178"/>
      <c r="U66" s="179"/>
      <c r="V66" s="179"/>
      <c r="W66" s="180"/>
      <c r="X66" s="181"/>
      <c r="Y66" s="181"/>
      <c r="Z66" s="182" t="s">
        <v>476</v>
      </c>
    </row>
    <row r="67" spans="3:26" ht="20.100000000000001" customHeight="1" x14ac:dyDescent="0.25">
      <c r="C67" s="176" t="s">
        <v>477</v>
      </c>
      <c r="D67" s="176" t="s">
        <v>306</v>
      </c>
      <c r="E67" s="140" t="s">
        <v>51</v>
      </c>
      <c r="F67" s="140" t="s">
        <v>231</v>
      </c>
      <c r="G67" s="140" t="s">
        <v>404</v>
      </c>
      <c r="H67" s="140" t="s">
        <v>347</v>
      </c>
      <c r="I67" s="140" t="s">
        <v>352</v>
      </c>
      <c r="J67" s="140"/>
      <c r="K67" s="140" t="s">
        <v>349</v>
      </c>
      <c r="L67" s="140"/>
      <c r="M67" s="177">
        <v>3000000</v>
      </c>
      <c r="N67" s="140" t="s">
        <v>248</v>
      </c>
      <c r="O67" s="177">
        <v>-20000</v>
      </c>
      <c r="P67" s="140" t="s">
        <v>248</v>
      </c>
      <c r="Q67" s="178"/>
      <c r="R67" s="178"/>
      <c r="S67" s="178">
        <v>46843</v>
      </c>
      <c r="T67" s="178"/>
      <c r="U67" s="179"/>
      <c r="V67" s="179"/>
      <c r="W67" s="180"/>
      <c r="X67" s="181"/>
      <c r="Y67" s="181"/>
      <c r="Z67" s="182" t="s">
        <v>478</v>
      </c>
    </row>
    <row r="68" spans="3:26" ht="20.100000000000001" customHeight="1" x14ac:dyDescent="0.25">
      <c r="C68" s="176" t="s">
        <v>479</v>
      </c>
      <c r="D68" s="176" t="s">
        <v>306</v>
      </c>
      <c r="E68" s="140" t="s">
        <v>51</v>
      </c>
      <c r="F68" s="140" t="s">
        <v>228</v>
      </c>
      <c r="G68" s="140" t="s">
        <v>480</v>
      </c>
      <c r="H68" s="140" t="s">
        <v>347</v>
      </c>
      <c r="I68" s="140" t="s">
        <v>348</v>
      </c>
      <c r="J68" s="140"/>
      <c r="K68" s="140" t="s">
        <v>349</v>
      </c>
      <c r="L68" s="140"/>
      <c r="M68" s="177">
        <v>2000000</v>
      </c>
      <c r="N68" s="140" t="s">
        <v>123</v>
      </c>
      <c r="O68" s="177">
        <v>60000</v>
      </c>
      <c r="P68" s="140" t="s">
        <v>123</v>
      </c>
      <c r="Q68" s="178"/>
      <c r="R68" s="178"/>
      <c r="S68" s="178">
        <v>46660</v>
      </c>
      <c r="T68" s="178"/>
      <c r="U68" s="179"/>
      <c r="V68" s="179"/>
      <c r="W68" s="180"/>
      <c r="X68" s="181"/>
      <c r="Y68" s="181"/>
      <c r="Z68" s="182" t="s">
        <v>481</v>
      </c>
    </row>
    <row r="69" spans="3:26" ht="20.100000000000001" customHeight="1" x14ac:dyDescent="0.25">
      <c r="C69" s="176" t="s">
        <v>482</v>
      </c>
      <c r="D69" s="176" t="s">
        <v>306</v>
      </c>
      <c r="E69" s="140" t="s">
        <v>51</v>
      </c>
      <c r="F69" s="140" t="s">
        <v>233</v>
      </c>
      <c r="G69" s="140" t="s">
        <v>483</v>
      </c>
      <c r="H69" s="140" t="s">
        <v>347</v>
      </c>
      <c r="I69" s="140" t="s">
        <v>348</v>
      </c>
      <c r="J69" s="140"/>
      <c r="K69" s="140" t="s">
        <v>349</v>
      </c>
      <c r="L69" s="140"/>
      <c r="M69" s="177">
        <v>5000000</v>
      </c>
      <c r="N69" s="140" t="s">
        <v>248</v>
      </c>
      <c r="O69" s="177">
        <v>140000</v>
      </c>
      <c r="P69" s="140" t="s">
        <v>248</v>
      </c>
      <c r="Q69" s="178"/>
      <c r="R69" s="178"/>
      <c r="S69" s="178">
        <v>47025</v>
      </c>
      <c r="T69" s="178"/>
      <c r="U69" s="179"/>
      <c r="V69" s="179"/>
      <c r="W69" s="180"/>
      <c r="X69" s="181"/>
      <c r="Y69" s="181"/>
      <c r="Z69" s="182" t="s">
        <v>484</v>
      </c>
    </row>
    <row r="70" spans="3:26" ht="20.100000000000001" customHeight="1" x14ac:dyDescent="0.25">
      <c r="C70" s="176" t="s">
        <v>485</v>
      </c>
      <c r="D70" s="176" t="s">
        <v>306</v>
      </c>
      <c r="E70" s="140" t="s">
        <v>51</v>
      </c>
      <c r="F70" s="140" t="s">
        <v>235</v>
      </c>
      <c r="G70" s="140" t="s">
        <v>486</v>
      </c>
      <c r="H70" s="140" t="s">
        <v>347</v>
      </c>
      <c r="I70" s="140" t="s">
        <v>352</v>
      </c>
      <c r="J70" s="140"/>
      <c r="K70" s="140" t="s">
        <v>349</v>
      </c>
      <c r="L70" s="140"/>
      <c r="M70" s="177">
        <v>1500000</v>
      </c>
      <c r="N70" s="140" t="s">
        <v>248</v>
      </c>
      <c r="O70" s="177">
        <v>-12000</v>
      </c>
      <c r="P70" s="140" t="s">
        <v>248</v>
      </c>
      <c r="Q70" s="178"/>
      <c r="R70" s="178"/>
      <c r="S70" s="178">
        <v>46477</v>
      </c>
      <c r="T70" s="178"/>
      <c r="U70" s="179"/>
      <c r="V70" s="179"/>
      <c r="W70" s="180"/>
      <c r="X70" s="181"/>
      <c r="Y70" s="181"/>
      <c r="Z70" s="182" t="s">
        <v>487</v>
      </c>
    </row>
    <row r="71" spans="3:26" ht="20.100000000000001" customHeight="1" x14ac:dyDescent="0.25">
      <c r="C71" s="176"/>
      <c r="D71" s="176"/>
      <c r="E71" s="140"/>
      <c r="F71" s="140"/>
      <c r="G71" s="140"/>
      <c r="H71" s="140"/>
      <c r="I71" s="140"/>
      <c r="J71" s="140"/>
      <c r="K71" s="140"/>
      <c r="L71" s="140"/>
      <c r="M71" s="177"/>
      <c r="N71" s="140"/>
      <c r="O71" s="177"/>
      <c r="P71" s="140"/>
      <c r="Q71" s="178"/>
      <c r="R71" s="178"/>
      <c r="S71" s="178"/>
      <c r="T71" s="178"/>
      <c r="U71" s="179"/>
      <c r="V71" s="179"/>
      <c r="W71" s="180"/>
      <c r="X71" s="181"/>
      <c r="Y71" s="181"/>
      <c r="Z71" s="182"/>
    </row>
    <row r="72" spans="3:26" ht="20.100000000000001" customHeight="1" x14ac:dyDescent="0.25">
      <c r="C72" s="176"/>
      <c r="D72" s="176"/>
      <c r="E72" s="140"/>
      <c r="F72" s="140"/>
      <c r="G72" s="140"/>
      <c r="H72" s="140"/>
      <c r="I72" s="140"/>
      <c r="J72" s="140"/>
      <c r="K72" s="140"/>
      <c r="L72" s="140"/>
      <c r="M72" s="177"/>
      <c r="N72" s="140"/>
      <c r="O72" s="177"/>
      <c r="P72" s="140"/>
      <c r="Q72" s="178"/>
      <c r="R72" s="178"/>
      <c r="S72" s="178"/>
      <c r="T72" s="178"/>
      <c r="U72" s="179"/>
      <c r="V72" s="179"/>
      <c r="W72" s="180"/>
      <c r="X72" s="181"/>
      <c r="Y72" s="181"/>
      <c r="Z72" s="182"/>
    </row>
    <row r="73" spans="3:26" ht="20.100000000000001" customHeight="1" x14ac:dyDescent="0.25">
      <c r="C73" s="176"/>
      <c r="D73" s="176"/>
      <c r="E73" s="140"/>
      <c r="F73" s="140"/>
      <c r="G73" s="140"/>
      <c r="H73" s="140"/>
      <c r="I73" s="140"/>
      <c r="J73" s="140"/>
      <c r="K73" s="140"/>
      <c r="L73" s="140"/>
      <c r="M73" s="177"/>
      <c r="N73" s="140"/>
      <c r="O73" s="177"/>
      <c r="P73" s="140"/>
      <c r="Q73" s="178"/>
      <c r="R73" s="178"/>
      <c r="S73" s="178"/>
      <c r="T73" s="178"/>
      <c r="U73" s="179"/>
      <c r="V73" s="179"/>
      <c r="W73" s="180"/>
      <c r="X73" s="181"/>
      <c r="Y73" s="181"/>
      <c r="Z73" s="182"/>
    </row>
    <row r="74" spans="3:26" ht="20.100000000000001" customHeight="1" x14ac:dyDescent="0.25">
      <c r="C74" s="176"/>
      <c r="D74" s="176"/>
      <c r="E74" s="140"/>
      <c r="F74" s="140"/>
      <c r="G74" s="140"/>
      <c r="H74" s="140"/>
      <c r="I74" s="140"/>
      <c r="J74" s="140"/>
      <c r="K74" s="140"/>
      <c r="L74" s="140"/>
      <c r="M74" s="177"/>
      <c r="N74" s="140"/>
      <c r="O74" s="177"/>
      <c r="P74" s="140"/>
      <c r="Q74" s="178"/>
      <c r="R74" s="178"/>
      <c r="S74" s="178"/>
      <c r="T74" s="178"/>
      <c r="U74" s="179"/>
      <c r="V74" s="179"/>
      <c r="W74" s="180"/>
      <c r="X74" s="181"/>
      <c r="Y74" s="181"/>
      <c r="Z74" s="182"/>
    </row>
    <row r="75" spans="3:26" ht="20.100000000000001" customHeight="1" x14ac:dyDescent="0.25">
      <c r="C75" s="176"/>
      <c r="D75" s="176"/>
      <c r="E75" s="140"/>
      <c r="F75" s="140"/>
      <c r="G75" s="140"/>
      <c r="H75" s="140"/>
      <c r="I75" s="140"/>
      <c r="J75" s="140"/>
      <c r="K75" s="140"/>
      <c r="L75" s="140"/>
      <c r="M75" s="177"/>
      <c r="N75" s="140"/>
      <c r="O75" s="177"/>
      <c r="P75" s="140"/>
      <c r="Q75" s="178"/>
      <c r="R75" s="178"/>
      <c r="S75" s="178"/>
      <c r="T75" s="178"/>
      <c r="U75" s="179"/>
      <c r="V75" s="179"/>
      <c r="W75" s="180"/>
      <c r="X75" s="181"/>
      <c r="Y75" s="181"/>
      <c r="Z75" s="182"/>
    </row>
    <row r="76" spans="3:26" ht="20.100000000000001" customHeight="1" x14ac:dyDescent="0.25">
      <c r="C76" s="176"/>
      <c r="D76" s="176"/>
      <c r="E76" s="140"/>
      <c r="F76" s="140"/>
      <c r="G76" s="140"/>
      <c r="H76" s="140"/>
      <c r="I76" s="140"/>
      <c r="J76" s="140"/>
      <c r="K76" s="140"/>
      <c r="L76" s="140"/>
      <c r="M76" s="177"/>
      <c r="N76" s="140"/>
      <c r="O76" s="177"/>
      <c r="P76" s="140"/>
      <c r="Q76" s="178"/>
      <c r="R76" s="178"/>
      <c r="S76" s="178"/>
      <c r="T76" s="178"/>
      <c r="U76" s="179"/>
      <c r="V76" s="179"/>
      <c r="W76" s="180"/>
      <c r="X76" s="181"/>
      <c r="Y76" s="181"/>
      <c r="Z76" s="182"/>
    </row>
    <row r="77" spans="3:26" ht="20.100000000000001" customHeight="1" x14ac:dyDescent="0.25">
      <c r="C77" s="176"/>
      <c r="D77" s="176"/>
      <c r="E77" s="140"/>
      <c r="F77" s="140"/>
      <c r="G77" s="140"/>
      <c r="H77" s="140"/>
      <c r="I77" s="140"/>
      <c r="J77" s="140"/>
      <c r="K77" s="140"/>
      <c r="L77" s="140"/>
      <c r="M77" s="177"/>
      <c r="N77" s="140"/>
      <c r="O77" s="177"/>
      <c r="P77" s="140"/>
      <c r="Q77" s="178"/>
      <c r="R77" s="178"/>
      <c r="S77" s="178"/>
      <c r="T77" s="178"/>
      <c r="U77" s="179"/>
      <c r="V77" s="179"/>
      <c r="W77" s="180"/>
      <c r="X77" s="181"/>
      <c r="Y77" s="181"/>
      <c r="Z77" s="182"/>
    </row>
    <row r="78" spans="3:26" ht="20.100000000000001" customHeight="1" x14ac:dyDescent="0.25">
      <c r="C78" s="176"/>
      <c r="D78" s="176"/>
      <c r="E78" s="140"/>
      <c r="F78" s="140"/>
      <c r="G78" s="140"/>
      <c r="H78" s="140"/>
      <c r="I78" s="140"/>
      <c r="J78" s="140"/>
      <c r="K78" s="140"/>
      <c r="L78" s="140"/>
      <c r="M78" s="177"/>
      <c r="N78" s="140"/>
      <c r="O78" s="177"/>
      <c r="P78" s="140"/>
      <c r="Q78" s="178"/>
      <c r="R78" s="178"/>
      <c r="S78" s="178"/>
      <c r="T78" s="178"/>
      <c r="U78" s="179"/>
      <c r="V78" s="179"/>
      <c r="W78" s="180"/>
      <c r="X78" s="181"/>
      <c r="Y78" s="181"/>
      <c r="Z78" s="182"/>
    </row>
    <row r="79" spans="3:26" ht="20.100000000000001" customHeight="1" x14ac:dyDescent="0.25">
      <c r="C79" s="176"/>
      <c r="D79" s="176"/>
      <c r="E79" s="140"/>
      <c r="F79" s="140"/>
      <c r="G79" s="140"/>
      <c r="H79" s="140"/>
      <c r="I79" s="140"/>
      <c r="J79" s="140"/>
      <c r="K79" s="140"/>
      <c r="L79" s="140"/>
      <c r="M79" s="177"/>
      <c r="N79" s="140"/>
      <c r="O79" s="177"/>
      <c r="P79" s="140"/>
      <c r="Q79" s="178"/>
      <c r="R79" s="178"/>
      <c r="S79" s="178"/>
      <c r="T79" s="178"/>
      <c r="U79" s="179"/>
      <c r="V79" s="179"/>
      <c r="W79" s="180"/>
      <c r="X79" s="181"/>
      <c r="Y79" s="181"/>
      <c r="Z79" s="182"/>
    </row>
    <row r="80" spans="3:26" ht="20.100000000000001" customHeight="1" x14ac:dyDescent="0.25">
      <c r="C80" s="176"/>
      <c r="D80" s="176"/>
      <c r="E80" s="140"/>
      <c r="F80" s="140"/>
      <c r="G80" s="140"/>
      <c r="H80" s="140"/>
      <c r="I80" s="140"/>
      <c r="J80" s="140"/>
      <c r="K80" s="140"/>
      <c r="L80" s="140"/>
      <c r="M80" s="177"/>
      <c r="N80" s="140"/>
      <c r="O80" s="177"/>
      <c r="P80" s="140"/>
      <c r="Q80" s="178"/>
      <c r="R80" s="178"/>
      <c r="S80" s="178"/>
      <c r="T80" s="178"/>
      <c r="U80" s="179"/>
      <c r="V80" s="179"/>
      <c r="W80" s="180"/>
      <c r="X80" s="181"/>
      <c r="Y80" s="181"/>
      <c r="Z80" s="182"/>
    </row>
    <row r="81" spans="3:26" ht="20.100000000000001" customHeight="1" x14ac:dyDescent="0.25">
      <c r="C81" s="176"/>
      <c r="D81" s="176"/>
      <c r="E81" s="140"/>
      <c r="F81" s="140"/>
      <c r="G81" s="140"/>
      <c r="H81" s="140"/>
      <c r="I81" s="140"/>
      <c r="J81" s="140"/>
      <c r="K81" s="140"/>
      <c r="L81" s="140"/>
      <c r="M81" s="177"/>
      <c r="N81" s="140"/>
      <c r="O81" s="177"/>
      <c r="P81" s="140"/>
      <c r="Q81" s="178"/>
      <c r="R81" s="178"/>
      <c r="S81" s="178"/>
      <c r="T81" s="178"/>
      <c r="U81" s="179"/>
      <c r="V81" s="179"/>
      <c r="W81" s="180"/>
      <c r="X81" s="181"/>
      <c r="Y81" s="181"/>
      <c r="Z81" s="182"/>
    </row>
    <row r="82" spans="3:26" ht="20.100000000000001" customHeight="1" x14ac:dyDescent="0.25">
      <c r="C82" s="176"/>
      <c r="D82" s="176"/>
      <c r="E82" s="140"/>
      <c r="F82" s="140"/>
      <c r="G82" s="140"/>
      <c r="H82" s="140"/>
      <c r="I82" s="140"/>
      <c r="J82" s="140"/>
      <c r="K82" s="140"/>
      <c r="L82" s="140"/>
      <c r="M82" s="177"/>
      <c r="N82" s="140"/>
      <c r="O82" s="177"/>
      <c r="P82" s="140"/>
      <c r="Q82" s="178"/>
      <c r="R82" s="178"/>
      <c r="S82" s="178"/>
      <c r="T82" s="178"/>
      <c r="U82" s="179"/>
      <c r="V82" s="179"/>
      <c r="W82" s="180"/>
      <c r="X82" s="181"/>
      <c r="Y82" s="181"/>
      <c r="Z82" s="182"/>
    </row>
    <row r="83" spans="3:26" ht="20.100000000000001" customHeight="1" x14ac:dyDescent="0.25">
      <c r="C83" s="176"/>
      <c r="D83" s="176"/>
      <c r="E83" s="140"/>
      <c r="F83" s="140"/>
      <c r="G83" s="140"/>
      <c r="H83" s="140"/>
      <c r="I83" s="140"/>
      <c r="J83" s="140"/>
      <c r="K83" s="140"/>
      <c r="L83" s="140"/>
      <c r="M83" s="177"/>
      <c r="N83" s="140"/>
      <c r="O83" s="177"/>
      <c r="P83" s="140"/>
      <c r="Q83" s="178"/>
      <c r="R83" s="178"/>
      <c r="S83" s="178"/>
      <c r="T83" s="178"/>
      <c r="U83" s="179"/>
      <c r="V83" s="179"/>
      <c r="W83" s="180"/>
      <c r="X83" s="181"/>
      <c r="Y83" s="181"/>
      <c r="Z83" s="182"/>
    </row>
    <row r="84" spans="3:26" ht="20.100000000000001" customHeight="1" x14ac:dyDescent="0.25">
      <c r="C84" s="176"/>
      <c r="D84" s="176"/>
      <c r="E84" s="140"/>
      <c r="F84" s="140"/>
      <c r="G84" s="140"/>
      <c r="H84" s="140"/>
      <c r="I84" s="140"/>
      <c r="J84" s="140"/>
      <c r="K84" s="140"/>
      <c r="L84" s="140"/>
      <c r="M84" s="177"/>
      <c r="N84" s="140"/>
      <c r="O84" s="177"/>
      <c r="P84" s="140"/>
      <c r="Q84" s="178"/>
      <c r="R84" s="178"/>
      <c r="S84" s="178"/>
      <c r="T84" s="178"/>
      <c r="U84" s="179"/>
      <c r="V84" s="179"/>
      <c r="W84" s="180"/>
      <c r="X84" s="181"/>
      <c r="Y84" s="181"/>
      <c r="Z84" s="182"/>
    </row>
    <row r="85" spans="3:26" ht="20.100000000000001" customHeight="1" x14ac:dyDescent="0.25">
      <c r="C85" s="176"/>
      <c r="D85" s="176"/>
      <c r="E85" s="140"/>
      <c r="F85" s="140"/>
      <c r="G85" s="140"/>
      <c r="H85" s="140"/>
      <c r="I85" s="140"/>
      <c r="J85" s="140"/>
      <c r="K85" s="140"/>
      <c r="L85" s="140"/>
      <c r="M85" s="177"/>
      <c r="N85" s="140"/>
      <c r="O85" s="177"/>
      <c r="P85" s="140"/>
      <c r="Q85" s="178"/>
      <c r="R85" s="178"/>
      <c r="S85" s="178"/>
      <c r="T85" s="178"/>
      <c r="U85" s="179"/>
      <c r="V85" s="179"/>
      <c r="W85" s="180"/>
      <c r="X85" s="181"/>
      <c r="Y85" s="181"/>
      <c r="Z85" s="182"/>
    </row>
    <row r="86" spans="3:26" ht="20.100000000000001" customHeight="1" x14ac:dyDescent="0.25">
      <c r="C86" s="176"/>
      <c r="D86" s="176"/>
      <c r="E86" s="140"/>
      <c r="F86" s="140"/>
      <c r="G86" s="140"/>
      <c r="H86" s="140"/>
      <c r="I86" s="140"/>
      <c r="J86" s="140"/>
      <c r="K86" s="140"/>
      <c r="L86" s="140"/>
      <c r="M86" s="177"/>
      <c r="N86" s="140"/>
      <c r="O86" s="177"/>
      <c r="P86" s="140"/>
      <c r="Q86" s="178"/>
      <c r="R86" s="178"/>
      <c r="S86" s="178"/>
      <c r="T86" s="178"/>
      <c r="U86" s="179"/>
      <c r="V86" s="179"/>
      <c r="W86" s="180"/>
      <c r="X86" s="181"/>
      <c r="Y86" s="181"/>
      <c r="Z86" s="182"/>
    </row>
    <row r="87" spans="3:26" ht="20.100000000000001" customHeight="1" x14ac:dyDescent="0.25">
      <c r="C87" s="176"/>
      <c r="D87" s="176"/>
      <c r="E87" s="140"/>
      <c r="F87" s="140"/>
      <c r="G87" s="140"/>
      <c r="H87" s="140"/>
      <c r="I87" s="140"/>
      <c r="J87" s="140"/>
      <c r="K87" s="140"/>
      <c r="L87" s="140"/>
      <c r="M87" s="177"/>
      <c r="N87" s="140"/>
      <c r="O87" s="177"/>
      <c r="P87" s="140"/>
      <c r="Q87" s="178"/>
      <c r="R87" s="178"/>
      <c r="S87" s="178"/>
      <c r="T87" s="178"/>
      <c r="U87" s="179"/>
      <c r="V87" s="179"/>
      <c r="W87" s="180"/>
      <c r="X87" s="181"/>
      <c r="Y87" s="181"/>
      <c r="Z87" s="182"/>
    </row>
    <row r="88" spans="3:26" ht="20.100000000000001" customHeight="1" x14ac:dyDescent="0.25">
      <c r="C88" s="176"/>
      <c r="D88" s="176"/>
      <c r="E88" s="140"/>
      <c r="F88" s="140"/>
      <c r="G88" s="140"/>
      <c r="H88" s="140"/>
      <c r="I88" s="140"/>
      <c r="J88" s="140"/>
      <c r="K88" s="140"/>
      <c r="L88" s="140"/>
      <c r="M88" s="177"/>
      <c r="N88" s="140"/>
      <c r="O88" s="177"/>
      <c r="P88" s="140"/>
      <c r="Q88" s="178"/>
      <c r="R88" s="178"/>
      <c r="S88" s="178"/>
      <c r="T88" s="178"/>
      <c r="U88" s="179"/>
      <c r="V88" s="179"/>
      <c r="W88" s="180"/>
      <c r="X88" s="181"/>
      <c r="Y88" s="181"/>
      <c r="Z88" s="182"/>
    </row>
    <row r="89" spans="3:26" ht="20.100000000000001" customHeight="1" x14ac:dyDescent="0.25">
      <c r="C89" s="176"/>
      <c r="D89" s="176"/>
      <c r="E89" s="140"/>
      <c r="F89" s="140"/>
      <c r="G89" s="140"/>
      <c r="H89" s="140"/>
      <c r="I89" s="140"/>
      <c r="J89" s="140"/>
      <c r="K89" s="140"/>
      <c r="L89" s="140"/>
      <c r="M89" s="177"/>
      <c r="N89" s="140"/>
      <c r="O89" s="177"/>
      <c r="P89" s="140"/>
      <c r="Q89" s="178"/>
      <c r="R89" s="178"/>
      <c r="S89" s="178"/>
      <c r="T89" s="178"/>
      <c r="U89" s="179"/>
      <c r="V89" s="179"/>
      <c r="W89" s="180"/>
      <c r="X89" s="181"/>
      <c r="Y89" s="181"/>
      <c r="Z89" s="182"/>
    </row>
    <row r="90" spans="3:26" ht="20.100000000000001" customHeight="1" x14ac:dyDescent="0.25">
      <c r="C90" s="176"/>
      <c r="D90" s="176"/>
      <c r="E90" s="140"/>
      <c r="F90" s="140"/>
      <c r="G90" s="140"/>
      <c r="H90" s="140"/>
      <c r="I90" s="140"/>
      <c r="J90" s="140"/>
      <c r="K90" s="140"/>
      <c r="L90" s="140"/>
      <c r="M90" s="177"/>
      <c r="N90" s="140"/>
      <c r="O90" s="177"/>
      <c r="P90" s="140"/>
      <c r="Q90" s="178"/>
      <c r="R90" s="178"/>
      <c r="S90" s="178"/>
      <c r="T90" s="178"/>
      <c r="U90" s="179"/>
      <c r="V90" s="179"/>
      <c r="W90" s="180"/>
      <c r="X90" s="181"/>
      <c r="Y90" s="181"/>
      <c r="Z90" s="182"/>
    </row>
    <row r="91" spans="3:26" ht="20.100000000000001" customHeight="1" x14ac:dyDescent="0.25">
      <c r="C91" s="176"/>
      <c r="D91" s="176"/>
      <c r="E91" s="140"/>
      <c r="F91" s="140"/>
      <c r="G91" s="140"/>
      <c r="H91" s="140"/>
      <c r="I91" s="140"/>
      <c r="J91" s="140"/>
      <c r="K91" s="140"/>
      <c r="L91" s="140"/>
      <c r="M91" s="177"/>
      <c r="N91" s="140"/>
      <c r="O91" s="177"/>
      <c r="P91" s="140"/>
      <c r="Q91" s="178"/>
      <c r="R91" s="178"/>
      <c r="S91" s="178"/>
      <c r="T91" s="178"/>
      <c r="U91" s="179"/>
      <c r="V91" s="179"/>
      <c r="W91" s="180"/>
      <c r="X91" s="181"/>
      <c r="Y91" s="181"/>
      <c r="Z91" s="182"/>
    </row>
    <row r="92" spans="3:26" ht="20.100000000000001" customHeight="1" x14ac:dyDescent="0.25">
      <c r="C92" s="176"/>
      <c r="D92" s="176"/>
      <c r="E92" s="140"/>
      <c r="F92" s="140"/>
      <c r="G92" s="140"/>
      <c r="H92" s="140"/>
      <c r="I92" s="140"/>
      <c r="J92" s="140"/>
      <c r="K92" s="140"/>
      <c r="L92" s="140"/>
      <c r="M92" s="177"/>
      <c r="N92" s="140"/>
      <c r="O92" s="177"/>
      <c r="P92" s="140"/>
      <c r="Q92" s="178"/>
      <c r="R92" s="178"/>
      <c r="S92" s="178"/>
      <c r="T92" s="178"/>
      <c r="U92" s="179"/>
      <c r="V92" s="179"/>
      <c r="W92" s="180"/>
      <c r="X92" s="181"/>
      <c r="Y92" s="181"/>
      <c r="Z92" s="182"/>
    </row>
    <row r="93" spans="3:26" ht="20.100000000000001" customHeight="1" x14ac:dyDescent="0.25">
      <c r="C93" s="176"/>
      <c r="D93" s="176"/>
      <c r="E93" s="140"/>
      <c r="F93" s="140"/>
      <c r="G93" s="140"/>
      <c r="H93" s="140"/>
      <c r="I93" s="140"/>
      <c r="J93" s="140"/>
      <c r="K93" s="140"/>
      <c r="L93" s="140"/>
      <c r="M93" s="177"/>
      <c r="N93" s="140"/>
      <c r="O93" s="177"/>
      <c r="P93" s="140"/>
      <c r="Q93" s="178"/>
      <c r="R93" s="178"/>
      <c r="S93" s="178"/>
      <c r="T93" s="178"/>
      <c r="U93" s="179"/>
      <c r="V93" s="179"/>
      <c r="W93" s="180"/>
      <c r="X93" s="181"/>
      <c r="Y93" s="181"/>
      <c r="Z93" s="182"/>
    </row>
    <row r="94" spans="3:26" ht="20.100000000000001" customHeight="1" x14ac:dyDescent="0.25">
      <c r="C94" s="176"/>
      <c r="D94" s="176"/>
      <c r="E94" s="140"/>
      <c r="F94" s="140"/>
      <c r="G94" s="140"/>
      <c r="H94" s="140"/>
      <c r="I94" s="140"/>
      <c r="J94" s="140"/>
      <c r="K94" s="140"/>
      <c r="L94" s="140"/>
      <c r="M94" s="177"/>
      <c r="N94" s="140"/>
      <c r="O94" s="177"/>
      <c r="P94" s="140"/>
      <c r="Q94" s="178"/>
      <c r="R94" s="178"/>
      <c r="S94" s="178"/>
      <c r="T94" s="178"/>
      <c r="U94" s="179"/>
      <c r="V94" s="179"/>
      <c r="W94" s="180"/>
      <c r="X94" s="181"/>
      <c r="Y94" s="181"/>
      <c r="Z94" s="182"/>
    </row>
    <row r="95" spans="3:26" ht="20.100000000000001" customHeight="1" x14ac:dyDescent="0.25">
      <c r="C95" s="176"/>
      <c r="D95" s="176"/>
      <c r="E95" s="140"/>
      <c r="F95" s="140"/>
      <c r="G95" s="140"/>
      <c r="H95" s="140"/>
      <c r="I95" s="140"/>
      <c r="J95" s="140"/>
      <c r="K95" s="140"/>
      <c r="L95" s="140"/>
      <c r="M95" s="177"/>
      <c r="N95" s="140"/>
      <c r="O95" s="177"/>
      <c r="P95" s="140"/>
      <c r="Q95" s="178"/>
      <c r="R95" s="178"/>
      <c r="S95" s="178"/>
      <c r="T95" s="178"/>
      <c r="U95" s="179"/>
      <c r="V95" s="179"/>
      <c r="W95" s="180"/>
      <c r="X95" s="181"/>
      <c r="Y95" s="181"/>
      <c r="Z95" s="182"/>
    </row>
    <row r="96" spans="3:26" ht="20.100000000000001" customHeight="1" x14ac:dyDescent="0.25">
      <c r="C96" s="176"/>
      <c r="D96" s="176"/>
      <c r="E96" s="140"/>
      <c r="F96" s="140"/>
      <c r="G96" s="140"/>
      <c r="H96" s="140"/>
      <c r="I96" s="140"/>
      <c r="J96" s="140"/>
      <c r="K96" s="140"/>
      <c r="L96" s="140"/>
      <c r="M96" s="177"/>
      <c r="N96" s="140"/>
      <c r="O96" s="177"/>
      <c r="P96" s="140"/>
      <c r="Q96" s="178"/>
      <c r="R96" s="178"/>
      <c r="S96" s="178"/>
      <c r="T96" s="178"/>
      <c r="U96" s="179"/>
      <c r="V96" s="179"/>
      <c r="W96" s="180"/>
      <c r="X96" s="181"/>
      <c r="Y96" s="181"/>
      <c r="Z96" s="182"/>
    </row>
    <row r="97" spans="3:26" ht="20.100000000000001" customHeight="1" x14ac:dyDescent="0.25">
      <c r="C97" s="176"/>
      <c r="D97" s="176"/>
      <c r="E97" s="140"/>
      <c r="F97" s="140"/>
      <c r="G97" s="140"/>
      <c r="H97" s="140"/>
      <c r="I97" s="140"/>
      <c r="J97" s="140"/>
      <c r="K97" s="140"/>
      <c r="L97" s="140"/>
      <c r="M97" s="177"/>
      <c r="N97" s="140"/>
      <c r="O97" s="177"/>
      <c r="P97" s="140"/>
      <c r="Q97" s="178"/>
      <c r="R97" s="178"/>
      <c r="S97" s="178"/>
      <c r="T97" s="178"/>
      <c r="U97" s="179"/>
      <c r="V97" s="179"/>
      <c r="W97" s="180"/>
      <c r="X97" s="181"/>
      <c r="Y97" s="181"/>
      <c r="Z97" s="182"/>
    </row>
    <row r="98" spans="3:26" ht="20.100000000000001" customHeight="1" x14ac:dyDescent="0.25">
      <c r="C98" s="176"/>
      <c r="D98" s="176"/>
      <c r="E98" s="140"/>
      <c r="F98" s="140"/>
      <c r="G98" s="140"/>
      <c r="H98" s="140"/>
      <c r="I98" s="140"/>
      <c r="J98" s="140"/>
      <c r="K98" s="140"/>
      <c r="L98" s="140"/>
      <c r="M98" s="177"/>
      <c r="N98" s="140"/>
      <c r="O98" s="177"/>
      <c r="P98" s="140"/>
      <c r="Q98" s="178"/>
      <c r="R98" s="178"/>
      <c r="S98" s="178"/>
      <c r="T98" s="178"/>
      <c r="U98" s="179"/>
      <c r="V98" s="179"/>
      <c r="W98" s="180"/>
      <c r="X98" s="181"/>
      <c r="Y98" s="181"/>
      <c r="Z98" s="182"/>
    </row>
    <row r="99" spans="3:26" ht="20.100000000000001" customHeight="1" x14ac:dyDescent="0.25">
      <c r="C99" s="176"/>
      <c r="D99" s="176"/>
      <c r="E99" s="140"/>
      <c r="F99" s="140"/>
      <c r="G99" s="140"/>
      <c r="H99" s="140"/>
      <c r="I99" s="140"/>
      <c r="J99" s="140"/>
      <c r="K99" s="140"/>
      <c r="L99" s="140"/>
      <c r="M99" s="177"/>
      <c r="N99" s="140"/>
      <c r="O99" s="177"/>
      <c r="P99" s="140"/>
      <c r="Q99" s="178"/>
      <c r="R99" s="178"/>
      <c r="S99" s="178"/>
      <c r="T99" s="178"/>
      <c r="U99" s="179"/>
      <c r="V99" s="179"/>
      <c r="W99" s="180"/>
      <c r="X99" s="181"/>
      <c r="Y99" s="181"/>
      <c r="Z99" s="182"/>
    </row>
    <row r="100" spans="3:26" ht="20.100000000000001" customHeight="1" x14ac:dyDescent="0.25">
      <c r="C100" s="176"/>
      <c r="D100" s="176"/>
      <c r="E100" s="140"/>
      <c r="F100" s="140"/>
      <c r="G100" s="140"/>
      <c r="H100" s="140"/>
      <c r="I100" s="140"/>
      <c r="J100" s="140"/>
      <c r="K100" s="140"/>
      <c r="L100" s="140"/>
      <c r="M100" s="177"/>
      <c r="N100" s="140"/>
      <c r="O100" s="177"/>
      <c r="P100" s="140"/>
      <c r="Q100" s="178"/>
      <c r="R100" s="178"/>
      <c r="S100" s="178"/>
      <c r="T100" s="178"/>
      <c r="U100" s="179"/>
      <c r="V100" s="179"/>
      <c r="W100" s="180"/>
      <c r="X100" s="181"/>
      <c r="Y100" s="181"/>
      <c r="Z100" s="182"/>
    </row>
    <row r="101" spans="3:26" ht="20.100000000000001" customHeight="1" x14ac:dyDescent="0.25">
      <c r="C101" s="176"/>
      <c r="D101" s="176"/>
      <c r="E101" s="140"/>
      <c r="F101" s="140"/>
      <c r="G101" s="140"/>
      <c r="H101" s="140"/>
      <c r="I101" s="140"/>
      <c r="J101" s="140"/>
      <c r="K101" s="140"/>
      <c r="L101" s="140"/>
      <c r="M101" s="177"/>
      <c r="N101" s="140"/>
      <c r="O101" s="177"/>
      <c r="P101" s="140"/>
      <c r="Q101" s="178"/>
      <c r="R101" s="178"/>
      <c r="S101" s="178"/>
      <c r="T101" s="178"/>
      <c r="U101" s="179"/>
      <c r="V101" s="179"/>
      <c r="W101" s="180"/>
      <c r="X101" s="181"/>
      <c r="Y101" s="181"/>
      <c r="Z101" s="182"/>
    </row>
    <row r="102" spans="3:26" ht="20.100000000000001" customHeight="1" x14ac:dyDescent="0.25">
      <c r="C102" s="176"/>
      <c r="D102" s="176"/>
      <c r="E102" s="140"/>
      <c r="F102" s="140"/>
      <c r="G102" s="140"/>
      <c r="H102" s="140"/>
      <c r="I102" s="140"/>
      <c r="J102" s="140"/>
      <c r="K102" s="140"/>
      <c r="L102" s="140"/>
      <c r="M102" s="177"/>
      <c r="N102" s="140"/>
      <c r="O102" s="177"/>
      <c r="P102" s="140"/>
      <c r="Q102" s="178"/>
      <c r="R102" s="178"/>
      <c r="S102" s="178"/>
      <c r="T102" s="178"/>
      <c r="U102" s="179"/>
      <c r="V102" s="179"/>
      <c r="W102" s="180"/>
      <c r="X102" s="181"/>
      <c r="Y102" s="181"/>
      <c r="Z102" s="182"/>
    </row>
    <row r="103" spans="3:26" ht="20.100000000000001" customHeight="1" x14ac:dyDescent="0.25">
      <c r="C103" s="176"/>
      <c r="D103" s="176"/>
      <c r="E103" s="140"/>
      <c r="F103" s="140"/>
      <c r="G103" s="140"/>
      <c r="H103" s="140"/>
      <c r="I103" s="140"/>
      <c r="J103" s="140"/>
      <c r="K103" s="140"/>
      <c r="L103" s="140"/>
      <c r="M103" s="177"/>
      <c r="N103" s="140"/>
      <c r="O103" s="177"/>
      <c r="P103" s="140"/>
      <c r="Q103" s="178"/>
      <c r="R103" s="178"/>
      <c r="S103" s="178"/>
      <c r="T103" s="178"/>
      <c r="U103" s="179"/>
      <c r="V103" s="179"/>
      <c r="W103" s="180"/>
      <c r="X103" s="181"/>
      <c r="Y103" s="181"/>
      <c r="Z103" s="182"/>
    </row>
    <row r="104" spans="3:26" ht="20.100000000000001" customHeight="1" x14ac:dyDescent="0.25">
      <c r="C104" s="176"/>
      <c r="D104" s="176"/>
      <c r="E104" s="140"/>
      <c r="F104" s="140"/>
      <c r="G104" s="140"/>
      <c r="H104" s="140"/>
      <c r="I104" s="140"/>
      <c r="J104" s="140"/>
      <c r="K104" s="140"/>
      <c r="L104" s="140"/>
      <c r="M104" s="177"/>
      <c r="N104" s="140"/>
      <c r="O104" s="177"/>
      <c r="P104" s="140"/>
      <c r="Q104" s="178"/>
      <c r="R104" s="178"/>
      <c r="S104" s="178"/>
      <c r="T104" s="178"/>
      <c r="U104" s="179"/>
      <c r="V104" s="179"/>
      <c r="W104" s="180"/>
      <c r="X104" s="181"/>
      <c r="Y104" s="181"/>
      <c r="Z104" s="182"/>
    </row>
    <row r="105" spans="3:26" ht="20.100000000000001" customHeight="1" x14ac:dyDescent="0.25">
      <c r="C105" s="176"/>
      <c r="D105" s="176"/>
      <c r="E105" s="140"/>
      <c r="F105" s="140"/>
      <c r="G105" s="140"/>
      <c r="H105" s="140"/>
      <c r="I105" s="140"/>
      <c r="J105" s="140"/>
      <c r="K105" s="140"/>
      <c r="L105" s="140"/>
      <c r="M105" s="177"/>
      <c r="N105" s="140"/>
      <c r="O105" s="177"/>
      <c r="P105" s="140"/>
      <c r="Q105" s="178"/>
      <c r="R105" s="178"/>
      <c r="S105" s="178"/>
      <c r="T105" s="178"/>
      <c r="U105" s="179"/>
      <c r="V105" s="179"/>
      <c r="W105" s="180"/>
      <c r="X105" s="181"/>
      <c r="Y105" s="181"/>
      <c r="Z105" s="182"/>
    </row>
    <row r="106" spans="3:26" ht="20.100000000000001" customHeight="1" x14ac:dyDescent="0.25">
      <c r="C106" s="176"/>
      <c r="D106" s="176"/>
      <c r="E106" s="140"/>
      <c r="F106" s="140"/>
      <c r="G106" s="140"/>
      <c r="H106" s="140"/>
      <c r="I106" s="140"/>
      <c r="J106" s="140"/>
      <c r="K106" s="140"/>
      <c r="L106" s="140"/>
      <c r="M106" s="177"/>
      <c r="N106" s="140"/>
      <c r="O106" s="177"/>
      <c r="P106" s="140"/>
      <c r="Q106" s="178"/>
      <c r="R106" s="178"/>
      <c r="S106" s="178"/>
      <c r="T106" s="178"/>
      <c r="U106" s="179"/>
      <c r="V106" s="179"/>
      <c r="W106" s="180"/>
      <c r="X106" s="181"/>
      <c r="Y106" s="181"/>
      <c r="Z106" s="182"/>
    </row>
    <row r="107" spans="3:26" ht="20.100000000000001" customHeight="1" x14ac:dyDescent="0.25">
      <c r="C107" s="176"/>
      <c r="D107" s="176"/>
      <c r="E107" s="140"/>
      <c r="F107" s="140"/>
      <c r="G107" s="140"/>
      <c r="H107" s="140"/>
      <c r="I107" s="140"/>
      <c r="J107" s="140"/>
      <c r="K107" s="140"/>
      <c r="L107" s="140"/>
      <c r="M107" s="177"/>
      <c r="N107" s="140"/>
      <c r="O107" s="177"/>
      <c r="P107" s="140"/>
      <c r="Q107" s="178"/>
      <c r="R107" s="178"/>
      <c r="S107" s="178"/>
      <c r="T107" s="178"/>
      <c r="U107" s="179"/>
      <c r="V107" s="179"/>
      <c r="W107" s="180"/>
      <c r="X107" s="181"/>
      <c r="Y107" s="181"/>
      <c r="Z107" s="182"/>
    </row>
    <row r="108" spans="3:26" ht="20.100000000000001" customHeight="1" x14ac:dyDescent="0.25">
      <c r="C108" s="176"/>
      <c r="D108" s="176"/>
      <c r="E108" s="140"/>
      <c r="F108" s="140"/>
      <c r="G108" s="140"/>
      <c r="H108" s="140"/>
      <c r="I108" s="140"/>
      <c r="J108" s="140"/>
      <c r="K108" s="140"/>
      <c r="L108" s="140"/>
      <c r="M108" s="177"/>
      <c r="N108" s="140"/>
      <c r="O108" s="177"/>
      <c r="P108" s="140"/>
      <c r="Q108" s="178"/>
      <c r="R108" s="178"/>
      <c r="S108" s="178"/>
      <c r="T108" s="178"/>
      <c r="U108" s="179"/>
      <c r="V108" s="179"/>
      <c r="W108" s="180"/>
      <c r="X108" s="181"/>
      <c r="Y108" s="181"/>
      <c r="Z108" s="182"/>
    </row>
    <row r="109" spans="3:26" ht="20.100000000000001" customHeight="1" x14ac:dyDescent="0.25">
      <c r="C109" s="176"/>
      <c r="D109" s="176"/>
      <c r="E109" s="140"/>
      <c r="F109" s="140"/>
      <c r="G109" s="140"/>
      <c r="H109" s="140"/>
      <c r="I109" s="140"/>
      <c r="J109" s="140"/>
      <c r="K109" s="140"/>
      <c r="L109" s="140"/>
      <c r="M109" s="177"/>
      <c r="N109" s="140"/>
      <c r="O109" s="177"/>
      <c r="P109" s="140"/>
      <c r="Q109" s="178"/>
      <c r="R109" s="178"/>
      <c r="S109" s="178"/>
      <c r="T109" s="178"/>
      <c r="U109" s="179"/>
      <c r="V109" s="179"/>
      <c r="W109" s="180"/>
      <c r="X109" s="181"/>
      <c r="Y109" s="181"/>
      <c r="Z109" s="182"/>
    </row>
    <row r="110" spans="3:26" ht="20.100000000000001" customHeight="1" x14ac:dyDescent="0.25">
      <c r="C110" s="176"/>
      <c r="D110" s="176"/>
      <c r="E110" s="140"/>
      <c r="F110" s="140"/>
      <c r="G110" s="140"/>
      <c r="H110" s="140"/>
      <c r="I110" s="140"/>
      <c r="J110" s="140"/>
      <c r="K110" s="140"/>
      <c r="L110" s="140"/>
      <c r="M110" s="177"/>
      <c r="N110" s="140"/>
      <c r="O110" s="177"/>
      <c r="P110" s="140"/>
      <c r="Q110" s="178"/>
      <c r="R110" s="178"/>
      <c r="S110" s="178"/>
      <c r="T110" s="178"/>
      <c r="U110" s="179"/>
      <c r="V110" s="179"/>
      <c r="W110" s="180"/>
      <c r="X110" s="181"/>
      <c r="Y110" s="181"/>
      <c r="Z110" s="182"/>
    </row>
    <row r="111" spans="3:26" ht="20.100000000000001" customHeight="1" x14ac:dyDescent="0.25">
      <c r="C111" s="176"/>
      <c r="D111" s="176"/>
      <c r="E111" s="140"/>
      <c r="F111" s="140"/>
      <c r="G111" s="140"/>
      <c r="H111" s="140"/>
      <c r="I111" s="140"/>
      <c r="J111" s="140"/>
      <c r="K111" s="140"/>
      <c r="L111" s="140"/>
      <c r="M111" s="177"/>
      <c r="N111" s="140"/>
      <c r="O111" s="177"/>
      <c r="P111" s="140"/>
      <c r="Q111" s="178"/>
      <c r="R111" s="178"/>
      <c r="S111" s="178"/>
      <c r="T111" s="178"/>
      <c r="U111" s="179"/>
      <c r="V111" s="179"/>
      <c r="W111" s="180"/>
      <c r="X111" s="181"/>
      <c r="Y111" s="181"/>
      <c r="Z111" s="182"/>
    </row>
    <row r="112" spans="3:26" ht="20.100000000000001" customHeight="1" x14ac:dyDescent="0.25">
      <c r="C112" s="176"/>
      <c r="D112" s="176"/>
      <c r="E112" s="140"/>
      <c r="F112" s="140"/>
      <c r="G112" s="140"/>
      <c r="H112" s="140"/>
      <c r="I112" s="140"/>
      <c r="J112" s="140"/>
      <c r="K112" s="140"/>
      <c r="L112" s="140"/>
      <c r="M112" s="177"/>
      <c r="N112" s="140"/>
      <c r="O112" s="177"/>
      <c r="P112" s="140"/>
      <c r="Q112" s="178"/>
      <c r="R112" s="178"/>
      <c r="S112" s="178"/>
      <c r="T112" s="178"/>
      <c r="U112" s="179"/>
      <c r="V112" s="179"/>
      <c r="W112" s="180"/>
      <c r="X112" s="181"/>
      <c r="Y112" s="181"/>
      <c r="Z112" s="182"/>
    </row>
    <row r="113" spans="3:26" ht="20.100000000000001" customHeight="1" x14ac:dyDescent="0.25">
      <c r="C113" s="176"/>
      <c r="D113" s="176"/>
      <c r="E113" s="140"/>
      <c r="F113" s="140"/>
      <c r="G113" s="140"/>
      <c r="H113" s="140"/>
      <c r="I113" s="140"/>
      <c r="J113" s="140"/>
      <c r="K113" s="140"/>
      <c r="L113" s="140"/>
      <c r="M113" s="177"/>
      <c r="N113" s="140"/>
      <c r="O113" s="177"/>
      <c r="P113" s="140"/>
      <c r="Q113" s="178"/>
      <c r="R113" s="178"/>
      <c r="S113" s="178"/>
      <c r="T113" s="178"/>
      <c r="U113" s="179"/>
      <c r="V113" s="179"/>
      <c r="W113" s="180"/>
      <c r="X113" s="181"/>
      <c r="Y113" s="181"/>
      <c r="Z113" s="182"/>
    </row>
    <row r="114" spans="3:26" ht="20.100000000000001" customHeight="1" x14ac:dyDescent="0.25">
      <c r="C114" s="176"/>
      <c r="D114" s="176"/>
      <c r="E114" s="140"/>
      <c r="F114" s="140"/>
      <c r="G114" s="140"/>
      <c r="H114" s="140"/>
      <c r="I114" s="140"/>
      <c r="J114" s="140"/>
      <c r="K114" s="140"/>
      <c r="L114" s="140"/>
      <c r="M114" s="177"/>
      <c r="N114" s="140"/>
      <c r="O114" s="177"/>
      <c r="P114" s="140"/>
      <c r="Q114" s="178"/>
      <c r="R114" s="178"/>
      <c r="S114" s="178"/>
      <c r="T114" s="178"/>
      <c r="U114" s="179"/>
      <c r="V114" s="179"/>
      <c r="W114" s="180"/>
      <c r="X114" s="181"/>
      <c r="Y114" s="181"/>
      <c r="Z114" s="182"/>
    </row>
    <row r="115" spans="3:26" ht="20.100000000000001" customHeight="1" x14ac:dyDescent="0.25">
      <c r="C115" s="176"/>
      <c r="D115" s="176"/>
      <c r="E115" s="140"/>
      <c r="F115" s="140"/>
      <c r="G115" s="140"/>
      <c r="H115" s="140"/>
      <c r="I115" s="140"/>
      <c r="J115" s="140"/>
      <c r="K115" s="140"/>
      <c r="L115" s="140"/>
      <c r="M115" s="177"/>
      <c r="N115" s="140"/>
      <c r="O115" s="177"/>
      <c r="P115" s="140"/>
      <c r="Q115" s="178"/>
      <c r="R115" s="178"/>
      <c r="S115" s="178"/>
      <c r="T115" s="178"/>
      <c r="U115" s="179"/>
      <c r="V115" s="179"/>
      <c r="W115" s="180"/>
      <c r="X115" s="181"/>
      <c r="Y115" s="181"/>
      <c r="Z115" s="182"/>
    </row>
    <row r="116" spans="3:26" ht="20.100000000000001" customHeight="1" x14ac:dyDescent="0.25">
      <c r="C116" s="176"/>
      <c r="D116" s="176"/>
      <c r="E116" s="140"/>
      <c r="F116" s="140"/>
      <c r="G116" s="140"/>
      <c r="H116" s="140"/>
      <c r="I116" s="140"/>
      <c r="J116" s="140"/>
      <c r="K116" s="140"/>
      <c r="L116" s="140"/>
      <c r="M116" s="177"/>
      <c r="N116" s="140"/>
      <c r="O116" s="177"/>
      <c r="P116" s="140"/>
      <c r="Q116" s="178"/>
      <c r="R116" s="178"/>
      <c r="S116" s="178"/>
      <c r="T116" s="178"/>
      <c r="U116" s="179"/>
      <c r="V116" s="179"/>
      <c r="W116" s="180"/>
      <c r="X116" s="181"/>
      <c r="Y116" s="181"/>
      <c r="Z116" s="182"/>
    </row>
    <row r="117" spans="3:26" ht="20.100000000000001" customHeight="1" x14ac:dyDescent="0.25">
      <c r="C117" s="176"/>
      <c r="D117" s="176"/>
      <c r="E117" s="140"/>
      <c r="F117" s="140"/>
      <c r="G117" s="140"/>
      <c r="H117" s="140"/>
      <c r="I117" s="140"/>
      <c r="J117" s="140"/>
      <c r="K117" s="140"/>
      <c r="L117" s="140"/>
      <c r="M117" s="177"/>
      <c r="N117" s="140"/>
      <c r="O117" s="177"/>
      <c r="P117" s="140"/>
      <c r="Q117" s="178"/>
      <c r="R117" s="178"/>
      <c r="S117" s="178"/>
      <c r="T117" s="178"/>
      <c r="U117" s="179"/>
      <c r="V117" s="179"/>
      <c r="W117" s="180"/>
      <c r="X117" s="181"/>
      <c r="Y117" s="181"/>
      <c r="Z117" s="182"/>
    </row>
    <row r="118" spans="3:26" ht="20.100000000000001" customHeight="1" x14ac:dyDescent="0.25">
      <c r="C118" s="176"/>
      <c r="D118" s="176"/>
      <c r="E118" s="140"/>
      <c r="F118" s="140"/>
      <c r="G118" s="140"/>
      <c r="H118" s="140"/>
      <c r="I118" s="140"/>
      <c r="J118" s="140"/>
      <c r="K118" s="140"/>
      <c r="L118" s="140"/>
      <c r="M118" s="177"/>
      <c r="N118" s="140"/>
      <c r="O118" s="177"/>
      <c r="P118" s="140"/>
      <c r="Q118" s="178"/>
      <c r="R118" s="178"/>
      <c r="S118" s="178"/>
      <c r="T118" s="178"/>
      <c r="U118" s="179"/>
      <c r="V118" s="179"/>
      <c r="W118" s="180"/>
      <c r="X118" s="181"/>
      <c r="Y118" s="181"/>
      <c r="Z118" s="182"/>
    </row>
    <row r="119" spans="3:26" ht="20.100000000000001" customHeight="1" x14ac:dyDescent="0.25">
      <c r="C119" s="176"/>
      <c r="D119" s="176"/>
      <c r="E119" s="140"/>
      <c r="F119" s="140"/>
      <c r="G119" s="140"/>
      <c r="H119" s="140"/>
      <c r="I119" s="140"/>
      <c r="J119" s="140"/>
      <c r="K119" s="140"/>
      <c r="L119" s="140"/>
      <c r="M119" s="177"/>
      <c r="N119" s="140"/>
      <c r="O119" s="177"/>
      <c r="P119" s="140"/>
      <c r="Q119" s="178"/>
      <c r="R119" s="178"/>
      <c r="S119" s="178"/>
      <c r="T119" s="178"/>
      <c r="U119" s="179"/>
      <c r="V119" s="179"/>
      <c r="W119" s="180"/>
      <c r="X119" s="181"/>
      <c r="Y119" s="181"/>
      <c r="Z119" s="182"/>
    </row>
    <row r="120" spans="3:26" ht="20.100000000000001" customHeight="1" x14ac:dyDescent="0.25">
      <c r="C120" s="176"/>
      <c r="D120" s="176"/>
      <c r="E120" s="140"/>
      <c r="F120" s="140"/>
      <c r="G120" s="140"/>
      <c r="H120" s="140"/>
      <c r="I120" s="140"/>
      <c r="J120" s="140"/>
      <c r="K120" s="140"/>
      <c r="L120" s="140"/>
      <c r="M120" s="177"/>
      <c r="N120" s="140"/>
      <c r="O120" s="177"/>
      <c r="P120" s="140"/>
      <c r="Q120" s="178"/>
      <c r="R120" s="178"/>
      <c r="S120" s="178"/>
      <c r="T120" s="178"/>
      <c r="U120" s="179"/>
      <c r="V120" s="179"/>
      <c r="W120" s="180"/>
      <c r="X120" s="181"/>
      <c r="Y120" s="181"/>
      <c r="Z120" s="182"/>
    </row>
    <row r="121" spans="3:26" ht="20.100000000000001" customHeight="1" x14ac:dyDescent="0.25">
      <c r="C121" s="176"/>
      <c r="D121" s="176"/>
      <c r="E121" s="140"/>
      <c r="F121" s="140"/>
      <c r="G121" s="140"/>
      <c r="H121" s="140"/>
      <c r="I121" s="140"/>
      <c r="J121" s="140"/>
      <c r="K121" s="140"/>
      <c r="L121" s="140"/>
      <c r="M121" s="177"/>
      <c r="N121" s="140"/>
      <c r="O121" s="177"/>
      <c r="P121" s="140"/>
      <c r="Q121" s="178"/>
      <c r="R121" s="178"/>
      <c r="S121" s="178"/>
      <c r="T121" s="178"/>
      <c r="U121" s="179"/>
      <c r="V121" s="179"/>
      <c r="W121" s="180"/>
      <c r="X121" s="181"/>
      <c r="Y121" s="181"/>
      <c r="Z121" s="182"/>
    </row>
    <row r="122" spans="3:26" ht="20.100000000000001" customHeight="1" x14ac:dyDescent="0.25">
      <c r="C122" s="176"/>
      <c r="D122" s="176"/>
      <c r="E122" s="140"/>
      <c r="F122" s="140"/>
      <c r="G122" s="140"/>
      <c r="H122" s="140"/>
      <c r="I122" s="140"/>
      <c r="J122" s="140"/>
      <c r="K122" s="140"/>
      <c r="L122" s="140"/>
      <c r="M122" s="177"/>
      <c r="N122" s="140"/>
      <c r="O122" s="177"/>
      <c r="P122" s="140"/>
      <c r="Q122" s="178"/>
      <c r="R122" s="178"/>
      <c r="S122" s="178"/>
      <c r="T122" s="178"/>
      <c r="U122" s="179"/>
      <c r="V122" s="179"/>
      <c r="W122" s="180"/>
      <c r="X122" s="181"/>
      <c r="Y122" s="181"/>
      <c r="Z122" s="182"/>
    </row>
    <row r="123" spans="3:26" ht="20.100000000000001" customHeight="1" x14ac:dyDescent="0.25">
      <c r="C123" s="176"/>
      <c r="D123" s="176"/>
      <c r="E123" s="140"/>
      <c r="F123" s="140"/>
      <c r="G123" s="140"/>
      <c r="H123" s="140"/>
      <c r="I123" s="140"/>
      <c r="J123" s="140"/>
      <c r="K123" s="140"/>
      <c r="L123" s="140"/>
      <c r="M123" s="177"/>
      <c r="N123" s="140"/>
      <c r="O123" s="177"/>
      <c r="P123" s="140"/>
      <c r="Q123" s="178"/>
      <c r="R123" s="178"/>
      <c r="S123" s="178"/>
      <c r="T123" s="178"/>
      <c r="U123" s="179"/>
      <c r="V123" s="179"/>
      <c r="W123" s="180"/>
      <c r="X123" s="181"/>
      <c r="Y123" s="181"/>
      <c r="Z123" s="182"/>
    </row>
    <row r="124" spans="3:26" ht="20.100000000000001" customHeight="1" x14ac:dyDescent="0.25">
      <c r="C124" s="176"/>
      <c r="D124" s="176"/>
      <c r="E124" s="140"/>
      <c r="F124" s="140"/>
      <c r="G124" s="140"/>
      <c r="H124" s="140"/>
      <c r="I124" s="140"/>
      <c r="J124" s="140"/>
      <c r="K124" s="140"/>
      <c r="L124" s="140"/>
      <c r="M124" s="177"/>
      <c r="N124" s="140"/>
      <c r="O124" s="177"/>
      <c r="P124" s="140"/>
      <c r="Q124" s="178"/>
      <c r="R124" s="178"/>
      <c r="S124" s="178"/>
      <c r="T124" s="178"/>
      <c r="U124" s="179"/>
      <c r="V124" s="179"/>
      <c r="W124" s="180"/>
      <c r="X124" s="181"/>
      <c r="Y124" s="181"/>
      <c r="Z124" s="182"/>
    </row>
    <row r="125" spans="3:26" ht="20.100000000000001" customHeight="1" x14ac:dyDescent="0.25">
      <c r="C125" s="176"/>
      <c r="D125" s="176"/>
      <c r="E125" s="140"/>
      <c r="F125" s="140"/>
      <c r="G125" s="140"/>
      <c r="H125" s="140"/>
      <c r="I125" s="140"/>
      <c r="J125" s="140"/>
      <c r="K125" s="140"/>
      <c r="L125" s="140"/>
      <c r="M125" s="177"/>
      <c r="N125" s="140"/>
      <c r="O125" s="177"/>
      <c r="P125" s="140"/>
      <c r="Q125" s="178"/>
      <c r="R125" s="178"/>
      <c r="S125" s="178"/>
      <c r="T125" s="178"/>
      <c r="U125" s="179"/>
      <c r="V125" s="179"/>
      <c r="W125" s="180"/>
      <c r="X125" s="181"/>
      <c r="Y125" s="181"/>
      <c r="Z125" s="182"/>
    </row>
    <row r="126" spans="3:26" ht="20.100000000000001" customHeight="1" x14ac:dyDescent="0.25">
      <c r="C126" s="176"/>
      <c r="D126" s="176"/>
      <c r="E126" s="140"/>
      <c r="F126" s="140"/>
      <c r="G126" s="140"/>
      <c r="H126" s="140"/>
      <c r="I126" s="140"/>
      <c r="J126" s="140"/>
      <c r="K126" s="140"/>
      <c r="L126" s="140"/>
      <c r="M126" s="177"/>
      <c r="N126" s="140"/>
      <c r="O126" s="177"/>
      <c r="P126" s="140"/>
      <c r="Q126" s="178"/>
      <c r="R126" s="178"/>
      <c r="S126" s="178"/>
      <c r="T126" s="178"/>
      <c r="U126" s="179"/>
      <c r="V126" s="179"/>
      <c r="W126" s="180"/>
      <c r="X126" s="181"/>
      <c r="Y126" s="181"/>
      <c r="Z126" s="182"/>
    </row>
    <row r="127" spans="3:26" ht="20.100000000000001" customHeight="1" x14ac:dyDescent="0.25">
      <c r="C127" s="176"/>
      <c r="D127" s="176"/>
      <c r="E127" s="140"/>
      <c r="F127" s="140"/>
      <c r="G127" s="140"/>
      <c r="H127" s="140"/>
      <c r="I127" s="140"/>
      <c r="J127" s="140"/>
      <c r="K127" s="140"/>
      <c r="L127" s="140"/>
      <c r="M127" s="177"/>
      <c r="N127" s="140"/>
      <c r="O127" s="177"/>
      <c r="P127" s="140"/>
      <c r="Q127" s="178"/>
      <c r="R127" s="178"/>
      <c r="S127" s="178"/>
      <c r="T127" s="178"/>
      <c r="U127" s="179"/>
      <c r="V127" s="179"/>
      <c r="W127" s="180"/>
      <c r="X127" s="181"/>
      <c r="Y127" s="181"/>
      <c r="Z127" s="182"/>
    </row>
    <row r="128" spans="3:26" ht="20.100000000000001" customHeight="1" x14ac:dyDescent="0.25">
      <c r="C128" s="176"/>
      <c r="D128" s="176"/>
      <c r="E128" s="140"/>
      <c r="F128" s="140"/>
      <c r="G128" s="140"/>
      <c r="H128" s="140"/>
      <c r="I128" s="140"/>
      <c r="J128" s="140"/>
      <c r="K128" s="140"/>
      <c r="L128" s="140"/>
      <c r="M128" s="177"/>
      <c r="N128" s="140"/>
      <c r="O128" s="177"/>
      <c r="P128" s="140"/>
      <c r="Q128" s="178"/>
      <c r="R128" s="178"/>
      <c r="S128" s="178"/>
      <c r="T128" s="178"/>
      <c r="U128" s="179"/>
      <c r="V128" s="179"/>
      <c r="W128" s="180"/>
      <c r="X128" s="181"/>
      <c r="Y128" s="181"/>
      <c r="Z128" s="182"/>
    </row>
    <row r="129" spans="3:26" ht="20.100000000000001" customHeight="1" x14ac:dyDescent="0.25">
      <c r="C129" s="176"/>
      <c r="D129" s="176"/>
      <c r="E129" s="140"/>
      <c r="F129" s="140"/>
      <c r="G129" s="140"/>
      <c r="H129" s="140"/>
      <c r="I129" s="140"/>
      <c r="J129" s="140"/>
      <c r="K129" s="140"/>
      <c r="L129" s="140"/>
      <c r="M129" s="177"/>
      <c r="N129" s="140"/>
      <c r="O129" s="177"/>
      <c r="P129" s="140"/>
      <c r="Q129" s="178"/>
      <c r="R129" s="178"/>
      <c r="S129" s="178"/>
      <c r="T129" s="178"/>
      <c r="U129" s="179"/>
      <c r="V129" s="179"/>
      <c r="W129" s="180"/>
      <c r="X129" s="181"/>
      <c r="Y129" s="181"/>
      <c r="Z129" s="182"/>
    </row>
    <row r="130" spans="3:26" ht="20.100000000000001" customHeight="1" x14ac:dyDescent="0.25">
      <c r="C130" s="176"/>
      <c r="D130" s="176"/>
      <c r="E130" s="140"/>
      <c r="F130" s="140"/>
      <c r="G130" s="140"/>
      <c r="H130" s="140"/>
      <c r="I130" s="140"/>
      <c r="J130" s="140"/>
      <c r="K130" s="140"/>
      <c r="L130" s="140"/>
      <c r="M130" s="177"/>
      <c r="N130" s="140"/>
      <c r="O130" s="177"/>
      <c r="P130" s="140"/>
      <c r="Q130" s="178"/>
      <c r="R130" s="178"/>
      <c r="S130" s="178"/>
      <c r="T130" s="178"/>
      <c r="U130" s="179"/>
      <c r="V130" s="179"/>
      <c r="W130" s="180"/>
      <c r="X130" s="181"/>
      <c r="Y130" s="181"/>
      <c r="Z130" s="182"/>
    </row>
    <row r="131" spans="3:26" ht="20.100000000000001" customHeight="1" x14ac:dyDescent="0.25">
      <c r="C131" s="176"/>
      <c r="D131" s="176"/>
      <c r="E131" s="140"/>
      <c r="F131" s="140"/>
      <c r="G131" s="140"/>
      <c r="H131" s="140"/>
      <c r="I131" s="140"/>
      <c r="J131" s="140"/>
      <c r="K131" s="140"/>
      <c r="L131" s="140"/>
      <c r="M131" s="177"/>
      <c r="N131" s="140"/>
      <c r="O131" s="177"/>
      <c r="P131" s="140"/>
      <c r="Q131" s="178"/>
      <c r="R131" s="178"/>
      <c r="S131" s="178"/>
      <c r="T131" s="178"/>
      <c r="U131" s="179"/>
      <c r="V131" s="179"/>
      <c r="W131" s="180"/>
      <c r="X131" s="181"/>
      <c r="Y131" s="181"/>
      <c r="Z131" s="182"/>
    </row>
    <row r="132" spans="3:26" ht="20.100000000000001" customHeight="1" x14ac:dyDescent="0.25">
      <c r="C132" s="176"/>
      <c r="D132" s="176"/>
      <c r="E132" s="140"/>
      <c r="F132" s="140"/>
      <c r="G132" s="140"/>
      <c r="H132" s="140"/>
      <c r="I132" s="140"/>
      <c r="J132" s="140"/>
      <c r="K132" s="140"/>
      <c r="L132" s="140"/>
      <c r="M132" s="177"/>
      <c r="N132" s="140"/>
      <c r="O132" s="177"/>
      <c r="P132" s="140"/>
      <c r="Q132" s="178"/>
      <c r="R132" s="178"/>
      <c r="S132" s="178"/>
      <c r="T132" s="178"/>
      <c r="U132" s="179"/>
      <c r="V132" s="179"/>
      <c r="W132" s="180"/>
      <c r="X132" s="181"/>
      <c r="Y132" s="181"/>
      <c r="Z132" s="182"/>
    </row>
    <row r="133" spans="3:26" ht="20.100000000000001" customHeight="1" x14ac:dyDescent="0.25">
      <c r="C133" s="176"/>
      <c r="D133" s="176"/>
      <c r="E133" s="140"/>
      <c r="F133" s="140"/>
      <c r="G133" s="140"/>
      <c r="H133" s="140"/>
      <c r="I133" s="140"/>
      <c r="J133" s="140"/>
      <c r="K133" s="140"/>
      <c r="L133" s="140"/>
      <c r="M133" s="177"/>
      <c r="N133" s="140"/>
      <c r="O133" s="177"/>
      <c r="P133" s="140"/>
      <c r="Q133" s="178"/>
      <c r="R133" s="178"/>
      <c r="S133" s="178"/>
      <c r="T133" s="178"/>
      <c r="U133" s="179"/>
      <c r="V133" s="179"/>
      <c r="W133" s="180"/>
      <c r="X133" s="181"/>
      <c r="Y133" s="181"/>
      <c r="Z133" s="182"/>
    </row>
    <row r="134" spans="3:26" ht="20.100000000000001" customHeight="1" x14ac:dyDescent="0.25">
      <c r="C134" s="176"/>
      <c r="D134" s="176"/>
      <c r="E134" s="140"/>
      <c r="F134" s="140"/>
      <c r="G134" s="140"/>
      <c r="H134" s="140"/>
      <c r="I134" s="140"/>
      <c r="J134" s="140"/>
      <c r="K134" s="140"/>
      <c r="L134" s="140"/>
      <c r="M134" s="177"/>
      <c r="N134" s="140"/>
      <c r="O134" s="177"/>
      <c r="P134" s="140"/>
      <c r="Q134" s="178"/>
      <c r="R134" s="178"/>
      <c r="S134" s="178"/>
      <c r="T134" s="178"/>
      <c r="U134" s="179"/>
      <c r="V134" s="179"/>
      <c r="W134" s="180"/>
      <c r="X134" s="181"/>
      <c r="Y134" s="181"/>
      <c r="Z134" s="182"/>
    </row>
    <row r="135" spans="3:26" ht="20.100000000000001" customHeight="1" x14ac:dyDescent="0.25">
      <c r="C135" s="176"/>
      <c r="D135" s="176"/>
      <c r="E135" s="140"/>
      <c r="F135" s="140"/>
      <c r="G135" s="140"/>
      <c r="H135" s="140"/>
      <c r="I135" s="140"/>
      <c r="J135" s="140"/>
      <c r="K135" s="140"/>
      <c r="L135" s="140"/>
      <c r="M135" s="177"/>
      <c r="N135" s="140"/>
      <c r="O135" s="177"/>
      <c r="P135" s="140"/>
      <c r="Q135" s="178"/>
      <c r="R135" s="178"/>
      <c r="S135" s="178"/>
      <c r="T135" s="178"/>
      <c r="U135" s="179"/>
      <c r="V135" s="179"/>
      <c r="W135" s="180"/>
      <c r="X135" s="181"/>
      <c r="Y135" s="181"/>
      <c r="Z135" s="182"/>
    </row>
    <row r="136" spans="3:26" ht="20.100000000000001" customHeight="1" x14ac:dyDescent="0.25">
      <c r="C136" s="176"/>
      <c r="D136" s="176"/>
      <c r="E136" s="140"/>
      <c r="F136" s="140"/>
      <c r="G136" s="140"/>
      <c r="H136" s="140"/>
      <c r="I136" s="140"/>
      <c r="J136" s="140"/>
      <c r="K136" s="140"/>
      <c r="L136" s="140"/>
      <c r="M136" s="177"/>
      <c r="N136" s="140"/>
      <c r="O136" s="177"/>
      <c r="P136" s="140"/>
      <c r="Q136" s="178"/>
      <c r="R136" s="178"/>
      <c r="S136" s="178"/>
      <c r="T136" s="178"/>
      <c r="U136" s="179"/>
      <c r="V136" s="179"/>
      <c r="W136" s="180"/>
      <c r="X136" s="181"/>
      <c r="Y136" s="181"/>
      <c r="Z136" s="182"/>
    </row>
    <row r="137" spans="3:26" ht="20.100000000000001" customHeight="1" x14ac:dyDescent="0.25">
      <c r="C137" s="176"/>
      <c r="D137" s="176"/>
      <c r="E137" s="140"/>
      <c r="F137" s="140"/>
      <c r="G137" s="140"/>
      <c r="H137" s="140"/>
      <c r="I137" s="140"/>
      <c r="J137" s="140"/>
      <c r="K137" s="140"/>
      <c r="L137" s="140"/>
      <c r="M137" s="177"/>
      <c r="N137" s="140"/>
      <c r="O137" s="177"/>
      <c r="P137" s="140"/>
      <c r="Q137" s="178"/>
      <c r="R137" s="178"/>
      <c r="S137" s="178"/>
      <c r="T137" s="178"/>
      <c r="U137" s="179"/>
      <c r="V137" s="179"/>
      <c r="W137" s="180"/>
      <c r="X137" s="181"/>
      <c r="Y137" s="181"/>
      <c r="Z137" s="182"/>
    </row>
    <row r="138" spans="3:26" ht="20.100000000000001" customHeight="1" x14ac:dyDescent="0.25">
      <c r="C138" s="176"/>
      <c r="D138" s="176"/>
      <c r="E138" s="140"/>
      <c r="F138" s="140"/>
      <c r="G138" s="140"/>
      <c r="H138" s="140"/>
      <c r="I138" s="140"/>
      <c r="J138" s="140"/>
      <c r="K138" s="140"/>
      <c r="L138" s="140"/>
      <c r="M138" s="177"/>
      <c r="N138" s="140"/>
      <c r="O138" s="177"/>
      <c r="P138" s="140"/>
      <c r="Q138" s="178"/>
      <c r="R138" s="178"/>
      <c r="S138" s="178"/>
      <c r="T138" s="178"/>
      <c r="U138" s="179"/>
      <c r="V138" s="179"/>
      <c r="W138" s="180"/>
      <c r="X138" s="181"/>
      <c r="Y138" s="181"/>
      <c r="Z138" s="182"/>
    </row>
    <row r="139" spans="3:26" ht="20.100000000000001" customHeight="1" x14ac:dyDescent="0.25">
      <c r="C139" s="176"/>
      <c r="D139" s="176"/>
      <c r="E139" s="140"/>
      <c r="F139" s="140"/>
      <c r="G139" s="140"/>
      <c r="H139" s="140"/>
      <c r="I139" s="140"/>
      <c r="J139" s="140"/>
      <c r="K139" s="140"/>
      <c r="L139" s="140"/>
      <c r="M139" s="177"/>
      <c r="N139" s="140"/>
      <c r="O139" s="177"/>
      <c r="P139" s="140"/>
      <c r="Q139" s="178"/>
      <c r="R139" s="178"/>
      <c r="S139" s="178"/>
      <c r="T139" s="178"/>
      <c r="U139" s="179"/>
      <c r="V139" s="179"/>
      <c r="W139" s="180"/>
      <c r="X139" s="181"/>
      <c r="Y139" s="181"/>
      <c r="Z139" s="182"/>
    </row>
    <row r="140" spans="3:26" ht="20.100000000000001" customHeight="1" x14ac:dyDescent="0.25">
      <c r="C140" s="176"/>
      <c r="D140" s="176"/>
      <c r="E140" s="140"/>
      <c r="F140" s="140"/>
      <c r="G140" s="140"/>
      <c r="H140" s="140"/>
      <c r="I140" s="140"/>
      <c r="J140" s="140"/>
      <c r="K140" s="140"/>
      <c r="L140" s="140"/>
      <c r="M140" s="177"/>
      <c r="N140" s="140"/>
      <c r="O140" s="177"/>
      <c r="P140" s="140"/>
      <c r="Q140" s="178"/>
      <c r="R140" s="178"/>
      <c r="S140" s="178"/>
      <c r="T140" s="178"/>
      <c r="U140" s="179"/>
      <c r="V140" s="179"/>
      <c r="W140" s="180"/>
      <c r="X140" s="181"/>
      <c r="Y140" s="181"/>
      <c r="Z140" s="182"/>
    </row>
    <row r="141" spans="3:26" ht="20.100000000000001" customHeight="1" x14ac:dyDescent="0.25">
      <c r="C141" s="176"/>
      <c r="D141" s="176"/>
      <c r="E141" s="140"/>
      <c r="F141" s="140"/>
      <c r="G141" s="140"/>
      <c r="H141" s="140"/>
      <c r="I141" s="140"/>
      <c r="J141" s="140"/>
      <c r="K141" s="140"/>
      <c r="L141" s="140"/>
      <c r="M141" s="177"/>
      <c r="N141" s="140"/>
      <c r="O141" s="177"/>
      <c r="P141" s="140"/>
      <c r="Q141" s="178"/>
      <c r="R141" s="178"/>
      <c r="S141" s="178"/>
      <c r="T141" s="178"/>
      <c r="U141" s="179"/>
      <c r="V141" s="179"/>
      <c r="W141" s="180"/>
      <c r="X141" s="181"/>
      <c r="Y141" s="181"/>
      <c r="Z141" s="182"/>
    </row>
    <row r="142" spans="3:26" ht="20.100000000000001" customHeight="1" x14ac:dyDescent="0.25">
      <c r="C142" s="176"/>
      <c r="D142" s="176"/>
      <c r="E142" s="140"/>
      <c r="F142" s="140"/>
      <c r="G142" s="140"/>
      <c r="H142" s="140"/>
      <c r="I142" s="140"/>
      <c r="J142" s="140"/>
      <c r="K142" s="140"/>
      <c r="L142" s="140"/>
      <c r="M142" s="177"/>
      <c r="N142" s="140"/>
      <c r="O142" s="177"/>
      <c r="P142" s="140"/>
      <c r="Q142" s="178"/>
      <c r="R142" s="178"/>
      <c r="S142" s="178"/>
      <c r="T142" s="178"/>
      <c r="U142" s="179"/>
      <c r="V142" s="179"/>
      <c r="W142" s="180"/>
      <c r="X142" s="181"/>
      <c r="Y142" s="181"/>
      <c r="Z142" s="182"/>
    </row>
    <row r="143" spans="3:26" ht="20.100000000000001" customHeight="1" x14ac:dyDescent="0.25">
      <c r="C143" s="176"/>
      <c r="D143" s="176"/>
      <c r="E143" s="140"/>
      <c r="F143" s="140"/>
      <c r="G143" s="140"/>
      <c r="H143" s="140"/>
      <c r="I143" s="140"/>
      <c r="J143" s="140"/>
      <c r="K143" s="140"/>
      <c r="L143" s="140"/>
      <c r="M143" s="177"/>
      <c r="N143" s="140"/>
      <c r="O143" s="177"/>
      <c r="P143" s="140"/>
      <c r="Q143" s="178"/>
      <c r="R143" s="178"/>
      <c r="S143" s="178"/>
      <c r="T143" s="178"/>
      <c r="U143" s="179"/>
      <c r="V143" s="179"/>
      <c r="W143" s="180"/>
      <c r="X143" s="181"/>
      <c r="Y143" s="181"/>
      <c r="Z143" s="182"/>
    </row>
    <row r="144" spans="3:26" ht="20.100000000000001" customHeight="1" x14ac:dyDescent="0.25">
      <c r="C144" s="176"/>
      <c r="D144" s="176"/>
      <c r="E144" s="140"/>
      <c r="F144" s="140"/>
      <c r="G144" s="140"/>
      <c r="H144" s="140"/>
      <c r="I144" s="140"/>
      <c r="J144" s="140"/>
      <c r="K144" s="140"/>
      <c r="L144" s="140"/>
      <c r="M144" s="177"/>
      <c r="N144" s="140"/>
      <c r="O144" s="177"/>
      <c r="P144" s="140"/>
      <c r="Q144" s="178"/>
      <c r="R144" s="178"/>
      <c r="S144" s="178"/>
      <c r="T144" s="178"/>
      <c r="U144" s="179"/>
      <c r="V144" s="179"/>
      <c r="W144" s="180"/>
      <c r="X144" s="181"/>
      <c r="Y144" s="181"/>
      <c r="Z144" s="182"/>
    </row>
    <row r="145" spans="3:26" ht="20.100000000000001" customHeight="1" x14ac:dyDescent="0.25">
      <c r="C145" s="176"/>
      <c r="D145" s="176"/>
      <c r="E145" s="140"/>
      <c r="F145" s="140"/>
      <c r="G145" s="140"/>
      <c r="H145" s="140"/>
      <c r="I145" s="140"/>
      <c r="J145" s="140"/>
      <c r="K145" s="140"/>
      <c r="L145" s="140"/>
      <c r="M145" s="177"/>
      <c r="N145" s="140"/>
      <c r="O145" s="177"/>
      <c r="P145" s="140"/>
      <c r="Q145" s="178"/>
      <c r="R145" s="178"/>
      <c r="S145" s="178"/>
      <c r="T145" s="178"/>
      <c r="U145" s="179"/>
      <c r="V145" s="179"/>
      <c r="W145" s="180"/>
      <c r="X145" s="181"/>
      <c r="Y145" s="181"/>
      <c r="Z145" s="182"/>
    </row>
    <row r="146" spans="3:26" ht="20.100000000000001" customHeight="1" x14ac:dyDescent="0.25">
      <c r="C146" s="176"/>
      <c r="D146" s="176"/>
      <c r="E146" s="140"/>
      <c r="F146" s="140"/>
      <c r="G146" s="140"/>
      <c r="H146" s="140"/>
      <c r="I146" s="140"/>
      <c r="J146" s="140"/>
      <c r="K146" s="140"/>
      <c r="L146" s="140"/>
      <c r="M146" s="177"/>
      <c r="N146" s="140"/>
      <c r="O146" s="177"/>
      <c r="P146" s="140"/>
      <c r="Q146" s="178"/>
      <c r="R146" s="178"/>
      <c r="S146" s="178"/>
      <c r="T146" s="178"/>
      <c r="U146" s="179"/>
      <c r="V146" s="179"/>
      <c r="W146" s="180"/>
      <c r="X146" s="181"/>
      <c r="Y146" s="181"/>
      <c r="Z146" s="182"/>
    </row>
    <row r="147" spans="3:26" ht="20.100000000000001" customHeight="1" x14ac:dyDescent="0.25">
      <c r="C147" s="176"/>
      <c r="D147" s="176"/>
      <c r="E147" s="140"/>
      <c r="F147" s="140"/>
      <c r="G147" s="140"/>
      <c r="H147" s="140"/>
      <c r="I147" s="140"/>
      <c r="J147" s="140"/>
      <c r="K147" s="140"/>
      <c r="L147" s="140"/>
      <c r="M147" s="177"/>
      <c r="N147" s="140"/>
      <c r="O147" s="177"/>
      <c r="P147" s="140"/>
      <c r="Q147" s="178"/>
      <c r="R147" s="178"/>
      <c r="S147" s="178"/>
      <c r="T147" s="178"/>
      <c r="U147" s="179"/>
      <c r="V147" s="179"/>
      <c r="W147" s="180"/>
      <c r="X147" s="181"/>
      <c r="Y147" s="181"/>
      <c r="Z147" s="182"/>
    </row>
    <row r="148" spans="3:26" ht="20.100000000000001" customHeight="1" x14ac:dyDescent="0.25">
      <c r="C148" s="176"/>
      <c r="D148" s="176"/>
      <c r="E148" s="140"/>
      <c r="F148" s="140"/>
      <c r="G148" s="140"/>
      <c r="H148" s="140"/>
      <c r="I148" s="140"/>
      <c r="J148" s="140"/>
      <c r="K148" s="140"/>
      <c r="L148" s="140"/>
      <c r="M148" s="177"/>
      <c r="N148" s="140"/>
      <c r="O148" s="177"/>
      <c r="P148" s="140"/>
      <c r="Q148" s="178"/>
      <c r="R148" s="178"/>
      <c r="S148" s="178"/>
      <c r="T148" s="178"/>
      <c r="U148" s="179"/>
      <c r="V148" s="179"/>
      <c r="W148" s="180"/>
      <c r="X148" s="181"/>
      <c r="Y148" s="181"/>
      <c r="Z148" s="182"/>
    </row>
    <row r="149" spans="3:26" ht="20.100000000000001" customHeight="1" x14ac:dyDescent="0.25">
      <c r="C149" s="176"/>
      <c r="D149" s="176"/>
      <c r="E149" s="140"/>
      <c r="F149" s="140"/>
      <c r="G149" s="140"/>
      <c r="H149" s="140"/>
      <c r="I149" s="140"/>
      <c r="J149" s="140"/>
      <c r="K149" s="140"/>
      <c r="L149" s="140"/>
      <c r="M149" s="177"/>
      <c r="N149" s="140"/>
      <c r="O149" s="177"/>
      <c r="P149" s="140"/>
      <c r="Q149" s="178"/>
      <c r="R149" s="178"/>
      <c r="S149" s="178"/>
      <c r="T149" s="178"/>
      <c r="U149" s="179"/>
      <c r="V149" s="179"/>
      <c r="W149" s="180"/>
      <c r="X149" s="181"/>
      <c r="Y149" s="181"/>
      <c r="Z149" s="182"/>
    </row>
    <row r="150" spans="3:26" ht="20.100000000000001" customHeight="1" x14ac:dyDescent="0.25">
      <c r="C150" s="176"/>
      <c r="D150" s="176"/>
      <c r="E150" s="140"/>
      <c r="F150" s="140"/>
      <c r="G150" s="140"/>
      <c r="H150" s="140"/>
      <c r="I150" s="140"/>
      <c r="J150" s="140"/>
      <c r="K150" s="140"/>
      <c r="L150" s="140"/>
      <c r="M150" s="177"/>
      <c r="N150" s="140"/>
      <c r="O150" s="177"/>
      <c r="P150" s="140"/>
      <c r="Q150" s="178"/>
      <c r="R150" s="178"/>
      <c r="S150" s="178"/>
      <c r="T150" s="178"/>
      <c r="U150" s="179"/>
      <c r="V150" s="179"/>
      <c r="W150" s="180"/>
      <c r="X150" s="181"/>
      <c r="Y150" s="181"/>
      <c r="Z150" s="182"/>
    </row>
    <row r="151" spans="3:26" ht="20.100000000000001" customHeight="1" x14ac:dyDescent="0.25">
      <c r="C151" s="176"/>
      <c r="D151" s="176"/>
      <c r="E151" s="140"/>
      <c r="F151" s="140"/>
      <c r="G151" s="140"/>
      <c r="H151" s="140"/>
      <c r="I151" s="140"/>
      <c r="J151" s="140"/>
      <c r="K151" s="140"/>
      <c r="L151" s="140"/>
      <c r="M151" s="177"/>
      <c r="N151" s="140"/>
      <c r="O151" s="177"/>
      <c r="P151" s="140"/>
      <c r="Q151" s="178"/>
      <c r="R151" s="178"/>
      <c r="S151" s="178"/>
      <c r="T151" s="178"/>
      <c r="U151" s="179"/>
      <c r="V151" s="179"/>
      <c r="W151" s="180"/>
      <c r="X151" s="181"/>
      <c r="Y151" s="181"/>
      <c r="Z151" s="182"/>
    </row>
    <row r="152" spans="3:26" ht="20.100000000000001" customHeight="1" x14ac:dyDescent="0.25">
      <c r="C152" s="176"/>
      <c r="D152" s="176"/>
      <c r="E152" s="140"/>
      <c r="F152" s="140"/>
      <c r="G152" s="140"/>
      <c r="H152" s="140"/>
      <c r="I152" s="140"/>
      <c r="J152" s="140"/>
      <c r="K152" s="140"/>
      <c r="L152" s="140"/>
      <c r="M152" s="177"/>
      <c r="N152" s="140"/>
      <c r="O152" s="177"/>
      <c r="P152" s="140"/>
      <c r="Q152" s="178"/>
      <c r="R152" s="178"/>
      <c r="S152" s="178"/>
      <c r="T152" s="178"/>
      <c r="U152" s="179"/>
      <c r="V152" s="179"/>
      <c r="W152" s="180"/>
      <c r="X152" s="181"/>
      <c r="Y152" s="181"/>
      <c r="Z152" s="182"/>
    </row>
    <row r="153" spans="3:26" ht="20.100000000000001" customHeight="1" x14ac:dyDescent="0.25">
      <c r="C153" s="176"/>
      <c r="D153" s="176"/>
      <c r="E153" s="140"/>
      <c r="F153" s="140"/>
      <c r="G153" s="140"/>
      <c r="H153" s="140"/>
      <c r="I153" s="140"/>
      <c r="J153" s="140"/>
      <c r="K153" s="140"/>
      <c r="L153" s="140"/>
      <c r="M153" s="177"/>
      <c r="N153" s="140"/>
      <c r="O153" s="177"/>
      <c r="P153" s="140"/>
      <c r="Q153" s="178"/>
      <c r="R153" s="178"/>
      <c r="S153" s="178"/>
      <c r="T153" s="178"/>
      <c r="U153" s="179"/>
      <c r="V153" s="179"/>
      <c r="W153" s="180"/>
      <c r="X153" s="181"/>
      <c r="Y153" s="181"/>
      <c r="Z153" s="182"/>
    </row>
    <row r="154" spans="3:26" ht="20.100000000000001" customHeight="1" x14ac:dyDescent="0.25">
      <c r="C154" s="176"/>
      <c r="D154" s="176"/>
      <c r="E154" s="140"/>
      <c r="F154" s="140"/>
      <c r="G154" s="140"/>
      <c r="H154" s="140"/>
      <c r="I154" s="140"/>
      <c r="J154" s="140"/>
      <c r="K154" s="140"/>
      <c r="L154" s="140"/>
      <c r="M154" s="177"/>
      <c r="N154" s="140"/>
      <c r="O154" s="177"/>
      <c r="P154" s="140"/>
      <c r="Q154" s="178"/>
      <c r="R154" s="178"/>
      <c r="S154" s="178"/>
      <c r="T154" s="178"/>
      <c r="U154" s="179"/>
      <c r="V154" s="179"/>
      <c r="W154" s="180"/>
      <c r="X154" s="181"/>
      <c r="Y154" s="181"/>
      <c r="Z154" s="182"/>
    </row>
    <row r="155" spans="3:26" ht="20.100000000000001" customHeight="1" x14ac:dyDescent="0.25">
      <c r="C155" s="176"/>
      <c r="D155" s="176"/>
      <c r="E155" s="140"/>
      <c r="F155" s="140"/>
      <c r="G155" s="140"/>
      <c r="H155" s="140"/>
      <c r="I155" s="140"/>
      <c r="J155" s="140"/>
      <c r="K155" s="140"/>
      <c r="L155" s="140"/>
      <c r="M155" s="177"/>
      <c r="N155" s="140"/>
      <c r="O155" s="177"/>
      <c r="P155" s="140"/>
      <c r="Q155" s="178"/>
      <c r="R155" s="178"/>
      <c r="S155" s="178"/>
      <c r="T155" s="178"/>
      <c r="U155" s="179"/>
      <c r="V155" s="179"/>
      <c r="W155" s="180"/>
      <c r="X155" s="181"/>
      <c r="Y155" s="181"/>
      <c r="Z155" s="182"/>
    </row>
    <row r="156" spans="3:26" ht="20.100000000000001" customHeight="1" x14ac:dyDescent="0.25">
      <c r="C156" s="176"/>
      <c r="D156" s="176"/>
      <c r="E156" s="140"/>
      <c r="F156" s="140"/>
      <c r="G156" s="140"/>
      <c r="H156" s="140"/>
      <c r="I156" s="140"/>
      <c r="J156" s="140"/>
      <c r="K156" s="140"/>
      <c r="L156" s="140"/>
      <c r="M156" s="177"/>
      <c r="N156" s="140"/>
      <c r="O156" s="177"/>
      <c r="P156" s="140"/>
      <c r="Q156" s="178"/>
      <c r="R156" s="178"/>
      <c r="S156" s="178"/>
      <c r="T156" s="178"/>
      <c r="U156" s="179"/>
      <c r="V156" s="179"/>
      <c r="W156" s="180"/>
      <c r="X156" s="181"/>
      <c r="Y156" s="181"/>
      <c r="Z156" s="182"/>
    </row>
    <row r="157" spans="3:26" ht="20.100000000000001" customHeight="1" x14ac:dyDescent="0.25">
      <c r="C157" s="176"/>
      <c r="D157" s="176"/>
      <c r="E157" s="140"/>
      <c r="F157" s="140"/>
      <c r="G157" s="140"/>
      <c r="H157" s="140"/>
      <c r="I157" s="140"/>
      <c r="J157" s="140"/>
      <c r="K157" s="140"/>
      <c r="L157" s="140"/>
      <c r="M157" s="177"/>
      <c r="N157" s="140"/>
      <c r="O157" s="177"/>
      <c r="P157" s="140"/>
      <c r="Q157" s="178"/>
      <c r="R157" s="178"/>
      <c r="S157" s="178"/>
      <c r="T157" s="178"/>
      <c r="U157" s="179"/>
      <c r="V157" s="179"/>
      <c r="W157" s="180"/>
      <c r="X157" s="181"/>
      <c r="Y157" s="181"/>
      <c r="Z157" s="182"/>
    </row>
    <row r="158" spans="3:26" ht="20.100000000000001" customHeight="1" x14ac:dyDescent="0.25">
      <c r="C158" s="176"/>
      <c r="D158" s="176"/>
      <c r="E158" s="140"/>
      <c r="F158" s="140"/>
      <c r="G158" s="140"/>
      <c r="H158" s="140"/>
      <c r="I158" s="140"/>
      <c r="J158" s="140"/>
      <c r="K158" s="140"/>
      <c r="L158" s="140"/>
      <c r="M158" s="177"/>
      <c r="N158" s="140"/>
      <c r="O158" s="177"/>
      <c r="P158" s="140"/>
      <c r="Q158" s="178"/>
      <c r="R158" s="178"/>
      <c r="S158" s="178"/>
      <c r="T158" s="178"/>
      <c r="U158" s="179"/>
      <c r="V158" s="179"/>
      <c r="W158" s="180"/>
      <c r="X158" s="181"/>
      <c r="Y158" s="181"/>
      <c r="Z158" s="182"/>
    </row>
    <row r="159" spans="3:26" ht="20.100000000000001" customHeight="1" x14ac:dyDescent="0.25">
      <c r="C159" s="176"/>
      <c r="D159" s="176"/>
      <c r="E159" s="140"/>
      <c r="F159" s="140"/>
      <c r="G159" s="140"/>
      <c r="H159" s="140"/>
      <c r="I159" s="140"/>
      <c r="J159" s="140"/>
      <c r="K159" s="140"/>
      <c r="L159" s="140"/>
      <c r="M159" s="177"/>
      <c r="N159" s="140"/>
      <c r="O159" s="177"/>
      <c r="P159" s="140"/>
      <c r="Q159" s="178"/>
      <c r="R159" s="178"/>
      <c r="S159" s="178"/>
      <c r="T159" s="178"/>
      <c r="U159" s="179"/>
      <c r="V159" s="179"/>
      <c r="W159" s="180"/>
      <c r="X159" s="181"/>
      <c r="Y159" s="181"/>
      <c r="Z159" s="182"/>
    </row>
    <row r="160" spans="3:26" ht="20.100000000000001" customHeight="1" x14ac:dyDescent="0.25">
      <c r="C160" s="176"/>
      <c r="D160" s="176"/>
      <c r="E160" s="140"/>
      <c r="F160" s="140"/>
      <c r="G160" s="140"/>
      <c r="H160" s="140"/>
      <c r="I160" s="140"/>
      <c r="J160" s="140"/>
      <c r="K160" s="140"/>
      <c r="L160" s="140"/>
      <c r="M160" s="177"/>
      <c r="N160" s="140"/>
      <c r="O160" s="177"/>
      <c r="P160" s="140"/>
      <c r="Q160" s="178"/>
      <c r="R160" s="178"/>
      <c r="S160" s="178"/>
      <c r="T160" s="178"/>
      <c r="U160" s="179"/>
      <c r="V160" s="179"/>
      <c r="W160" s="180"/>
      <c r="X160" s="181"/>
      <c r="Y160" s="181"/>
      <c r="Z160" s="182"/>
    </row>
    <row r="161" spans="3:26" ht="20.100000000000001" customHeight="1" x14ac:dyDescent="0.25">
      <c r="C161" s="176"/>
      <c r="D161" s="176"/>
      <c r="E161" s="140"/>
      <c r="F161" s="140"/>
      <c r="G161" s="140"/>
      <c r="H161" s="140"/>
      <c r="I161" s="140"/>
      <c r="J161" s="140"/>
      <c r="K161" s="140"/>
      <c r="L161" s="140"/>
      <c r="M161" s="177"/>
      <c r="N161" s="140"/>
      <c r="O161" s="177"/>
      <c r="P161" s="140"/>
      <c r="Q161" s="178"/>
      <c r="R161" s="178"/>
      <c r="S161" s="178"/>
      <c r="T161" s="178"/>
      <c r="U161" s="179"/>
      <c r="V161" s="179"/>
      <c r="W161" s="180"/>
      <c r="X161" s="181"/>
      <c r="Y161" s="181"/>
      <c r="Z161" s="182"/>
    </row>
    <row r="162" spans="3:26" ht="20.100000000000001" customHeight="1" x14ac:dyDescent="0.25">
      <c r="C162" s="176"/>
      <c r="D162" s="176"/>
      <c r="E162" s="140"/>
      <c r="F162" s="140"/>
      <c r="G162" s="140"/>
      <c r="H162" s="140"/>
      <c r="I162" s="140"/>
      <c r="J162" s="140"/>
      <c r="K162" s="140"/>
      <c r="L162" s="140"/>
      <c r="M162" s="177"/>
      <c r="N162" s="140"/>
      <c r="O162" s="177"/>
      <c r="P162" s="140"/>
      <c r="Q162" s="178"/>
      <c r="R162" s="178"/>
      <c r="S162" s="178"/>
      <c r="T162" s="178"/>
      <c r="U162" s="179"/>
      <c r="V162" s="179"/>
      <c r="W162" s="180"/>
      <c r="X162" s="181"/>
      <c r="Y162" s="181"/>
      <c r="Z162" s="182"/>
    </row>
    <row r="163" spans="3:26" ht="20.100000000000001" customHeight="1" x14ac:dyDescent="0.25">
      <c r="C163" s="176"/>
      <c r="D163" s="176"/>
      <c r="E163" s="140"/>
      <c r="F163" s="140"/>
      <c r="G163" s="140"/>
      <c r="H163" s="140"/>
      <c r="I163" s="140"/>
      <c r="J163" s="140"/>
      <c r="K163" s="140"/>
      <c r="L163" s="140"/>
      <c r="M163" s="177"/>
      <c r="N163" s="140"/>
      <c r="O163" s="177"/>
      <c r="P163" s="140"/>
      <c r="Q163" s="178"/>
      <c r="R163" s="178"/>
      <c r="S163" s="178"/>
      <c r="T163" s="178"/>
      <c r="U163" s="179"/>
      <c r="V163" s="179"/>
      <c r="W163" s="180"/>
      <c r="X163" s="181"/>
      <c r="Y163" s="181"/>
      <c r="Z163" s="182"/>
    </row>
    <row r="164" spans="3:26" ht="20.100000000000001" customHeight="1" x14ac:dyDescent="0.25">
      <c r="C164" s="176"/>
      <c r="D164" s="176"/>
      <c r="E164" s="140"/>
      <c r="F164" s="140"/>
      <c r="G164" s="140"/>
      <c r="H164" s="140"/>
      <c r="I164" s="140"/>
      <c r="J164" s="140"/>
      <c r="K164" s="140"/>
      <c r="L164" s="140"/>
      <c r="M164" s="177"/>
      <c r="N164" s="140"/>
      <c r="O164" s="177"/>
      <c r="P164" s="140"/>
      <c r="Q164" s="178"/>
      <c r="R164" s="178"/>
      <c r="S164" s="178"/>
      <c r="T164" s="178"/>
      <c r="U164" s="179"/>
      <c r="V164" s="179"/>
      <c r="W164" s="180"/>
      <c r="X164" s="181"/>
      <c r="Y164" s="181"/>
      <c r="Z164" s="182"/>
    </row>
    <row r="165" spans="3:26" ht="20.100000000000001" customHeight="1" x14ac:dyDescent="0.25">
      <c r="C165" s="176"/>
      <c r="D165" s="176"/>
      <c r="E165" s="140"/>
      <c r="F165" s="140"/>
      <c r="G165" s="140"/>
      <c r="H165" s="140"/>
      <c r="I165" s="140"/>
      <c r="J165" s="140"/>
      <c r="K165" s="140"/>
      <c r="L165" s="140"/>
      <c r="M165" s="177"/>
      <c r="N165" s="140"/>
      <c r="O165" s="177"/>
      <c r="P165" s="140"/>
      <c r="Q165" s="178"/>
      <c r="R165" s="178"/>
      <c r="S165" s="178"/>
      <c r="T165" s="178"/>
      <c r="U165" s="179"/>
      <c r="V165" s="179"/>
      <c r="W165" s="180"/>
      <c r="X165" s="181"/>
      <c r="Y165" s="181"/>
      <c r="Z165" s="182"/>
    </row>
    <row r="166" spans="3:26" ht="20.100000000000001" customHeight="1" x14ac:dyDescent="0.25">
      <c r="C166" s="176"/>
      <c r="D166" s="176"/>
      <c r="E166" s="140"/>
      <c r="F166" s="140"/>
      <c r="G166" s="140"/>
      <c r="H166" s="140"/>
      <c r="I166" s="140"/>
      <c r="J166" s="140"/>
      <c r="K166" s="140"/>
      <c r="L166" s="140"/>
      <c r="M166" s="177"/>
      <c r="N166" s="140"/>
      <c r="O166" s="177"/>
      <c r="P166" s="140"/>
      <c r="Q166" s="178"/>
      <c r="R166" s="178"/>
      <c r="S166" s="178"/>
      <c r="T166" s="178"/>
      <c r="U166" s="179"/>
      <c r="V166" s="179"/>
      <c r="W166" s="180"/>
      <c r="X166" s="181"/>
      <c r="Y166" s="181"/>
      <c r="Z166" s="182"/>
    </row>
    <row r="167" spans="3:26" ht="20.100000000000001" customHeight="1" x14ac:dyDescent="0.25">
      <c r="C167" s="176"/>
      <c r="D167" s="176"/>
      <c r="E167" s="140"/>
      <c r="F167" s="140"/>
      <c r="G167" s="140"/>
      <c r="H167" s="140"/>
      <c r="I167" s="140"/>
      <c r="J167" s="140"/>
      <c r="K167" s="140"/>
      <c r="L167" s="140"/>
      <c r="M167" s="177"/>
      <c r="N167" s="140"/>
      <c r="O167" s="177"/>
      <c r="P167" s="140"/>
      <c r="Q167" s="178"/>
      <c r="R167" s="178"/>
      <c r="S167" s="178"/>
      <c r="T167" s="178"/>
      <c r="U167" s="179"/>
      <c r="V167" s="179"/>
      <c r="W167" s="180"/>
      <c r="X167" s="181"/>
      <c r="Y167" s="181"/>
      <c r="Z167" s="182"/>
    </row>
    <row r="168" spans="3:26" ht="20.100000000000001" customHeight="1" x14ac:dyDescent="0.25">
      <c r="C168" s="176"/>
      <c r="D168" s="176"/>
      <c r="E168" s="140"/>
      <c r="F168" s="140"/>
      <c r="G168" s="140"/>
      <c r="H168" s="140"/>
      <c r="I168" s="140"/>
      <c r="J168" s="140"/>
      <c r="K168" s="140"/>
      <c r="L168" s="140"/>
      <c r="M168" s="177"/>
      <c r="N168" s="140"/>
      <c r="O168" s="177"/>
      <c r="P168" s="140"/>
      <c r="Q168" s="178"/>
      <c r="R168" s="178"/>
      <c r="S168" s="178"/>
      <c r="T168" s="178"/>
      <c r="U168" s="179"/>
      <c r="V168" s="179"/>
      <c r="W168" s="180"/>
      <c r="X168" s="181"/>
      <c r="Y168" s="181"/>
      <c r="Z168" s="182"/>
    </row>
    <row r="169" spans="3:26" ht="20.100000000000001" customHeight="1" x14ac:dyDescent="0.25">
      <c r="C169" s="176"/>
      <c r="D169" s="176"/>
      <c r="E169" s="140"/>
      <c r="F169" s="140"/>
      <c r="G169" s="140"/>
      <c r="H169" s="140"/>
      <c r="I169" s="140"/>
      <c r="J169" s="140"/>
      <c r="K169" s="140"/>
      <c r="L169" s="140"/>
      <c r="M169" s="177"/>
      <c r="N169" s="140"/>
      <c r="O169" s="177"/>
      <c r="P169" s="140"/>
      <c r="Q169" s="178"/>
      <c r="R169" s="178"/>
      <c r="S169" s="178"/>
      <c r="T169" s="178"/>
      <c r="U169" s="179"/>
      <c r="V169" s="179"/>
      <c r="W169" s="180"/>
      <c r="X169" s="181"/>
      <c r="Y169" s="181"/>
      <c r="Z169" s="182"/>
    </row>
    <row r="170" spans="3:26" ht="20.100000000000001" customHeight="1" x14ac:dyDescent="0.25">
      <c r="C170" s="176"/>
      <c r="D170" s="176"/>
      <c r="E170" s="140"/>
      <c r="F170" s="140"/>
      <c r="G170" s="140"/>
      <c r="H170" s="140"/>
      <c r="I170" s="140"/>
      <c r="J170" s="140"/>
      <c r="K170" s="140"/>
      <c r="L170" s="140"/>
      <c r="M170" s="177"/>
      <c r="N170" s="140"/>
      <c r="O170" s="177"/>
      <c r="P170" s="140"/>
      <c r="Q170" s="178"/>
      <c r="R170" s="178"/>
      <c r="S170" s="178"/>
      <c r="T170" s="178"/>
      <c r="U170" s="179"/>
      <c r="V170" s="179"/>
      <c r="W170" s="180"/>
      <c r="X170" s="181"/>
      <c r="Y170" s="181"/>
      <c r="Z170" s="182"/>
    </row>
    <row r="171" spans="3:26" ht="20.100000000000001" customHeight="1" x14ac:dyDescent="0.25">
      <c r="C171" s="176"/>
      <c r="D171" s="176"/>
      <c r="E171" s="140"/>
      <c r="F171" s="140"/>
      <c r="G171" s="140"/>
      <c r="H171" s="140"/>
      <c r="I171" s="140"/>
      <c r="J171" s="140"/>
      <c r="K171" s="140"/>
      <c r="L171" s="140"/>
      <c r="M171" s="177"/>
      <c r="N171" s="140"/>
      <c r="O171" s="177"/>
      <c r="P171" s="140"/>
      <c r="Q171" s="178"/>
      <c r="R171" s="178"/>
      <c r="S171" s="178"/>
      <c r="T171" s="178"/>
      <c r="U171" s="179"/>
      <c r="V171" s="179"/>
      <c r="W171" s="180"/>
      <c r="X171" s="181"/>
      <c r="Y171" s="181"/>
      <c r="Z171" s="182"/>
    </row>
    <row r="172" spans="3:26" ht="20.100000000000001" customHeight="1" x14ac:dyDescent="0.25">
      <c r="C172" s="176"/>
      <c r="D172" s="176"/>
      <c r="E172" s="140"/>
      <c r="F172" s="140"/>
      <c r="G172" s="140"/>
      <c r="H172" s="140"/>
      <c r="I172" s="140"/>
      <c r="J172" s="140"/>
      <c r="K172" s="140"/>
      <c r="L172" s="140"/>
      <c r="M172" s="177"/>
      <c r="N172" s="140"/>
      <c r="O172" s="177"/>
      <c r="P172" s="140"/>
      <c r="Q172" s="178"/>
      <c r="R172" s="178"/>
      <c r="S172" s="178"/>
      <c r="T172" s="178"/>
      <c r="U172" s="179"/>
      <c r="V172" s="179"/>
      <c r="W172" s="180"/>
      <c r="X172" s="181"/>
      <c r="Y172" s="181"/>
      <c r="Z172" s="182"/>
    </row>
    <row r="173" spans="3:26" ht="20.100000000000001" customHeight="1" x14ac:dyDescent="0.25">
      <c r="C173" s="176"/>
      <c r="D173" s="176"/>
      <c r="E173" s="140"/>
      <c r="F173" s="140"/>
      <c r="G173" s="140"/>
      <c r="H173" s="140"/>
      <c r="I173" s="140"/>
      <c r="J173" s="140"/>
      <c r="K173" s="140"/>
      <c r="L173" s="140"/>
      <c r="M173" s="177"/>
      <c r="N173" s="140"/>
      <c r="O173" s="177"/>
      <c r="P173" s="140"/>
      <c r="Q173" s="178"/>
      <c r="R173" s="178"/>
      <c r="S173" s="178"/>
      <c r="T173" s="178"/>
      <c r="U173" s="179"/>
      <c r="V173" s="179"/>
      <c r="W173" s="180"/>
      <c r="X173" s="181"/>
      <c r="Y173" s="181"/>
      <c r="Z173" s="182"/>
    </row>
    <row r="174" spans="3:26" ht="20.100000000000001" customHeight="1" x14ac:dyDescent="0.25">
      <c r="C174" s="176"/>
      <c r="D174" s="176"/>
      <c r="E174" s="140"/>
      <c r="F174" s="140"/>
      <c r="G174" s="140"/>
      <c r="H174" s="140"/>
      <c r="I174" s="140"/>
      <c r="J174" s="140"/>
      <c r="K174" s="140"/>
      <c r="L174" s="140"/>
      <c r="M174" s="177"/>
      <c r="N174" s="140"/>
      <c r="O174" s="177"/>
      <c r="P174" s="140"/>
      <c r="Q174" s="178"/>
      <c r="R174" s="178"/>
      <c r="S174" s="178"/>
      <c r="T174" s="178"/>
      <c r="U174" s="179"/>
      <c r="V174" s="179"/>
      <c r="W174" s="180"/>
      <c r="X174" s="181"/>
      <c r="Y174" s="181"/>
      <c r="Z174" s="182"/>
    </row>
    <row r="175" spans="3:26" ht="20.100000000000001" customHeight="1" x14ac:dyDescent="0.25">
      <c r="C175" s="176"/>
      <c r="D175" s="176"/>
      <c r="E175" s="140"/>
      <c r="F175" s="140"/>
      <c r="G175" s="140"/>
      <c r="H175" s="140"/>
      <c r="I175" s="140"/>
      <c r="J175" s="140"/>
      <c r="K175" s="140"/>
      <c r="L175" s="140"/>
      <c r="M175" s="177"/>
      <c r="N175" s="140"/>
      <c r="O175" s="177"/>
      <c r="P175" s="140"/>
      <c r="Q175" s="178"/>
      <c r="R175" s="178"/>
      <c r="S175" s="178"/>
      <c r="T175" s="178"/>
      <c r="U175" s="179"/>
      <c r="V175" s="179"/>
      <c r="W175" s="180"/>
      <c r="X175" s="181"/>
      <c r="Y175" s="181"/>
      <c r="Z175" s="182"/>
    </row>
    <row r="176" spans="3:26" ht="20.100000000000001" customHeight="1" x14ac:dyDescent="0.25">
      <c r="C176" s="176"/>
      <c r="D176" s="176"/>
      <c r="E176" s="140"/>
      <c r="F176" s="140"/>
      <c r="G176" s="140"/>
      <c r="H176" s="140"/>
      <c r="I176" s="140"/>
      <c r="J176" s="140"/>
      <c r="K176" s="140"/>
      <c r="L176" s="140"/>
      <c r="M176" s="177"/>
      <c r="N176" s="140"/>
      <c r="O176" s="177"/>
      <c r="P176" s="140"/>
      <c r="Q176" s="178"/>
      <c r="R176" s="178"/>
      <c r="S176" s="178"/>
      <c r="T176" s="178"/>
      <c r="U176" s="179"/>
      <c r="V176" s="179"/>
      <c r="W176" s="180"/>
      <c r="X176" s="181"/>
      <c r="Y176" s="181"/>
      <c r="Z176" s="182"/>
    </row>
    <row r="177" spans="3:26" ht="20.100000000000001" customHeight="1" x14ac:dyDescent="0.25">
      <c r="C177" s="176"/>
      <c r="D177" s="176"/>
      <c r="E177" s="140"/>
      <c r="F177" s="140"/>
      <c r="G177" s="140"/>
      <c r="H177" s="140"/>
      <c r="I177" s="140"/>
      <c r="J177" s="140"/>
      <c r="K177" s="140"/>
      <c r="L177" s="140"/>
      <c r="M177" s="177"/>
      <c r="N177" s="140"/>
      <c r="O177" s="177"/>
      <c r="P177" s="140"/>
      <c r="Q177" s="178"/>
      <c r="R177" s="178"/>
      <c r="S177" s="178"/>
      <c r="T177" s="178"/>
      <c r="U177" s="179"/>
      <c r="V177" s="179"/>
      <c r="W177" s="180"/>
      <c r="X177" s="181"/>
      <c r="Y177" s="181"/>
      <c r="Z177" s="182"/>
    </row>
    <row r="178" spans="3:26" ht="20.100000000000001" customHeight="1" x14ac:dyDescent="0.25">
      <c r="C178" s="176"/>
      <c r="D178" s="176"/>
      <c r="E178" s="140"/>
      <c r="F178" s="140"/>
      <c r="G178" s="140"/>
      <c r="H178" s="140"/>
      <c r="I178" s="140"/>
      <c r="J178" s="140"/>
      <c r="K178" s="140"/>
      <c r="L178" s="140"/>
      <c r="M178" s="177"/>
      <c r="N178" s="140"/>
      <c r="O178" s="177"/>
      <c r="P178" s="140"/>
      <c r="Q178" s="178"/>
      <c r="R178" s="178"/>
      <c r="S178" s="178"/>
      <c r="T178" s="178"/>
      <c r="U178" s="179"/>
      <c r="V178" s="179"/>
      <c r="W178" s="180"/>
      <c r="X178" s="181"/>
      <c r="Y178" s="181"/>
      <c r="Z178" s="182"/>
    </row>
    <row r="179" spans="3:26" ht="20.100000000000001" customHeight="1" x14ac:dyDescent="0.25">
      <c r="C179" s="176"/>
      <c r="D179" s="176"/>
      <c r="E179" s="140"/>
      <c r="F179" s="140"/>
      <c r="G179" s="140"/>
      <c r="H179" s="140"/>
      <c r="I179" s="140"/>
      <c r="J179" s="140"/>
      <c r="K179" s="140"/>
      <c r="L179" s="140"/>
      <c r="M179" s="177"/>
      <c r="N179" s="140"/>
      <c r="O179" s="177"/>
      <c r="P179" s="140"/>
      <c r="Q179" s="178"/>
      <c r="R179" s="178"/>
      <c r="S179" s="178"/>
      <c r="T179" s="178"/>
      <c r="U179" s="179"/>
      <c r="V179" s="179"/>
      <c r="W179" s="180"/>
      <c r="X179" s="181"/>
      <c r="Y179" s="181"/>
      <c r="Z179" s="182"/>
    </row>
    <row r="180" spans="3:26" ht="20.100000000000001" customHeight="1" x14ac:dyDescent="0.25">
      <c r="C180" s="176"/>
      <c r="D180" s="176"/>
      <c r="E180" s="140"/>
      <c r="F180" s="140"/>
      <c r="G180" s="140"/>
      <c r="H180" s="140"/>
      <c r="I180" s="140"/>
      <c r="J180" s="140"/>
      <c r="K180" s="140"/>
      <c r="L180" s="140"/>
      <c r="M180" s="177"/>
      <c r="N180" s="140"/>
      <c r="O180" s="177"/>
      <c r="P180" s="140"/>
      <c r="Q180" s="178"/>
      <c r="R180" s="178"/>
      <c r="S180" s="178"/>
      <c r="T180" s="178"/>
      <c r="U180" s="179"/>
      <c r="V180" s="179"/>
      <c r="W180" s="180"/>
      <c r="X180" s="181"/>
      <c r="Y180" s="181"/>
      <c r="Z180" s="182"/>
    </row>
    <row r="181" spans="3:26" ht="20.100000000000001" customHeight="1" x14ac:dyDescent="0.25">
      <c r="C181" s="176"/>
      <c r="D181" s="176"/>
      <c r="E181" s="140"/>
      <c r="F181" s="140"/>
      <c r="G181" s="140"/>
      <c r="H181" s="140"/>
      <c r="I181" s="140"/>
      <c r="J181" s="140"/>
      <c r="K181" s="140"/>
      <c r="L181" s="140"/>
      <c r="M181" s="177"/>
      <c r="N181" s="140"/>
      <c r="O181" s="177"/>
      <c r="P181" s="140"/>
      <c r="Q181" s="178"/>
      <c r="R181" s="178"/>
      <c r="S181" s="178"/>
      <c r="T181" s="178"/>
      <c r="U181" s="179"/>
      <c r="V181" s="179"/>
      <c r="W181" s="180"/>
      <c r="X181" s="181"/>
      <c r="Y181" s="181"/>
      <c r="Z181" s="182"/>
    </row>
    <row r="182" spans="3:26" ht="20.100000000000001" customHeight="1" x14ac:dyDescent="0.25">
      <c r="C182" s="176"/>
      <c r="D182" s="176"/>
      <c r="E182" s="140"/>
      <c r="F182" s="140"/>
      <c r="G182" s="140"/>
      <c r="H182" s="140"/>
      <c r="I182" s="140"/>
      <c r="J182" s="140"/>
      <c r="K182" s="140"/>
      <c r="L182" s="140"/>
      <c r="M182" s="177"/>
      <c r="N182" s="140"/>
      <c r="O182" s="177"/>
      <c r="P182" s="140"/>
      <c r="Q182" s="178"/>
      <c r="R182" s="178"/>
      <c r="S182" s="178"/>
      <c r="T182" s="178"/>
      <c r="U182" s="179"/>
      <c r="V182" s="179"/>
      <c r="W182" s="180"/>
      <c r="X182" s="181"/>
      <c r="Y182" s="181"/>
      <c r="Z182" s="182"/>
    </row>
    <row r="183" spans="3:26" ht="20.100000000000001" customHeight="1" x14ac:dyDescent="0.25">
      <c r="C183" s="176"/>
      <c r="D183" s="176"/>
      <c r="E183" s="140"/>
      <c r="F183" s="140"/>
      <c r="G183" s="140"/>
      <c r="H183" s="140"/>
      <c r="I183" s="140"/>
      <c r="J183" s="140"/>
      <c r="K183" s="140"/>
      <c r="L183" s="140"/>
      <c r="M183" s="177"/>
      <c r="N183" s="140"/>
      <c r="O183" s="177"/>
      <c r="P183" s="140"/>
      <c r="Q183" s="178"/>
      <c r="R183" s="178"/>
      <c r="S183" s="178"/>
      <c r="T183" s="178"/>
      <c r="U183" s="179"/>
      <c r="V183" s="179"/>
      <c r="W183" s="180"/>
      <c r="X183" s="181"/>
      <c r="Y183" s="181"/>
      <c r="Z183" s="182"/>
    </row>
    <row r="184" spans="3:26" ht="20.100000000000001" customHeight="1" x14ac:dyDescent="0.25">
      <c r="C184" s="176"/>
      <c r="D184" s="176"/>
      <c r="E184" s="140"/>
      <c r="F184" s="140"/>
      <c r="G184" s="140"/>
      <c r="H184" s="140"/>
      <c r="I184" s="140"/>
      <c r="J184" s="140"/>
      <c r="K184" s="140"/>
      <c r="L184" s="140"/>
      <c r="M184" s="177"/>
      <c r="N184" s="140"/>
      <c r="O184" s="177"/>
      <c r="P184" s="140"/>
      <c r="Q184" s="178"/>
      <c r="R184" s="178"/>
      <c r="S184" s="178"/>
      <c r="T184" s="178"/>
      <c r="U184" s="179"/>
      <c r="V184" s="179"/>
      <c r="W184" s="180"/>
      <c r="X184" s="181"/>
      <c r="Y184" s="181"/>
      <c r="Z184" s="182"/>
    </row>
    <row r="185" spans="3:26" ht="20.100000000000001" customHeight="1" x14ac:dyDescent="0.25">
      <c r="C185" s="176"/>
      <c r="D185" s="176"/>
      <c r="E185" s="140"/>
      <c r="F185" s="140"/>
      <c r="G185" s="140"/>
      <c r="H185" s="140"/>
      <c r="I185" s="140"/>
      <c r="J185" s="140"/>
      <c r="K185" s="140"/>
      <c r="L185" s="140"/>
      <c r="M185" s="177"/>
      <c r="N185" s="140"/>
      <c r="O185" s="177"/>
      <c r="P185" s="140"/>
      <c r="Q185" s="178"/>
      <c r="R185" s="178"/>
      <c r="S185" s="178"/>
      <c r="T185" s="178"/>
      <c r="U185" s="179"/>
      <c r="V185" s="179"/>
      <c r="W185" s="180"/>
      <c r="X185" s="181"/>
      <c r="Y185" s="181"/>
      <c r="Z185" s="182"/>
    </row>
    <row r="186" spans="3:26" ht="20.100000000000001" customHeight="1" x14ac:dyDescent="0.25">
      <c r="C186" s="176"/>
      <c r="D186" s="176"/>
      <c r="E186" s="140"/>
      <c r="F186" s="140"/>
      <c r="G186" s="140"/>
      <c r="H186" s="140"/>
      <c r="I186" s="140"/>
      <c r="J186" s="140"/>
      <c r="K186" s="140"/>
      <c r="L186" s="140"/>
      <c r="M186" s="177"/>
      <c r="N186" s="140"/>
      <c r="O186" s="177"/>
      <c r="P186" s="140"/>
      <c r="Q186" s="178"/>
      <c r="R186" s="178"/>
      <c r="S186" s="178"/>
      <c r="T186" s="178"/>
      <c r="U186" s="179"/>
      <c r="V186" s="179"/>
      <c r="W186" s="180"/>
      <c r="X186" s="181"/>
      <c r="Y186" s="181"/>
      <c r="Z186" s="182"/>
    </row>
    <row r="187" spans="3:26" ht="20.100000000000001" customHeight="1" x14ac:dyDescent="0.25">
      <c r="C187" s="176"/>
      <c r="D187" s="176"/>
      <c r="E187" s="140"/>
      <c r="F187" s="140"/>
      <c r="G187" s="140"/>
      <c r="H187" s="140"/>
      <c r="I187" s="140"/>
      <c r="J187" s="140"/>
      <c r="K187" s="140"/>
      <c r="L187" s="140"/>
      <c r="M187" s="177"/>
      <c r="N187" s="140"/>
      <c r="O187" s="177"/>
      <c r="P187" s="140"/>
      <c r="Q187" s="178"/>
      <c r="R187" s="178"/>
      <c r="S187" s="178"/>
      <c r="T187" s="178"/>
      <c r="U187" s="179"/>
      <c r="V187" s="179"/>
      <c r="W187" s="180"/>
      <c r="X187" s="181"/>
      <c r="Y187" s="181"/>
      <c r="Z187" s="182"/>
    </row>
    <row r="188" spans="3:26" ht="20.100000000000001" customHeight="1" x14ac:dyDescent="0.25">
      <c r="C188" s="176"/>
      <c r="D188" s="176"/>
      <c r="E188" s="140"/>
      <c r="F188" s="140"/>
      <c r="G188" s="140"/>
      <c r="H188" s="140"/>
      <c r="I188" s="140"/>
      <c r="J188" s="140"/>
      <c r="K188" s="140"/>
      <c r="L188" s="140"/>
      <c r="M188" s="177"/>
      <c r="N188" s="140"/>
      <c r="O188" s="177"/>
      <c r="P188" s="140"/>
      <c r="Q188" s="178"/>
      <c r="R188" s="178"/>
      <c r="S188" s="178"/>
      <c r="T188" s="178"/>
      <c r="U188" s="179"/>
      <c r="V188" s="179"/>
      <c r="W188" s="180"/>
      <c r="X188" s="181"/>
      <c r="Y188" s="181"/>
      <c r="Z188" s="182"/>
    </row>
    <row r="189" spans="3:26" ht="20.100000000000001" customHeight="1" x14ac:dyDescent="0.25">
      <c r="C189" s="176"/>
      <c r="D189" s="176"/>
      <c r="E189" s="140"/>
      <c r="F189" s="140"/>
      <c r="G189" s="140"/>
      <c r="H189" s="140"/>
      <c r="I189" s="140"/>
      <c r="J189" s="140"/>
      <c r="K189" s="140"/>
      <c r="L189" s="140"/>
      <c r="M189" s="177"/>
      <c r="N189" s="140"/>
      <c r="O189" s="177"/>
      <c r="P189" s="140"/>
      <c r="Q189" s="178"/>
      <c r="R189" s="178"/>
      <c r="S189" s="178"/>
      <c r="T189" s="178"/>
      <c r="U189" s="179"/>
      <c r="V189" s="179"/>
      <c r="W189" s="180"/>
      <c r="X189" s="181"/>
      <c r="Y189" s="181"/>
      <c r="Z189" s="182"/>
    </row>
    <row r="190" spans="3:26" ht="20.100000000000001" customHeight="1" x14ac:dyDescent="0.25">
      <c r="C190" s="176"/>
      <c r="D190" s="176"/>
      <c r="E190" s="140"/>
      <c r="F190" s="140"/>
      <c r="G190" s="140"/>
      <c r="H190" s="140"/>
      <c r="I190" s="140"/>
      <c r="J190" s="140"/>
      <c r="K190" s="140"/>
      <c r="L190" s="140"/>
      <c r="M190" s="177"/>
      <c r="N190" s="140"/>
      <c r="O190" s="177"/>
      <c r="P190" s="140"/>
      <c r="Q190" s="178"/>
      <c r="R190" s="178"/>
      <c r="S190" s="178"/>
      <c r="T190" s="178"/>
      <c r="U190" s="179"/>
      <c r="V190" s="179"/>
      <c r="W190" s="180"/>
      <c r="X190" s="181"/>
      <c r="Y190" s="181"/>
      <c r="Z190" s="182"/>
    </row>
    <row r="191" spans="3:26" ht="20.100000000000001" customHeight="1" x14ac:dyDescent="0.25">
      <c r="C191" s="176"/>
      <c r="D191" s="176"/>
      <c r="E191" s="140"/>
      <c r="F191" s="140"/>
      <c r="G191" s="140"/>
      <c r="H191" s="140"/>
      <c r="I191" s="140"/>
      <c r="J191" s="140"/>
      <c r="K191" s="140"/>
      <c r="L191" s="140"/>
      <c r="M191" s="177"/>
      <c r="N191" s="140"/>
      <c r="O191" s="177"/>
      <c r="P191" s="140"/>
      <c r="Q191" s="178"/>
      <c r="R191" s="178"/>
      <c r="S191" s="178"/>
      <c r="T191" s="178"/>
      <c r="U191" s="179"/>
      <c r="V191" s="179"/>
      <c r="W191" s="180"/>
      <c r="X191" s="181"/>
      <c r="Y191" s="181"/>
      <c r="Z191" s="182"/>
    </row>
    <row r="192" spans="3:26" ht="20.100000000000001" customHeight="1" x14ac:dyDescent="0.25">
      <c r="C192" s="176"/>
      <c r="D192" s="176"/>
      <c r="E192" s="140"/>
      <c r="F192" s="140"/>
      <c r="G192" s="140"/>
      <c r="H192" s="140"/>
      <c r="I192" s="140"/>
      <c r="J192" s="140"/>
      <c r="K192" s="140"/>
      <c r="L192" s="140"/>
      <c r="M192" s="177"/>
      <c r="N192" s="140"/>
      <c r="O192" s="177"/>
      <c r="P192" s="140"/>
      <c r="Q192" s="178"/>
      <c r="R192" s="178"/>
      <c r="S192" s="178"/>
      <c r="T192" s="178"/>
      <c r="U192" s="179"/>
      <c r="V192" s="179"/>
      <c r="W192" s="180"/>
      <c r="X192" s="181"/>
      <c r="Y192" s="181"/>
      <c r="Z192" s="182"/>
    </row>
    <row r="193" spans="3:26" ht="20.100000000000001" customHeight="1" x14ac:dyDescent="0.25">
      <c r="C193" s="176"/>
      <c r="D193" s="176"/>
      <c r="E193" s="140"/>
      <c r="F193" s="140"/>
      <c r="G193" s="140"/>
      <c r="H193" s="140"/>
      <c r="I193" s="140"/>
      <c r="J193" s="140"/>
      <c r="K193" s="140"/>
      <c r="L193" s="140"/>
      <c r="M193" s="177"/>
      <c r="N193" s="140"/>
      <c r="O193" s="177"/>
      <c r="P193" s="140"/>
      <c r="Q193" s="178"/>
      <c r="R193" s="178"/>
      <c r="S193" s="178"/>
      <c r="T193" s="178"/>
      <c r="U193" s="179"/>
      <c r="V193" s="179"/>
      <c r="W193" s="180"/>
      <c r="X193" s="181"/>
      <c r="Y193" s="181"/>
      <c r="Z193" s="182"/>
    </row>
    <row r="194" spans="3:26" ht="20.100000000000001" customHeight="1" x14ac:dyDescent="0.25">
      <c r="C194" s="176"/>
      <c r="D194" s="176"/>
      <c r="E194" s="140"/>
      <c r="F194" s="140"/>
      <c r="G194" s="140"/>
      <c r="H194" s="140"/>
      <c r="I194" s="140"/>
      <c r="J194" s="140"/>
      <c r="K194" s="140"/>
      <c r="L194" s="140"/>
      <c r="M194" s="177"/>
      <c r="N194" s="140"/>
      <c r="O194" s="177"/>
      <c r="P194" s="140"/>
      <c r="Q194" s="178"/>
      <c r="R194" s="178"/>
      <c r="S194" s="178"/>
      <c r="T194" s="178"/>
      <c r="U194" s="179"/>
      <c r="V194" s="179"/>
      <c r="W194" s="180"/>
      <c r="X194" s="181"/>
      <c r="Y194" s="181"/>
      <c r="Z194" s="182"/>
    </row>
    <row r="195" spans="3:26" ht="20.100000000000001" customHeight="1" x14ac:dyDescent="0.25">
      <c r="C195" s="176"/>
      <c r="D195" s="176"/>
      <c r="E195" s="140"/>
      <c r="F195" s="140"/>
      <c r="G195" s="140"/>
      <c r="H195" s="140"/>
      <c r="I195" s="140"/>
      <c r="J195" s="140"/>
      <c r="K195" s="140"/>
      <c r="L195" s="140"/>
      <c r="M195" s="177"/>
      <c r="N195" s="140"/>
      <c r="O195" s="177"/>
      <c r="P195" s="140"/>
      <c r="Q195" s="178"/>
      <c r="R195" s="178"/>
      <c r="S195" s="178"/>
      <c r="T195" s="178"/>
      <c r="U195" s="179"/>
      <c r="V195" s="179"/>
      <c r="W195" s="180"/>
      <c r="X195" s="181"/>
      <c r="Y195" s="181"/>
      <c r="Z195" s="182"/>
    </row>
    <row r="196" spans="3:26" ht="20.100000000000001" customHeight="1" x14ac:dyDescent="0.25">
      <c r="C196" s="176"/>
      <c r="D196" s="176"/>
      <c r="E196" s="140"/>
      <c r="F196" s="140"/>
      <c r="G196" s="140"/>
      <c r="H196" s="140"/>
      <c r="I196" s="140"/>
      <c r="J196" s="140"/>
      <c r="K196" s="140"/>
      <c r="L196" s="140"/>
      <c r="M196" s="177"/>
      <c r="N196" s="140"/>
      <c r="O196" s="177"/>
      <c r="P196" s="140"/>
      <c r="Q196" s="178"/>
      <c r="R196" s="178"/>
      <c r="S196" s="178"/>
      <c r="T196" s="178"/>
      <c r="U196" s="179"/>
      <c r="V196" s="179"/>
      <c r="W196" s="180"/>
      <c r="X196" s="181"/>
      <c r="Y196" s="181"/>
      <c r="Z196" s="182"/>
    </row>
    <row r="197" spans="3:26" ht="20.100000000000001" customHeight="1" x14ac:dyDescent="0.25">
      <c r="C197" s="176"/>
      <c r="D197" s="176"/>
      <c r="E197" s="140"/>
      <c r="F197" s="140"/>
      <c r="G197" s="140"/>
      <c r="H197" s="140"/>
      <c r="I197" s="140"/>
      <c r="J197" s="140"/>
      <c r="K197" s="140"/>
      <c r="L197" s="140"/>
      <c r="M197" s="177"/>
      <c r="N197" s="140"/>
      <c r="O197" s="177"/>
      <c r="P197" s="140"/>
      <c r="Q197" s="178"/>
      <c r="R197" s="178"/>
      <c r="S197" s="178"/>
      <c r="T197" s="178"/>
      <c r="U197" s="179"/>
      <c r="V197" s="179"/>
      <c r="W197" s="180"/>
      <c r="X197" s="181"/>
      <c r="Y197" s="181"/>
      <c r="Z197" s="182"/>
    </row>
    <row r="198" spans="3:26" ht="20.100000000000001" customHeight="1" x14ac:dyDescent="0.25">
      <c r="C198" s="176"/>
      <c r="D198" s="176"/>
      <c r="E198" s="140"/>
      <c r="F198" s="140"/>
      <c r="G198" s="140"/>
      <c r="H198" s="140"/>
      <c r="I198" s="140"/>
      <c r="J198" s="140"/>
      <c r="K198" s="140"/>
      <c r="L198" s="140"/>
      <c r="M198" s="177"/>
      <c r="N198" s="140"/>
      <c r="O198" s="177"/>
      <c r="P198" s="140"/>
      <c r="Q198" s="178"/>
      <c r="R198" s="178"/>
      <c r="S198" s="178"/>
      <c r="T198" s="178"/>
      <c r="U198" s="179"/>
      <c r="V198" s="179"/>
      <c r="W198" s="180"/>
      <c r="X198" s="181"/>
      <c r="Y198" s="181"/>
      <c r="Z198" s="182"/>
    </row>
    <row r="199" spans="3:26" ht="20.100000000000001" customHeight="1" x14ac:dyDescent="0.25">
      <c r="C199" s="176"/>
      <c r="D199" s="176"/>
      <c r="E199" s="140"/>
      <c r="F199" s="140"/>
      <c r="G199" s="140"/>
      <c r="H199" s="140"/>
      <c r="I199" s="140"/>
      <c r="J199" s="140"/>
      <c r="K199" s="140"/>
      <c r="L199" s="140"/>
      <c r="M199" s="177"/>
      <c r="N199" s="140"/>
      <c r="O199" s="177"/>
      <c r="P199" s="140"/>
      <c r="Q199" s="178"/>
      <c r="R199" s="178"/>
      <c r="S199" s="178"/>
      <c r="T199" s="178"/>
      <c r="U199" s="179"/>
      <c r="V199" s="179"/>
      <c r="W199" s="180"/>
      <c r="X199" s="181"/>
      <c r="Y199" s="181"/>
      <c r="Z199" s="182"/>
    </row>
    <row r="200" spans="3:26" ht="20.100000000000001" customHeight="1" x14ac:dyDescent="0.25">
      <c r="C200" s="176"/>
      <c r="D200" s="176"/>
      <c r="E200" s="140"/>
      <c r="F200" s="140"/>
      <c r="G200" s="140"/>
      <c r="H200" s="140"/>
      <c r="I200" s="140"/>
      <c r="J200" s="140"/>
      <c r="K200" s="140"/>
      <c r="L200" s="140"/>
      <c r="M200" s="177"/>
      <c r="N200" s="140"/>
      <c r="O200" s="177"/>
      <c r="P200" s="140"/>
      <c r="Q200" s="178"/>
      <c r="R200" s="178"/>
      <c r="S200" s="178"/>
      <c r="T200" s="178"/>
      <c r="U200" s="179"/>
      <c r="V200" s="179"/>
      <c r="W200" s="180"/>
      <c r="X200" s="181"/>
      <c r="Y200" s="181"/>
      <c r="Z200" s="182"/>
    </row>
    <row r="201" spans="3:26" ht="20.100000000000001" customHeight="1" x14ac:dyDescent="0.25">
      <c r="C201" s="176"/>
      <c r="D201" s="176"/>
      <c r="E201" s="140"/>
      <c r="F201" s="140"/>
      <c r="G201" s="140"/>
      <c r="H201" s="140"/>
      <c r="I201" s="140"/>
      <c r="J201" s="140"/>
      <c r="K201" s="140"/>
      <c r="L201" s="140"/>
      <c r="M201" s="177"/>
      <c r="N201" s="140"/>
      <c r="O201" s="177"/>
      <c r="P201" s="140"/>
      <c r="Q201" s="178"/>
      <c r="R201" s="178"/>
      <c r="S201" s="178"/>
      <c r="T201" s="178"/>
      <c r="U201" s="179"/>
      <c r="V201" s="179"/>
      <c r="W201" s="180"/>
      <c r="X201" s="181"/>
      <c r="Y201" s="181"/>
      <c r="Z201" s="182"/>
    </row>
    <row r="202" spans="3:26" ht="20.100000000000001" customHeight="1" x14ac:dyDescent="0.25">
      <c r="C202" s="176"/>
      <c r="D202" s="176"/>
      <c r="E202" s="140"/>
      <c r="F202" s="140"/>
      <c r="G202" s="140"/>
      <c r="H202" s="140"/>
      <c r="I202" s="140"/>
      <c r="J202" s="140"/>
      <c r="K202" s="140"/>
      <c r="L202" s="140"/>
      <c r="M202" s="177"/>
      <c r="N202" s="140"/>
      <c r="O202" s="177"/>
      <c r="P202" s="140"/>
      <c r="Q202" s="178"/>
      <c r="R202" s="178"/>
      <c r="S202" s="178"/>
      <c r="T202" s="178"/>
      <c r="U202" s="179"/>
      <c r="V202" s="179"/>
      <c r="W202" s="180"/>
      <c r="X202" s="181"/>
      <c r="Y202" s="181"/>
      <c r="Z202" s="182"/>
    </row>
    <row r="203" spans="3:26" ht="20.100000000000001" customHeight="1" x14ac:dyDescent="0.25">
      <c r="C203" s="176"/>
      <c r="D203" s="176"/>
      <c r="E203" s="140"/>
      <c r="F203" s="140"/>
      <c r="G203" s="140"/>
      <c r="H203" s="140"/>
      <c r="I203" s="140"/>
      <c r="J203" s="140"/>
      <c r="K203" s="140"/>
      <c r="L203" s="140"/>
      <c r="M203" s="177"/>
      <c r="N203" s="140"/>
      <c r="O203" s="177"/>
      <c r="P203" s="140"/>
      <c r="Q203" s="178"/>
      <c r="R203" s="178"/>
      <c r="S203" s="178"/>
      <c r="T203" s="178"/>
      <c r="U203" s="179"/>
      <c r="V203" s="179"/>
      <c r="W203" s="180"/>
      <c r="X203" s="181"/>
      <c r="Y203" s="181"/>
      <c r="Z203" s="182"/>
    </row>
    <row r="204" spans="3:26" ht="20.100000000000001" customHeight="1" x14ac:dyDescent="0.25">
      <c r="C204" s="176"/>
      <c r="D204" s="176"/>
      <c r="E204" s="140"/>
      <c r="F204" s="140"/>
      <c r="G204" s="140"/>
      <c r="H204" s="140"/>
      <c r="I204" s="140"/>
      <c r="J204" s="140"/>
      <c r="K204" s="140"/>
      <c r="L204" s="140"/>
      <c r="M204" s="177"/>
      <c r="N204" s="140"/>
      <c r="O204" s="177"/>
      <c r="P204" s="140"/>
      <c r="Q204" s="178"/>
      <c r="R204" s="178"/>
      <c r="S204" s="178"/>
      <c r="T204" s="178"/>
      <c r="U204" s="179"/>
      <c r="V204" s="179"/>
      <c r="W204" s="180"/>
      <c r="X204" s="181"/>
      <c r="Y204" s="181"/>
      <c r="Z204" s="182"/>
    </row>
    <row r="205" spans="3:26" ht="20.100000000000001" customHeight="1" x14ac:dyDescent="0.25">
      <c r="C205" s="176"/>
      <c r="D205" s="176"/>
      <c r="E205" s="140"/>
      <c r="F205" s="140"/>
      <c r="G205" s="140"/>
      <c r="H205" s="140"/>
      <c r="I205" s="140"/>
      <c r="J205" s="140"/>
      <c r="K205" s="140"/>
      <c r="L205" s="140"/>
      <c r="M205" s="177"/>
      <c r="N205" s="140"/>
      <c r="O205" s="177"/>
      <c r="P205" s="140"/>
      <c r="Q205" s="178"/>
      <c r="R205" s="178"/>
      <c r="S205" s="178"/>
      <c r="T205" s="178"/>
      <c r="U205" s="179"/>
      <c r="V205" s="179"/>
      <c r="W205" s="180"/>
      <c r="X205" s="181"/>
      <c r="Y205" s="181"/>
      <c r="Z205" s="182"/>
    </row>
    <row r="206" spans="3:26" ht="20.100000000000001" customHeight="1" x14ac:dyDescent="0.25">
      <c r="C206" s="176"/>
      <c r="D206" s="176"/>
      <c r="E206" s="140"/>
      <c r="F206" s="140"/>
      <c r="G206" s="140"/>
      <c r="H206" s="140"/>
      <c r="I206" s="140"/>
      <c r="J206" s="140"/>
      <c r="K206" s="140"/>
      <c r="L206" s="140"/>
      <c r="M206" s="177"/>
      <c r="N206" s="140"/>
      <c r="O206" s="177"/>
      <c r="P206" s="140"/>
      <c r="Q206" s="178"/>
      <c r="R206" s="178"/>
      <c r="S206" s="178"/>
      <c r="T206" s="178"/>
      <c r="U206" s="179"/>
      <c r="V206" s="179"/>
      <c r="W206" s="180"/>
      <c r="X206" s="181"/>
      <c r="Y206" s="181"/>
      <c r="Z206" s="182"/>
    </row>
    <row r="207" spans="3:26" ht="20.100000000000001" customHeight="1" x14ac:dyDescent="0.25">
      <c r="C207" s="176"/>
      <c r="D207" s="176"/>
      <c r="E207" s="140"/>
      <c r="F207" s="140"/>
      <c r="G207" s="140"/>
      <c r="H207" s="140"/>
      <c r="I207" s="140"/>
      <c r="J207" s="140"/>
      <c r="K207" s="140"/>
      <c r="L207" s="140"/>
      <c r="M207" s="177"/>
      <c r="N207" s="140"/>
      <c r="O207" s="177"/>
      <c r="P207" s="140"/>
      <c r="Q207" s="178"/>
      <c r="R207" s="178"/>
      <c r="S207" s="178"/>
      <c r="T207" s="178"/>
      <c r="U207" s="179"/>
      <c r="V207" s="179"/>
      <c r="W207" s="180"/>
      <c r="X207" s="181"/>
      <c r="Y207" s="181"/>
      <c r="Z207" s="182"/>
    </row>
    <row r="208" spans="3:26" ht="20.100000000000001" customHeight="1" x14ac:dyDescent="0.25">
      <c r="C208" s="176"/>
      <c r="D208" s="176"/>
      <c r="E208" s="140"/>
      <c r="F208" s="140"/>
      <c r="G208" s="140"/>
      <c r="H208" s="140"/>
      <c r="I208" s="140"/>
      <c r="J208" s="140"/>
      <c r="K208" s="140"/>
      <c r="L208" s="140"/>
      <c r="M208" s="177"/>
      <c r="N208" s="140"/>
      <c r="O208" s="177"/>
      <c r="P208" s="140"/>
      <c r="Q208" s="178"/>
      <c r="R208" s="178"/>
      <c r="S208" s="178"/>
      <c r="T208" s="178"/>
      <c r="U208" s="179"/>
      <c r="V208" s="179"/>
      <c r="W208" s="180"/>
      <c r="X208" s="181"/>
      <c r="Y208" s="181"/>
      <c r="Z208" s="182"/>
    </row>
    <row r="209" spans="3:26" ht="20.100000000000001" customHeight="1" x14ac:dyDescent="0.25">
      <c r="C209" s="176"/>
      <c r="D209" s="176"/>
      <c r="E209" s="140"/>
      <c r="F209" s="140"/>
      <c r="G209" s="140"/>
      <c r="H209" s="140"/>
      <c r="I209" s="140"/>
      <c r="J209" s="140"/>
      <c r="K209" s="140"/>
      <c r="L209" s="140"/>
      <c r="M209" s="177"/>
      <c r="N209" s="140"/>
      <c r="O209" s="177"/>
      <c r="P209" s="140"/>
      <c r="Q209" s="178"/>
      <c r="R209" s="178"/>
      <c r="S209" s="178"/>
      <c r="T209" s="178"/>
      <c r="U209" s="179"/>
      <c r="V209" s="179"/>
      <c r="W209" s="180"/>
      <c r="X209" s="181"/>
      <c r="Y209" s="181"/>
      <c r="Z209" s="182"/>
    </row>
    <row r="210" spans="3:26" ht="20.100000000000001" customHeight="1" x14ac:dyDescent="0.25">
      <c r="C210" s="176"/>
      <c r="D210" s="176"/>
      <c r="E210" s="140"/>
      <c r="F210" s="140"/>
      <c r="G210" s="140"/>
      <c r="H210" s="140"/>
      <c r="I210" s="140"/>
      <c r="J210" s="140"/>
      <c r="K210" s="140"/>
      <c r="L210" s="140"/>
      <c r="M210" s="177"/>
      <c r="N210" s="140"/>
      <c r="O210" s="177"/>
      <c r="P210" s="140"/>
      <c r="Q210" s="178"/>
      <c r="R210" s="178"/>
      <c r="S210" s="178"/>
      <c r="T210" s="178"/>
      <c r="U210" s="179"/>
      <c r="V210" s="179"/>
      <c r="W210" s="180"/>
      <c r="X210" s="181"/>
      <c r="Y210" s="181"/>
      <c r="Z210" s="182"/>
    </row>
    <row r="211" spans="3:26" ht="20.100000000000001" customHeight="1" x14ac:dyDescent="0.25">
      <c r="C211" s="176"/>
      <c r="D211" s="176"/>
      <c r="E211" s="140"/>
      <c r="F211" s="140"/>
      <c r="G211" s="140"/>
      <c r="H211" s="140"/>
      <c r="I211" s="140"/>
      <c r="J211" s="140"/>
      <c r="K211" s="140"/>
      <c r="L211" s="140"/>
      <c r="M211" s="177"/>
      <c r="N211" s="140"/>
      <c r="O211" s="177"/>
      <c r="P211" s="140"/>
      <c r="Q211" s="178"/>
      <c r="R211" s="178"/>
      <c r="S211" s="178"/>
      <c r="T211" s="178"/>
      <c r="U211" s="179"/>
      <c r="V211" s="179"/>
      <c r="W211" s="180"/>
      <c r="X211" s="181"/>
      <c r="Y211" s="181"/>
      <c r="Z211" s="182"/>
    </row>
    <row r="212" spans="3:26" ht="20.100000000000001" customHeight="1" x14ac:dyDescent="0.25">
      <c r="C212" s="176"/>
      <c r="D212" s="176"/>
      <c r="E212" s="140"/>
      <c r="F212" s="140"/>
      <c r="G212" s="140"/>
      <c r="H212" s="140"/>
      <c r="I212" s="140"/>
      <c r="J212" s="140"/>
      <c r="K212" s="140"/>
      <c r="L212" s="140"/>
      <c r="M212" s="177"/>
      <c r="N212" s="140"/>
      <c r="O212" s="177"/>
      <c r="P212" s="140"/>
      <c r="Q212" s="178"/>
      <c r="R212" s="178"/>
      <c r="S212" s="178"/>
      <c r="T212" s="178"/>
      <c r="U212" s="179"/>
      <c r="V212" s="179"/>
      <c r="W212" s="180"/>
      <c r="X212" s="181"/>
      <c r="Y212" s="181"/>
      <c r="Z212" s="182"/>
    </row>
    <row r="213" spans="3:26" ht="20.100000000000001" customHeight="1" x14ac:dyDescent="0.25">
      <c r="C213" s="176"/>
      <c r="D213" s="176"/>
      <c r="E213" s="140"/>
      <c r="F213" s="140"/>
      <c r="G213" s="140"/>
      <c r="H213" s="140"/>
      <c r="I213" s="140"/>
      <c r="J213" s="140"/>
      <c r="K213" s="140"/>
      <c r="L213" s="140"/>
      <c r="M213" s="177"/>
      <c r="N213" s="140"/>
      <c r="O213" s="177"/>
      <c r="P213" s="140"/>
      <c r="Q213" s="178"/>
      <c r="R213" s="178"/>
      <c r="S213" s="178"/>
      <c r="T213" s="178"/>
      <c r="U213" s="179"/>
      <c r="V213" s="179"/>
      <c r="W213" s="180"/>
      <c r="X213" s="181"/>
      <c r="Y213" s="181"/>
      <c r="Z213" s="182"/>
    </row>
    <row r="214" spans="3:26" ht="20.100000000000001" customHeight="1" x14ac:dyDescent="0.25">
      <c r="C214" s="176"/>
      <c r="D214" s="176"/>
      <c r="E214" s="140"/>
      <c r="F214" s="140"/>
      <c r="G214" s="140"/>
      <c r="H214" s="140"/>
      <c r="I214" s="140"/>
      <c r="J214" s="140"/>
      <c r="K214" s="140"/>
      <c r="L214" s="140"/>
      <c r="M214" s="177"/>
      <c r="N214" s="140"/>
      <c r="O214" s="177"/>
      <c r="P214" s="140"/>
      <c r="Q214" s="178"/>
      <c r="R214" s="178"/>
      <c r="S214" s="178"/>
      <c r="T214" s="178"/>
      <c r="U214" s="179"/>
      <c r="V214" s="179"/>
      <c r="W214" s="180"/>
      <c r="X214" s="181"/>
      <c r="Y214" s="181"/>
      <c r="Z214" s="182"/>
    </row>
    <row r="215" spans="3:26" ht="20.100000000000001" customHeight="1" x14ac:dyDescent="0.25">
      <c r="C215" s="176"/>
      <c r="D215" s="176"/>
      <c r="E215" s="140"/>
      <c r="F215" s="140"/>
      <c r="G215" s="140"/>
      <c r="H215" s="140"/>
      <c r="I215" s="140"/>
      <c r="J215" s="140"/>
      <c r="K215" s="140"/>
      <c r="L215" s="140"/>
      <c r="M215" s="177"/>
      <c r="N215" s="140"/>
      <c r="O215" s="177"/>
      <c r="P215" s="140"/>
      <c r="Q215" s="178"/>
      <c r="R215" s="178"/>
      <c r="S215" s="178"/>
      <c r="T215" s="178"/>
      <c r="U215" s="179"/>
      <c r="V215" s="179"/>
      <c r="W215" s="180"/>
      <c r="X215" s="181"/>
      <c r="Y215" s="181"/>
      <c r="Z215" s="182"/>
    </row>
    <row r="216" spans="3:26" ht="20.100000000000001" customHeight="1" x14ac:dyDescent="0.25">
      <c r="C216" s="176"/>
      <c r="D216" s="176"/>
      <c r="E216" s="140"/>
      <c r="F216" s="140"/>
      <c r="G216" s="140"/>
      <c r="H216" s="140"/>
      <c r="I216" s="140"/>
      <c r="J216" s="140"/>
      <c r="K216" s="140"/>
      <c r="L216" s="140"/>
      <c r="M216" s="177"/>
      <c r="N216" s="140"/>
      <c r="O216" s="177"/>
      <c r="P216" s="140"/>
      <c r="Q216" s="178"/>
      <c r="R216" s="178"/>
      <c r="S216" s="178"/>
      <c r="T216" s="178"/>
      <c r="U216" s="179"/>
      <c r="V216" s="179"/>
      <c r="W216" s="180"/>
      <c r="X216" s="181"/>
      <c r="Y216" s="181"/>
      <c r="Z216" s="182"/>
    </row>
    <row r="217" spans="3:26" ht="20.100000000000001" customHeight="1" x14ac:dyDescent="0.25">
      <c r="C217" s="176"/>
      <c r="D217" s="176"/>
      <c r="E217" s="140"/>
      <c r="F217" s="140"/>
      <c r="G217" s="140"/>
      <c r="H217" s="140"/>
      <c r="I217" s="140"/>
      <c r="J217" s="140"/>
      <c r="K217" s="140"/>
      <c r="L217" s="140"/>
      <c r="M217" s="177"/>
      <c r="N217" s="140"/>
      <c r="O217" s="177"/>
      <c r="P217" s="140"/>
      <c r="Q217" s="178"/>
      <c r="R217" s="178"/>
      <c r="S217" s="178"/>
      <c r="T217" s="178"/>
      <c r="U217" s="179"/>
      <c r="V217" s="179"/>
      <c r="W217" s="180"/>
      <c r="X217" s="181"/>
      <c r="Y217" s="181"/>
      <c r="Z217" s="182"/>
    </row>
    <row r="218" spans="3:26" ht="20.100000000000001" customHeight="1" x14ac:dyDescent="0.25">
      <c r="C218" s="176"/>
      <c r="D218" s="176"/>
      <c r="E218" s="140"/>
      <c r="F218" s="140"/>
      <c r="G218" s="140"/>
      <c r="H218" s="140"/>
      <c r="I218" s="140"/>
      <c r="J218" s="140"/>
      <c r="K218" s="140"/>
      <c r="L218" s="140"/>
      <c r="M218" s="177"/>
      <c r="N218" s="140"/>
      <c r="O218" s="177"/>
      <c r="P218" s="140"/>
      <c r="Q218" s="178"/>
      <c r="R218" s="178"/>
      <c r="S218" s="178"/>
      <c r="T218" s="178"/>
      <c r="U218" s="179"/>
      <c r="V218" s="179"/>
      <c r="W218" s="180"/>
      <c r="X218" s="181"/>
      <c r="Y218" s="181"/>
      <c r="Z218" s="182"/>
    </row>
    <row r="219" spans="3:26" ht="20.100000000000001" customHeight="1" x14ac:dyDescent="0.25">
      <c r="C219" s="176"/>
      <c r="D219" s="176"/>
      <c r="E219" s="140"/>
      <c r="F219" s="140"/>
      <c r="G219" s="140"/>
      <c r="H219" s="140"/>
      <c r="I219" s="140"/>
      <c r="J219" s="140"/>
      <c r="K219" s="140"/>
      <c r="L219" s="140"/>
      <c r="M219" s="177"/>
      <c r="N219" s="140"/>
      <c r="O219" s="177"/>
      <c r="P219" s="140"/>
      <c r="Q219" s="178"/>
      <c r="R219" s="178"/>
      <c r="S219" s="178"/>
      <c r="T219" s="178"/>
      <c r="U219" s="179"/>
      <c r="V219" s="179"/>
      <c r="W219" s="180"/>
      <c r="X219" s="181"/>
      <c r="Y219" s="181"/>
      <c r="Z219" s="182"/>
    </row>
    <row r="220" spans="3:26" ht="20.100000000000001" customHeight="1" x14ac:dyDescent="0.25">
      <c r="C220" s="176"/>
      <c r="D220" s="176"/>
      <c r="E220" s="140"/>
      <c r="F220" s="140"/>
      <c r="G220" s="140"/>
      <c r="H220" s="140"/>
      <c r="I220" s="140"/>
      <c r="J220" s="140"/>
      <c r="K220" s="140"/>
      <c r="L220" s="140"/>
      <c r="M220" s="177"/>
      <c r="N220" s="140"/>
      <c r="O220" s="177"/>
      <c r="P220" s="140"/>
      <c r="Q220" s="178"/>
      <c r="R220" s="178"/>
      <c r="S220" s="178"/>
      <c r="T220" s="178"/>
      <c r="U220" s="179"/>
      <c r="V220" s="179"/>
      <c r="W220" s="180"/>
      <c r="X220" s="181"/>
      <c r="Y220" s="181"/>
      <c r="Z220" s="182"/>
    </row>
    <row r="221" spans="3:26" ht="20.100000000000001" customHeight="1" x14ac:dyDescent="0.25">
      <c r="C221" s="176"/>
      <c r="D221" s="176"/>
      <c r="E221" s="140"/>
      <c r="F221" s="140"/>
      <c r="G221" s="140"/>
      <c r="H221" s="140"/>
      <c r="I221" s="140"/>
      <c r="J221" s="140"/>
      <c r="K221" s="140"/>
      <c r="L221" s="140"/>
      <c r="M221" s="177"/>
      <c r="N221" s="140"/>
      <c r="O221" s="177"/>
      <c r="P221" s="140"/>
      <c r="Q221" s="178"/>
      <c r="R221" s="178"/>
      <c r="S221" s="178"/>
      <c r="T221" s="178"/>
      <c r="U221" s="179"/>
      <c r="V221" s="179"/>
      <c r="W221" s="180"/>
      <c r="X221" s="181"/>
      <c r="Y221" s="181"/>
      <c r="Z221" s="182"/>
    </row>
    <row r="222" spans="3:26" ht="20.100000000000001" customHeight="1" x14ac:dyDescent="0.25">
      <c r="C222" s="176"/>
      <c r="D222" s="176"/>
      <c r="E222" s="140"/>
      <c r="F222" s="140"/>
      <c r="G222" s="140"/>
      <c r="H222" s="140"/>
      <c r="I222" s="140"/>
      <c r="J222" s="140"/>
      <c r="K222" s="140"/>
      <c r="L222" s="140"/>
      <c r="M222" s="177"/>
      <c r="N222" s="140"/>
      <c r="O222" s="177"/>
      <c r="P222" s="140"/>
      <c r="Q222" s="178"/>
      <c r="R222" s="178"/>
      <c r="S222" s="178"/>
      <c r="T222" s="178"/>
      <c r="U222" s="179"/>
      <c r="V222" s="179"/>
      <c r="W222" s="180"/>
      <c r="X222" s="181"/>
      <c r="Y222" s="181"/>
      <c r="Z222" s="182"/>
    </row>
    <row r="223" spans="3:26" ht="20.100000000000001" customHeight="1" x14ac:dyDescent="0.25">
      <c r="C223" s="176"/>
      <c r="D223" s="176"/>
      <c r="E223" s="140"/>
      <c r="F223" s="140"/>
      <c r="G223" s="140"/>
      <c r="H223" s="140"/>
      <c r="I223" s="140"/>
      <c r="J223" s="140"/>
      <c r="K223" s="140"/>
      <c r="L223" s="140"/>
      <c r="M223" s="177"/>
      <c r="N223" s="140"/>
      <c r="O223" s="177"/>
      <c r="P223" s="140"/>
      <c r="Q223" s="178"/>
      <c r="R223" s="178"/>
      <c r="S223" s="178"/>
      <c r="T223" s="178"/>
      <c r="U223" s="179"/>
      <c r="V223" s="179"/>
      <c r="W223" s="180"/>
      <c r="X223" s="181"/>
      <c r="Y223" s="181"/>
      <c r="Z223" s="182"/>
    </row>
    <row r="224" spans="3:26" ht="20.100000000000001" customHeight="1" x14ac:dyDescent="0.25">
      <c r="C224" s="176"/>
      <c r="D224" s="176"/>
      <c r="E224" s="140"/>
      <c r="F224" s="140"/>
      <c r="G224" s="140"/>
      <c r="H224" s="140"/>
      <c r="I224" s="140"/>
      <c r="J224" s="140"/>
      <c r="K224" s="140"/>
      <c r="L224" s="140"/>
      <c r="M224" s="177"/>
      <c r="N224" s="140"/>
      <c r="O224" s="177"/>
      <c r="P224" s="140"/>
      <c r="Q224" s="178"/>
      <c r="R224" s="178"/>
      <c r="S224" s="178"/>
      <c r="T224" s="178"/>
      <c r="U224" s="179"/>
      <c r="V224" s="179"/>
      <c r="W224" s="180"/>
      <c r="X224" s="181"/>
      <c r="Y224" s="181"/>
      <c r="Z224" s="182"/>
    </row>
    <row r="225" spans="3:26" ht="20.100000000000001" customHeight="1" x14ac:dyDescent="0.25">
      <c r="C225" s="176"/>
      <c r="D225" s="176"/>
      <c r="E225" s="140"/>
      <c r="F225" s="140"/>
      <c r="G225" s="140"/>
      <c r="H225" s="140"/>
      <c r="I225" s="140"/>
      <c r="J225" s="140"/>
      <c r="K225" s="140"/>
      <c r="L225" s="140"/>
      <c r="M225" s="177"/>
      <c r="N225" s="140"/>
      <c r="O225" s="177"/>
      <c r="P225" s="140"/>
      <c r="Q225" s="178"/>
      <c r="R225" s="178"/>
      <c r="S225" s="178"/>
      <c r="T225" s="178"/>
      <c r="U225" s="179"/>
      <c r="V225" s="179"/>
      <c r="W225" s="180"/>
      <c r="X225" s="181"/>
      <c r="Y225" s="181"/>
      <c r="Z225" s="182"/>
    </row>
    <row r="226" spans="3:26" ht="20.100000000000001" customHeight="1" x14ac:dyDescent="0.25">
      <c r="C226" s="176"/>
      <c r="D226" s="176"/>
      <c r="E226" s="140"/>
      <c r="F226" s="140"/>
      <c r="G226" s="140"/>
      <c r="H226" s="140"/>
      <c r="I226" s="140"/>
      <c r="J226" s="140"/>
      <c r="K226" s="140"/>
      <c r="L226" s="140"/>
      <c r="M226" s="177"/>
      <c r="N226" s="140"/>
      <c r="O226" s="177"/>
      <c r="P226" s="140"/>
      <c r="Q226" s="178"/>
      <c r="R226" s="178"/>
      <c r="S226" s="178"/>
      <c r="T226" s="178"/>
      <c r="U226" s="179"/>
      <c r="V226" s="179"/>
      <c r="W226" s="180"/>
      <c r="X226" s="181"/>
      <c r="Y226" s="181"/>
      <c r="Z226" s="182"/>
    </row>
    <row r="227" spans="3:26" ht="20.100000000000001" customHeight="1" x14ac:dyDescent="0.25">
      <c r="C227" s="176"/>
      <c r="D227" s="176"/>
      <c r="E227" s="140"/>
      <c r="F227" s="140"/>
      <c r="G227" s="140"/>
      <c r="H227" s="140"/>
      <c r="I227" s="140"/>
      <c r="J227" s="140"/>
      <c r="K227" s="140"/>
      <c r="L227" s="140"/>
      <c r="M227" s="177"/>
      <c r="N227" s="140"/>
      <c r="O227" s="177"/>
      <c r="P227" s="140"/>
      <c r="Q227" s="178"/>
      <c r="R227" s="178"/>
      <c r="S227" s="178"/>
      <c r="T227" s="178"/>
      <c r="U227" s="179"/>
      <c r="V227" s="179"/>
      <c r="W227" s="180"/>
      <c r="X227" s="181"/>
      <c r="Y227" s="181"/>
      <c r="Z227" s="182"/>
    </row>
    <row r="228" spans="3:26" ht="20.100000000000001" customHeight="1" x14ac:dyDescent="0.25">
      <c r="C228" s="176"/>
      <c r="D228" s="176"/>
      <c r="E228" s="140"/>
      <c r="F228" s="140"/>
      <c r="G228" s="140"/>
      <c r="H228" s="140"/>
      <c r="I228" s="140"/>
      <c r="J228" s="140"/>
      <c r="K228" s="140"/>
      <c r="L228" s="140"/>
      <c r="M228" s="177"/>
      <c r="N228" s="140"/>
      <c r="O228" s="177"/>
      <c r="P228" s="140"/>
      <c r="Q228" s="178"/>
      <c r="R228" s="178"/>
      <c r="S228" s="178"/>
      <c r="T228" s="178"/>
      <c r="U228" s="179"/>
      <c r="V228" s="179"/>
      <c r="W228" s="180"/>
      <c r="X228" s="181"/>
      <c r="Y228" s="181"/>
      <c r="Z228" s="182"/>
    </row>
    <row r="229" spans="3:26" ht="20.100000000000001" customHeight="1" x14ac:dyDescent="0.25">
      <c r="C229" s="176"/>
      <c r="D229" s="176"/>
      <c r="E229" s="140"/>
      <c r="F229" s="140"/>
      <c r="G229" s="140"/>
      <c r="H229" s="140"/>
      <c r="I229" s="140"/>
      <c r="J229" s="140"/>
      <c r="K229" s="140"/>
      <c r="L229" s="140"/>
      <c r="M229" s="177"/>
      <c r="N229" s="140"/>
      <c r="O229" s="177"/>
      <c r="P229" s="140"/>
      <c r="Q229" s="178"/>
      <c r="R229" s="178"/>
      <c r="S229" s="178"/>
      <c r="T229" s="178"/>
      <c r="U229" s="179"/>
      <c r="V229" s="179"/>
      <c r="W229" s="180"/>
      <c r="X229" s="181"/>
      <c r="Y229" s="181"/>
      <c r="Z229" s="182"/>
    </row>
    <row r="230" spans="3:26" ht="20.100000000000001" customHeight="1" x14ac:dyDescent="0.25">
      <c r="C230" s="176"/>
      <c r="D230" s="176"/>
      <c r="E230" s="140"/>
      <c r="F230" s="140"/>
      <c r="G230" s="140"/>
      <c r="H230" s="140"/>
      <c r="I230" s="140"/>
      <c r="J230" s="140"/>
      <c r="K230" s="140"/>
      <c r="L230" s="140"/>
      <c r="M230" s="177"/>
      <c r="N230" s="140"/>
      <c r="O230" s="177"/>
      <c r="P230" s="140"/>
      <c r="Q230" s="178"/>
      <c r="R230" s="178"/>
      <c r="S230" s="178"/>
      <c r="T230" s="178"/>
      <c r="U230" s="179"/>
      <c r="V230" s="179"/>
      <c r="W230" s="180"/>
      <c r="X230" s="181"/>
      <c r="Y230" s="181"/>
      <c r="Z230" s="182"/>
    </row>
    <row r="231" spans="3:26" ht="20.100000000000001" customHeight="1" x14ac:dyDescent="0.25">
      <c r="C231" s="176"/>
      <c r="D231" s="176"/>
      <c r="E231" s="140"/>
      <c r="F231" s="140"/>
      <c r="G231" s="140"/>
      <c r="H231" s="140"/>
      <c r="I231" s="140"/>
      <c r="J231" s="140"/>
      <c r="K231" s="140"/>
      <c r="L231" s="140"/>
      <c r="M231" s="177"/>
      <c r="N231" s="140"/>
      <c r="O231" s="177"/>
      <c r="P231" s="140"/>
      <c r="Q231" s="178"/>
      <c r="R231" s="178"/>
      <c r="S231" s="178"/>
      <c r="T231" s="178"/>
      <c r="U231" s="179"/>
      <c r="V231" s="179"/>
      <c r="W231" s="180"/>
      <c r="X231" s="181"/>
      <c r="Y231" s="181"/>
      <c r="Z231" s="182"/>
    </row>
    <row r="232" spans="3:26" ht="20.100000000000001" customHeight="1" x14ac:dyDescent="0.25">
      <c r="C232" s="176"/>
      <c r="D232" s="176"/>
      <c r="E232" s="140"/>
      <c r="F232" s="140"/>
      <c r="G232" s="140"/>
      <c r="H232" s="140"/>
      <c r="I232" s="140"/>
      <c r="J232" s="140"/>
      <c r="K232" s="140"/>
      <c r="L232" s="140"/>
      <c r="M232" s="177"/>
      <c r="N232" s="140"/>
      <c r="O232" s="177"/>
      <c r="P232" s="140"/>
      <c r="Q232" s="178"/>
      <c r="R232" s="178"/>
      <c r="S232" s="178"/>
      <c r="T232" s="178"/>
      <c r="U232" s="179"/>
      <c r="V232" s="179"/>
      <c r="W232" s="180"/>
      <c r="X232" s="181"/>
      <c r="Y232" s="181"/>
      <c r="Z232" s="182"/>
    </row>
    <row r="233" spans="3:26" ht="20.100000000000001" customHeight="1" x14ac:dyDescent="0.25">
      <c r="C233" s="176"/>
      <c r="D233" s="176"/>
      <c r="E233" s="140"/>
      <c r="F233" s="140"/>
      <c r="G233" s="140"/>
      <c r="H233" s="140"/>
      <c r="I233" s="140"/>
      <c r="J233" s="140"/>
      <c r="K233" s="140"/>
      <c r="L233" s="140"/>
      <c r="M233" s="177"/>
      <c r="N233" s="140"/>
      <c r="O233" s="177"/>
      <c r="P233" s="140"/>
      <c r="Q233" s="178"/>
      <c r="R233" s="178"/>
      <c r="S233" s="178"/>
      <c r="T233" s="178"/>
      <c r="U233" s="179"/>
      <c r="V233" s="179"/>
      <c r="W233" s="180"/>
      <c r="X233" s="181"/>
      <c r="Y233" s="181"/>
      <c r="Z233" s="182"/>
    </row>
    <row r="234" spans="3:26" ht="20.100000000000001" customHeight="1" x14ac:dyDescent="0.25">
      <c r="C234" s="176"/>
      <c r="D234" s="176"/>
      <c r="E234" s="140"/>
      <c r="F234" s="140"/>
      <c r="G234" s="140"/>
      <c r="H234" s="140"/>
      <c r="I234" s="140"/>
      <c r="J234" s="140"/>
      <c r="K234" s="140"/>
      <c r="L234" s="140"/>
      <c r="M234" s="177"/>
      <c r="N234" s="140"/>
      <c r="O234" s="177"/>
      <c r="P234" s="140"/>
      <c r="Q234" s="178"/>
      <c r="R234" s="178"/>
      <c r="S234" s="178"/>
      <c r="T234" s="178"/>
      <c r="U234" s="179"/>
      <c r="V234" s="179"/>
      <c r="W234" s="180"/>
      <c r="X234" s="181"/>
      <c r="Y234" s="181"/>
      <c r="Z234" s="182"/>
    </row>
    <row r="235" spans="3:26" ht="20.100000000000001" customHeight="1" x14ac:dyDescent="0.25">
      <c r="C235" s="176"/>
      <c r="D235" s="176"/>
      <c r="E235" s="140"/>
      <c r="F235" s="140"/>
      <c r="G235" s="140"/>
      <c r="H235" s="140"/>
      <c r="I235" s="140"/>
      <c r="J235" s="140"/>
      <c r="K235" s="140"/>
      <c r="L235" s="140"/>
      <c r="M235" s="177"/>
      <c r="N235" s="140"/>
      <c r="O235" s="177"/>
      <c r="P235" s="140"/>
      <c r="Q235" s="178"/>
      <c r="R235" s="178"/>
      <c r="S235" s="178"/>
      <c r="T235" s="178"/>
      <c r="U235" s="179"/>
      <c r="V235" s="179"/>
      <c r="W235" s="180"/>
      <c r="X235" s="181"/>
      <c r="Y235" s="181"/>
      <c r="Z235" s="182"/>
    </row>
    <row r="236" spans="3:26" ht="20.100000000000001" customHeight="1" x14ac:dyDescent="0.25">
      <c r="C236" s="176"/>
      <c r="D236" s="176"/>
      <c r="E236" s="140"/>
      <c r="F236" s="140"/>
      <c r="G236" s="140"/>
      <c r="H236" s="140"/>
      <c r="I236" s="140"/>
      <c r="J236" s="140"/>
      <c r="K236" s="140"/>
      <c r="L236" s="140"/>
      <c r="M236" s="177"/>
      <c r="N236" s="140"/>
      <c r="O236" s="177"/>
      <c r="P236" s="140"/>
      <c r="Q236" s="178"/>
      <c r="R236" s="178"/>
      <c r="S236" s="178"/>
      <c r="T236" s="178"/>
      <c r="U236" s="179"/>
      <c r="V236" s="179"/>
      <c r="W236" s="180"/>
      <c r="X236" s="181"/>
      <c r="Y236" s="181"/>
      <c r="Z236" s="182"/>
    </row>
    <row r="237" spans="3:26" ht="20.100000000000001" customHeight="1" x14ac:dyDescent="0.25">
      <c r="C237" s="176"/>
      <c r="D237" s="176"/>
      <c r="E237" s="140"/>
      <c r="F237" s="140"/>
      <c r="G237" s="140"/>
      <c r="H237" s="140"/>
      <c r="I237" s="140"/>
      <c r="J237" s="140"/>
      <c r="K237" s="140"/>
      <c r="L237" s="140"/>
      <c r="M237" s="177"/>
      <c r="N237" s="140"/>
      <c r="O237" s="177"/>
      <c r="P237" s="140"/>
      <c r="Q237" s="178"/>
      <c r="R237" s="178"/>
      <c r="S237" s="178"/>
      <c r="T237" s="178"/>
      <c r="U237" s="179"/>
      <c r="V237" s="179"/>
      <c r="W237" s="180"/>
      <c r="X237" s="181"/>
      <c r="Y237" s="181"/>
      <c r="Z237" s="182"/>
    </row>
    <row r="238" spans="3:26" ht="20.100000000000001" customHeight="1" x14ac:dyDescent="0.25">
      <c r="C238" s="176"/>
      <c r="D238" s="176"/>
      <c r="E238" s="140"/>
      <c r="F238" s="140"/>
      <c r="G238" s="140"/>
      <c r="H238" s="140"/>
      <c r="I238" s="140"/>
      <c r="J238" s="140"/>
      <c r="K238" s="140"/>
      <c r="L238" s="140"/>
      <c r="M238" s="177"/>
      <c r="N238" s="140"/>
      <c r="O238" s="177"/>
      <c r="P238" s="140"/>
      <c r="Q238" s="178"/>
      <c r="R238" s="178"/>
      <c r="S238" s="178"/>
      <c r="T238" s="178"/>
      <c r="U238" s="179"/>
      <c r="V238" s="179"/>
      <c r="W238" s="180"/>
      <c r="X238" s="181"/>
      <c r="Y238" s="181"/>
      <c r="Z238" s="182"/>
    </row>
    <row r="239" spans="3:26" ht="20.100000000000001" customHeight="1" x14ac:dyDescent="0.25">
      <c r="C239" s="176"/>
      <c r="D239" s="176"/>
      <c r="E239" s="140"/>
      <c r="F239" s="140"/>
      <c r="G239" s="140"/>
      <c r="H239" s="140"/>
      <c r="I239" s="140"/>
      <c r="J239" s="140"/>
      <c r="K239" s="140"/>
      <c r="L239" s="140"/>
      <c r="M239" s="177"/>
      <c r="N239" s="140"/>
      <c r="O239" s="177"/>
      <c r="P239" s="140"/>
      <c r="Q239" s="178"/>
      <c r="R239" s="178"/>
      <c r="S239" s="178"/>
      <c r="T239" s="178"/>
      <c r="U239" s="179"/>
      <c r="V239" s="179"/>
      <c r="W239" s="180"/>
      <c r="X239" s="181"/>
      <c r="Y239" s="181"/>
      <c r="Z239" s="182"/>
    </row>
    <row r="240" spans="3:26" ht="20.100000000000001" customHeight="1" x14ac:dyDescent="0.25">
      <c r="C240" s="176"/>
      <c r="D240" s="176"/>
      <c r="E240" s="140"/>
      <c r="F240" s="140"/>
      <c r="G240" s="140"/>
      <c r="H240" s="140"/>
      <c r="I240" s="140"/>
      <c r="J240" s="140"/>
      <c r="K240" s="140"/>
      <c r="L240" s="140"/>
      <c r="M240" s="177"/>
      <c r="N240" s="140"/>
      <c r="O240" s="177"/>
      <c r="P240" s="140"/>
      <c r="Q240" s="178"/>
      <c r="R240" s="178"/>
      <c r="S240" s="178"/>
      <c r="T240" s="178"/>
      <c r="U240" s="179"/>
      <c r="V240" s="179"/>
      <c r="W240" s="180"/>
      <c r="X240" s="181"/>
      <c r="Y240" s="181"/>
      <c r="Z240" s="182"/>
    </row>
    <row r="241" spans="3:26" ht="20.100000000000001" customHeight="1" x14ac:dyDescent="0.25">
      <c r="C241" s="176"/>
      <c r="D241" s="176"/>
      <c r="E241" s="140"/>
      <c r="F241" s="140"/>
      <c r="G241" s="140"/>
      <c r="H241" s="140"/>
      <c r="I241" s="140"/>
      <c r="J241" s="140"/>
      <c r="K241" s="140"/>
      <c r="L241" s="140"/>
      <c r="M241" s="177"/>
      <c r="N241" s="140"/>
      <c r="O241" s="177"/>
      <c r="P241" s="140"/>
      <c r="Q241" s="178"/>
      <c r="R241" s="178"/>
      <c r="S241" s="178"/>
      <c r="T241" s="178"/>
      <c r="U241" s="179"/>
      <c r="V241" s="179"/>
      <c r="W241" s="180"/>
      <c r="X241" s="181"/>
      <c r="Y241" s="181"/>
      <c r="Z241" s="182"/>
    </row>
    <row r="242" spans="3:26" ht="20.100000000000001" customHeight="1" x14ac:dyDescent="0.25">
      <c r="C242" s="176"/>
      <c r="D242" s="176"/>
      <c r="E242" s="140"/>
      <c r="F242" s="140"/>
      <c r="G242" s="140"/>
      <c r="H242" s="140"/>
      <c r="I242" s="140"/>
      <c r="J242" s="140"/>
      <c r="K242" s="140"/>
      <c r="L242" s="140"/>
      <c r="M242" s="177"/>
      <c r="N242" s="140"/>
      <c r="O242" s="177"/>
      <c r="P242" s="140"/>
      <c r="Q242" s="178"/>
      <c r="R242" s="178"/>
      <c r="S242" s="178"/>
      <c r="T242" s="178"/>
      <c r="U242" s="179"/>
      <c r="V242" s="179"/>
      <c r="W242" s="180"/>
      <c r="X242" s="181"/>
      <c r="Y242" s="181"/>
      <c r="Z242" s="182"/>
    </row>
    <row r="243" spans="3:26" ht="20.100000000000001" customHeight="1" x14ac:dyDescent="0.25">
      <c r="C243" s="176"/>
      <c r="D243" s="176"/>
      <c r="E243" s="140"/>
      <c r="F243" s="140"/>
      <c r="G243" s="140"/>
      <c r="H243" s="140"/>
      <c r="I243" s="140"/>
      <c r="J243" s="140"/>
      <c r="K243" s="140"/>
      <c r="L243" s="140"/>
      <c r="M243" s="177"/>
      <c r="N243" s="140"/>
      <c r="O243" s="177"/>
      <c r="P243" s="140"/>
      <c r="Q243" s="178"/>
      <c r="R243" s="178"/>
      <c r="S243" s="178"/>
      <c r="T243" s="178"/>
      <c r="U243" s="179"/>
      <c r="V243" s="179"/>
      <c r="W243" s="180"/>
      <c r="X243" s="181"/>
      <c r="Y243" s="181"/>
      <c r="Z243" s="182"/>
    </row>
    <row r="244" spans="3:26" ht="20.100000000000001" customHeight="1" x14ac:dyDescent="0.25">
      <c r="C244" s="176"/>
      <c r="D244" s="176"/>
      <c r="E244" s="140"/>
      <c r="F244" s="140"/>
      <c r="G244" s="140"/>
      <c r="H244" s="140"/>
      <c r="I244" s="140"/>
      <c r="J244" s="140"/>
      <c r="K244" s="140"/>
      <c r="L244" s="140"/>
      <c r="M244" s="177"/>
      <c r="N244" s="140"/>
      <c r="O244" s="177"/>
      <c r="P244" s="140"/>
      <c r="Q244" s="178"/>
      <c r="R244" s="178"/>
      <c r="S244" s="178"/>
      <c r="T244" s="178"/>
      <c r="U244" s="179"/>
      <c r="V244" s="179"/>
      <c r="W244" s="180"/>
      <c r="X244" s="181"/>
      <c r="Y244" s="181"/>
      <c r="Z244" s="182"/>
    </row>
    <row r="245" spans="3:26" ht="20.100000000000001" customHeight="1" x14ac:dyDescent="0.25">
      <c r="C245" s="176"/>
      <c r="D245" s="176"/>
      <c r="E245" s="140"/>
      <c r="F245" s="140"/>
      <c r="G245" s="140"/>
      <c r="H245" s="140"/>
      <c r="I245" s="140"/>
      <c r="J245" s="140"/>
      <c r="K245" s="140"/>
      <c r="L245" s="140"/>
      <c r="M245" s="177"/>
      <c r="N245" s="140"/>
      <c r="O245" s="177"/>
      <c r="P245" s="140"/>
      <c r="Q245" s="178"/>
      <c r="R245" s="178"/>
      <c r="S245" s="178"/>
      <c r="T245" s="178"/>
      <c r="U245" s="179"/>
      <c r="V245" s="179"/>
      <c r="W245" s="180"/>
      <c r="X245" s="181"/>
      <c r="Y245" s="181"/>
      <c r="Z245" s="182"/>
    </row>
    <row r="246" spans="3:26" ht="20.100000000000001" customHeight="1" x14ac:dyDescent="0.25">
      <c r="C246" s="176"/>
      <c r="D246" s="176"/>
      <c r="E246" s="140"/>
      <c r="F246" s="140"/>
      <c r="G246" s="140"/>
      <c r="H246" s="140"/>
      <c r="I246" s="140"/>
      <c r="J246" s="140"/>
      <c r="K246" s="140"/>
      <c r="L246" s="140"/>
      <c r="M246" s="177"/>
      <c r="N246" s="140"/>
      <c r="O246" s="177"/>
      <c r="P246" s="140"/>
      <c r="Q246" s="178"/>
      <c r="R246" s="178"/>
      <c r="S246" s="178"/>
      <c r="T246" s="178"/>
      <c r="U246" s="179"/>
      <c r="V246" s="179"/>
      <c r="W246" s="180"/>
      <c r="X246" s="181"/>
      <c r="Y246" s="181"/>
      <c r="Z246" s="182"/>
    </row>
    <row r="247" spans="3:26" ht="20.100000000000001" customHeight="1" x14ac:dyDescent="0.25">
      <c r="C247" s="176"/>
      <c r="D247" s="176"/>
      <c r="E247" s="140"/>
      <c r="F247" s="140"/>
      <c r="G247" s="140"/>
      <c r="H247" s="140"/>
      <c r="I247" s="140"/>
      <c r="J247" s="140"/>
      <c r="K247" s="140"/>
      <c r="L247" s="140"/>
      <c r="M247" s="177"/>
      <c r="N247" s="140"/>
      <c r="O247" s="177"/>
      <c r="P247" s="140"/>
      <c r="Q247" s="178"/>
      <c r="R247" s="178"/>
      <c r="S247" s="178"/>
      <c r="T247" s="178"/>
      <c r="U247" s="179"/>
      <c r="V247" s="179"/>
      <c r="W247" s="180"/>
      <c r="X247" s="181"/>
      <c r="Y247" s="181"/>
      <c r="Z247" s="182"/>
    </row>
    <row r="248" spans="3:26" ht="20.100000000000001" customHeight="1" x14ac:dyDescent="0.25">
      <c r="C248" s="176"/>
      <c r="D248" s="176"/>
      <c r="E248" s="140"/>
      <c r="F248" s="140"/>
      <c r="G248" s="140"/>
      <c r="H248" s="140"/>
      <c r="I248" s="140"/>
      <c r="J248" s="140"/>
      <c r="K248" s="140"/>
      <c r="L248" s="140"/>
      <c r="M248" s="177"/>
      <c r="N248" s="140"/>
      <c r="O248" s="177"/>
      <c r="P248" s="140"/>
      <c r="Q248" s="178"/>
      <c r="R248" s="178"/>
      <c r="S248" s="178"/>
      <c r="T248" s="178"/>
      <c r="U248" s="179"/>
      <c r="V248" s="179"/>
      <c r="W248" s="180"/>
      <c r="X248" s="181"/>
      <c r="Y248" s="181"/>
      <c r="Z248" s="182"/>
    </row>
    <row r="249" spans="3:26" ht="20.100000000000001" customHeight="1" x14ac:dyDescent="0.25">
      <c r="C249" s="176"/>
      <c r="D249" s="176"/>
      <c r="E249" s="140"/>
      <c r="F249" s="140"/>
      <c r="G249" s="140"/>
      <c r="H249" s="140"/>
      <c r="I249" s="140"/>
      <c r="J249" s="140"/>
      <c r="K249" s="140"/>
      <c r="L249" s="140"/>
      <c r="M249" s="177"/>
      <c r="N249" s="140"/>
      <c r="O249" s="177"/>
      <c r="P249" s="140"/>
      <c r="Q249" s="178"/>
      <c r="R249" s="178"/>
      <c r="S249" s="178"/>
      <c r="T249" s="178"/>
      <c r="U249" s="179"/>
      <c r="V249" s="179"/>
      <c r="W249" s="180"/>
      <c r="X249" s="181"/>
      <c r="Y249" s="181"/>
      <c r="Z249" s="182"/>
    </row>
    <row r="250" spans="3:26" ht="20.100000000000001" customHeight="1" x14ac:dyDescent="0.25">
      <c r="C250" s="176"/>
      <c r="D250" s="176"/>
      <c r="E250" s="140"/>
      <c r="F250" s="140"/>
      <c r="G250" s="140"/>
      <c r="H250" s="140"/>
      <c r="I250" s="140"/>
      <c r="J250" s="140"/>
      <c r="K250" s="140"/>
      <c r="L250" s="140"/>
      <c r="M250" s="177"/>
      <c r="N250" s="140"/>
      <c r="O250" s="177"/>
      <c r="P250" s="140"/>
      <c r="Q250" s="178"/>
      <c r="R250" s="178"/>
      <c r="S250" s="178"/>
      <c r="T250" s="178"/>
      <c r="U250" s="179"/>
      <c r="V250" s="179"/>
      <c r="W250" s="180"/>
      <c r="X250" s="181"/>
      <c r="Y250" s="181"/>
      <c r="Z250" s="182"/>
    </row>
    <row r="251" spans="3:26" ht="20.100000000000001" customHeight="1" x14ac:dyDescent="0.25">
      <c r="C251" s="176"/>
      <c r="D251" s="176"/>
      <c r="E251" s="140"/>
      <c r="F251" s="140"/>
      <c r="G251" s="140"/>
      <c r="H251" s="140"/>
      <c r="I251" s="140"/>
      <c r="J251" s="140"/>
      <c r="K251" s="140"/>
      <c r="L251" s="140"/>
      <c r="M251" s="177"/>
      <c r="N251" s="140"/>
      <c r="O251" s="177"/>
      <c r="P251" s="140"/>
      <c r="Q251" s="178"/>
      <c r="R251" s="178"/>
      <c r="S251" s="178"/>
      <c r="T251" s="178"/>
      <c r="U251" s="179"/>
      <c r="V251" s="179"/>
      <c r="W251" s="180"/>
      <c r="X251" s="181"/>
      <c r="Y251" s="181"/>
      <c r="Z251" s="182"/>
    </row>
    <row r="252" spans="3:26" ht="20.100000000000001" customHeight="1" x14ac:dyDescent="0.25">
      <c r="C252" s="176"/>
      <c r="D252" s="176"/>
      <c r="E252" s="140"/>
      <c r="F252" s="140"/>
      <c r="G252" s="140"/>
      <c r="H252" s="140"/>
      <c r="I252" s="140"/>
      <c r="J252" s="140"/>
      <c r="K252" s="140"/>
      <c r="L252" s="140"/>
      <c r="M252" s="177"/>
      <c r="N252" s="140"/>
      <c r="O252" s="177"/>
      <c r="P252" s="140"/>
      <c r="Q252" s="178"/>
      <c r="R252" s="178"/>
      <c r="S252" s="178"/>
      <c r="T252" s="178"/>
      <c r="U252" s="179"/>
      <c r="V252" s="179"/>
      <c r="W252" s="180"/>
      <c r="X252" s="181"/>
      <c r="Y252" s="181"/>
      <c r="Z252" s="182"/>
    </row>
    <row r="253" spans="3:26" ht="20.100000000000001" customHeight="1" x14ac:dyDescent="0.25">
      <c r="C253" s="176"/>
      <c r="D253" s="176"/>
      <c r="E253" s="140"/>
      <c r="F253" s="140"/>
      <c r="G253" s="140"/>
      <c r="H253" s="140"/>
      <c r="I253" s="140"/>
      <c r="J253" s="140"/>
      <c r="K253" s="140"/>
      <c r="L253" s="140"/>
      <c r="M253" s="177"/>
      <c r="N253" s="140"/>
      <c r="O253" s="177"/>
      <c r="P253" s="140"/>
      <c r="Q253" s="178"/>
      <c r="R253" s="178"/>
      <c r="S253" s="178"/>
      <c r="T253" s="178"/>
      <c r="U253" s="179"/>
      <c r="V253" s="179"/>
      <c r="W253" s="180"/>
      <c r="X253" s="181"/>
      <c r="Y253" s="181"/>
      <c r="Z253" s="182"/>
    </row>
    <row r="254" spans="3:26" ht="20.100000000000001" customHeight="1" x14ac:dyDescent="0.25">
      <c r="C254" s="176"/>
      <c r="D254" s="176"/>
      <c r="E254" s="140"/>
      <c r="F254" s="140"/>
      <c r="G254" s="140"/>
      <c r="H254" s="140"/>
      <c r="I254" s="140"/>
      <c r="J254" s="140"/>
      <c r="K254" s="140"/>
      <c r="L254" s="140"/>
      <c r="M254" s="177"/>
      <c r="N254" s="140"/>
      <c r="O254" s="177"/>
      <c r="P254" s="140"/>
      <c r="Q254" s="178"/>
      <c r="R254" s="178"/>
      <c r="S254" s="178"/>
      <c r="T254" s="178"/>
      <c r="U254" s="179"/>
      <c r="V254" s="179"/>
      <c r="W254" s="180"/>
      <c r="X254" s="181"/>
      <c r="Y254" s="181"/>
      <c r="Z254" s="182"/>
    </row>
    <row r="255" spans="3:26" ht="20.100000000000001" customHeight="1" x14ac:dyDescent="0.25">
      <c r="C255" s="176"/>
      <c r="D255" s="176"/>
      <c r="E255" s="140"/>
      <c r="F255" s="140"/>
      <c r="G255" s="140"/>
      <c r="H255" s="140"/>
      <c r="I255" s="140"/>
      <c r="J255" s="140"/>
      <c r="K255" s="140"/>
      <c r="L255" s="140"/>
      <c r="M255" s="177"/>
      <c r="N255" s="140"/>
      <c r="O255" s="177"/>
      <c r="P255" s="140"/>
      <c r="Q255" s="178"/>
      <c r="R255" s="178"/>
      <c r="S255" s="178"/>
      <c r="T255" s="178"/>
      <c r="U255" s="179"/>
      <c r="V255" s="179"/>
      <c r="W255" s="180"/>
      <c r="X255" s="181"/>
      <c r="Y255" s="181"/>
      <c r="Z255" s="182"/>
    </row>
    <row r="256" spans="3:26" ht="20.100000000000001" customHeight="1" x14ac:dyDescent="0.25">
      <c r="C256" s="176"/>
      <c r="D256" s="176"/>
      <c r="E256" s="140"/>
      <c r="F256" s="140"/>
      <c r="G256" s="140"/>
      <c r="H256" s="140"/>
      <c r="I256" s="140"/>
      <c r="J256" s="140"/>
      <c r="K256" s="140"/>
      <c r="L256" s="140"/>
      <c r="M256" s="177"/>
      <c r="N256" s="140"/>
      <c r="O256" s="177"/>
      <c r="P256" s="140"/>
      <c r="Q256" s="178"/>
      <c r="R256" s="178"/>
      <c r="S256" s="178"/>
      <c r="T256" s="178"/>
      <c r="U256" s="179"/>
      <c r="V256" s="179"/>
      <c r="W256" s="180"/>
      <c r="X256" s="181"/>
      <c r="Y256" s="181"/>
      <c r="Z256" s="182"/>
    </row>
    <row r="257" spans="3:26" ht="20.100000000000001" customHeight="1" x14ac:dyDescent="0.25">
      <c r="C257" s="176"/>
      <c r="D257" s="176"/>
      <c r="E257" s="140"/>
      <c r="F257" s="140"/>
      <c r="G257" s="140"/>
      <c r="H257" s="140"/>
      <c r="I257" s="140"/>
      <c r="J257" s="140"/>
      <c r="K257" s="140"/>
      <c r="L257" s="140"/>
      <c r="M257" s="177"/>
      <c r="N257" s="140"/>
      <c r="O257" s="177"/>
      <c r="P257" s="140"/>
      <c r="Q257" s="178"/>
      <c r="R257" s="178"/>
      <c r="S257" s="178"/>
      <c r="T257" s="178"/>
      <c r="U257" s="179"/>
      <c r="V257" s="179"/>
      <c r="W257" s="180"/>
      <c r="X257" s="181"/>
      <c r="Y257" s="181"/>
      <c r="Z257" s="182"/>
    </row>
    <row r="258" spans="3:26" ht="20.100000000000001" customHeight="1" x14ac:dyDescent="0.25">
      <c r="C258" s="176"/>
      <c r="D258" s="176"/>
      <c r="E258" s="140"/>
      <c r="F258" s="140"/>
      <c r="G258" s="140"/>
      <c r="H258" s="140"/>
      <c r="I258" s="140"/>
      <c r="J258" s="140"/>
      <c r="K258" s="140"/>
      <c r="L258" s="140"/>
      <c r="M258" s="177"/>
      <c r="N258" s="140"/>
      <c r="O258" s="177"/>
      <c r="P258" s="140"/>
      <c r="Q258" s="178"/>
      <c r="R258" s="178"/>
      <c r="S258" s="178"/>
      <c r="T258" s="178"/>
      <c r="U258" s="179"/>
      <c r="V258" s="179"/>
      <c r="W258" s="180"/>
      <c r="X258" s="181"/>
      <c r="Y258" s="181"/>
      <c r="Z258" s="182"/>
    </row>
    <row r="259" spans="3:26" ht="20.100000000000001" customHeight="1" x14ac:dyDescent="0.25">
      <c r="C259" s="176"/>
      <c r="D259" s="176"/>
      <c r="E259" s="140"/>
      <c r="F259" s="140"/>
      <c r="G259" s="140"/>
      <c r="H259" s="140"/>
      <c r="I259" s="140"/>
      <c r="J259" s="140"/>
      <c r="K259" s="140"/>
      <c r="L259" s="140"/>
      <c r="M259" s="177"/>
      <c r="N259" s="140"/>
      <c r="O259" s="177"/>
      <c r="P259" s="140"/>
      <c r="Q259" s="178"/>
      <c r="R259" s="178"/>
      <c r="S259" s="178"/>
      <c r="T259" s="178"/>
      <c r="U259" s="179"/>
      <c r="V259" s="179"/>
      <c r="W259" s="180"/>
      <c r="X259" s="181"/>
      <c r="Y259" s="181"/>
      <c r="Z259" s="182"/>
    </row>
    <row r="260" spans="3:26" ht="20.100000000000001" customHeight="1" x14ac:dyDescent="0.25">
      <c r="C260" s="176"/>
      <c r="D260" s="176"/>
      <c r="E260" s="140"/>
      <c r="F260" s="140"/>
      <c r="G260" s="140"/>
      <c r="H260" s="140"/>
      <c r="I260" s="140"/>
      <c r="J260" s="140"/>
      <c r="K260" s="140"/>
      <c r="L260" s="140"/>
      <c r="M260" s="177"/>
      <c r="N260" s="140"/>
      <c r="O260" s="177"/>
      <c r="P260" s="140"/>
      <c r="Q260" s="178"/>
      <c r="R260" s="178"/>
      <c r="S260" s="178"/>
      <c r="T260" s="178"/>
      <c r="U260" s="179"/>
      <c r="V260" s="179"/>
      <c r="W260" s="180"/>
      <c r="X260" s="181"/>
      <c r="Y260" s="181"/>
      <c r="Z260" s="182"/>
    </row>
    <row r="261" spans="3:26" ht="20.100000000000001" customHeight="1" x14ac:dyDescent="0.25">
      <c r="C261" s="176"/>
      <c r="D261" s="176"/>
      <c r="E261" s="140"/>
      <c r="F261" s="140"/>
      <c r="G261" s="140"/>
      <c r="H261" s="140"/>
      <c r="I261" s="140"/>
      <c r="J261" s="140"/>
      <c r="K261" s="140"/>
      <c r="L261" s="140"/>
      <c r="M261" s="177"/>
      <c r="N261" s="140"/>
      <c r="O261" s="177"/>
      <c r="P261" s="140"/>
      <c r="Q261" s="178"/>
      <c r="R261" s="178"/>
      <c r="S261" s="178"/>
      <c r="T261" s="178"/>
      <c r="U261" s="179"/>
      <c r="V261" s="179"/>
      <c r="W261" s="180"/>
      <c r="X261" s="181"/>
      <c r="Y261" s="181"/>
      <c r="Z261" s="182"/>
    </row>
    <row r="262" spans="3:26" ht="20.100000000000001" customHeight="1" x14ac:dyDescent="0.25">
      <c r="C262" s="176"/>
      <c r="D262" s="176"/>
      <c r="E262" s="140"/>
      <c r="F262" s="140"/>
      <c r="G262" s="140"/>
      <c r="H262" s="140"/>
      <c r="I262" s="140"/>
      <c r="J262" s="140"/>
      <c r="K262" s="140"/>
      <c r="L262" s="140"/>
      <c r="M262" s="177"/>
      <c r="N262" s="140"/>
      <c r="O262" s="177"/>
      <c r="P262" s="140"/>
      <c r="Q262" s="178"/>
      <c r="R262" s="178"/>
      <c r="S262" s="178"/>
      <c r="T262" s="178"/>
      <c r="U262" s="179"/>
      <c r="V262" s="179"/>
      <c r="W262" s="180"/>
      <c r="X262" s="181"/>
      <c r="Y262" s="181"/>
      <c r="Z262" s="182"/>
    </row>
    <row r="263" spans="3:26" ht="20.100000000000001" customHeight="1" x14ac:dyDescent="0.25">
      <c r="C263" s="176"/>
      <c r="D263" s="176"/>
      <c r="E263" s="140"/>
      <c r="F263" s="140"/>
      <c r="G263" s="140"/>
      <c r="H263" s="140"/>
      <c r="I263" s="140"/>
      <c r="J263" s="140"/>
      <c r="K263" s="140"/>
      <c r="L263" s="140"/>
      <c r="M263" s="177"/>
      <c r="N263" s="140"/>
      <c r="O263" s="177"/>
      <c r="P263" s="140"/>
      <c r="Q263" s="178"/>
      <c r="R263" s="178"/>
      <c r="S263" s="178"/>
      <c r="T263" s="178"/>
      <c r="U263" s="179"/>
      <c r="V263" s="179"/>
      <c r="W263" s="180"/>
      <c r="X263" s="181"/>
      <c r="Y263" s="181"/>
      <c r="Z263" s="182"/>
    </row>
    <row r="264" spans="3:26" ht="20.100000000000001" customHeight="1" x14ac:dyDescent="0.25">
      <c r="C264" s="176"/>
      <c r="D264" s="176"/>
      <c r="E264" s="140"/>
      <c r="F264" s="140"/>
      <c r="G264" s="140"/>
      <c r="H264" s="140"/>
      <c r="I264" s="140"/>
      <c r="J264" s="140"/>
      <c r="K264" s="140"/>
      <c r="L264" s="140"/>
      <c r="M264" s="177"/>
      <c r="N264" s="140"/>
      <c r="O264" s="177"/>
      <c r="P264" s="140"/>
      <c r="Q264" s="178"/>
      <c r="R264" s="178"/>
      <c r="S264" s="178"/>
      <c r="T264" s="178"/>
      <c r="U264" s="179"/>
      <c r="V264" s="179"/>
      <c r="W264" s="180"/>
      <c r="X264" s="181"/>
      <c r="Y264" s="181"/>
      <c r="Z264" s="182"/>
    </row>
    <row r="265" spans="3:26" ht="20.100000000000001" customHeight="1" x14ac:dyDescent="0.25">
      <c r="C265" s="176"/>
      <c r="D265" s="176"/>
      <c r="E265" s="140"/>
      <c r="F265" s="140"/>
      <c r="G265" s="140"/>
      <c r="H265" s="140"/>
      <c r="I265" s="140"/>
      <c r="J265" s="140"/>
      <c r="K265" s="140"/>
      <c r="L265" s="140"/>
      <c r="M265" s="177"/>
      <c r="N265" s="140"/>
      <c r="O265" s="177"/>
      <c r="P265" s="140"/>
      <c r="Q265" s="178"/>
      <c r="R265" s="178"/>
      <c r="S265" s="178"/>
      <c r="T265" s="178"/>
      <c r="U265" s="179"/>
      <c r="V265" s="179"/>
      <c r="W265" s="180"/>
      <c r="X265" s="181"/>
      <c r="Y265" s="181"/>
      <c r="Z265" s="182"/>
    </row>
    <row r="266" spans="3:26" ht="20.100000000000001" customHeight="1" x14ac:dyDescent="0.25">
      <c r="C266" s="176"/>
      <c r="D266" s="176"/>
      <c r="E266" s="140"/>
      <c r="F266" s="140"/>
      <c r="G266" s="140"/>
      <c r="H266" s="140"/>
      <c r="I266" s="140"/>
      <c r="J266" s="140"/>
      <c r="K266" s="140"/>
      <c r="L266" s="140"/>
      <c r="M266" s="177"/>
      <c r="N266" s="140"/>
      <c r="O266" s="177"/>
      <c r="P266" s="140"/>
      <c r="Q266" s="178"/>
      <c r="R266" s="178"/>
      <c r="S266" s="178"/>
      <c r="T266" s="178"/>
      <c r="U266" s="179"/>
      <c r="V266" s="179"/>
      <c r="W266" s="180"/>
      <c r="X266" s="181"/>
      <c r="Y266" s="181"/>
      <c r="Z266" s="182"/>
    </row>
    <row r="267" spans="3:26" ht="20.100000000000001" customHeight="1" x14ac:dyDescent="0.25">
      <c r="C267" s="176"/>
      <c r="D267" s="176"/>
      <c r="E267" s="140"/>
      <c r="F267" s="140"/>
      <c r="G267" s="140"/>
      <c r="H267" s="140"/>
      <c r="I267" s="140"/>
      <c r="J267" s="140"/>
      <c r="K267" s="140"/>
      <c r="L267" s="140"/>
      <c r="M267" s="177"/>
      <c r="N267" s="140"/>
      <c r="O267" s="177"/>
      <c r="P267" s="140"/>
      <c r="Q267" s="178"/>
      <c r="R267" s="178"/>
      <c r="S267" s="178"/>
      <c r="T267" s="178"/>
      <c r="U267" s="179"/>
      <c r="V267" s="179"/>
      <c r="W267" s="180"/>
      <c r="X267" s="181"/>
      <c r="Y267" s="181"/>
      <c r="Z267" s="182"/>
    </row>
    <row r="268" spans="3:26" ht="20.100000000000001" customHeight="1" x14ac:dyDescent="0.25">
      <c r="C268" s="176"/>
      <c r="D268" s="176"/>
      <c r="E268" s="140"/>
      <c r="F268" s="140"/>
      <c r="G268" s="140"/>
      <c r="H268" s="140"/>
      <c r="I268" s="140"/>
      <c r="J268" s="140"/>
      <c r="K268" s="140"/>
      <c r="L268" s="140"/>
      <c r="M268" s="177"/>
      <c r="N268" s="140"/>
      <c r="O268" s="177"/>
      <c r="P268" s="140"/>
      <c r="Q268" s="178"/>
      <c r="R268" s="178"/>
      <c r="S268" s="178"/>
      <c r="T268" s="178"/>
      <c r="U268" s="179"/>
      <c r="V268" s="179"/>
      <c r="W268" s="180"/>
      <c r="X268" s="181"/>
      <c r="Y268" s="181"/>
      <c r="Z268" s="182"/>
    </row>
    <row r="269" spans="3:26" ht="20.100000000000001" customHeight="1" x14ac:dyDescent="0.25">
      <c r="C269" s="176"/>
      <c r="D269" s="176"/>
      <c r="E269" s="140"/>
      <c r="F269" s="140"/>
      <c r="G269" s="140"/>
      <c r="H269" s="140"/>
      <c r="I269" s="140"/>
      <c r="J269" s="140"/>
      <c r="K269" s="140"/>
      <c r="L269" s="140"/>
      <c r="M269" s="177"/>
      <c r="N269" s="140"/>
      <c r="O269" s="177"/>
      <c r="P269" s="140"/>
      <c r="Q269" s="178"/>
      <c r="R269" s="178"/>
      <c r="S269" s="178"/>
      <c r="T269" s="178"/>
      <c r="U269" s="179"/>
      <c r="V269" s="179"/>
      <c r="W269" s="180"/>
      <c r="X269" s="181"/>
      <c r="Y269" s="181"/>
      <c r="Z269" s="182"/>
    </row>
    <row r="270" spans="3:26" ht="20.100000000000001" customHeight="1" x14ac:dyDescent="0.25">
      <c r="C270" s="176"/>
      <c r="D270" s="176"/>
      <c r="E270" s="140"/>
      <c r="F270" s="140"/>
      <c r="G270" s="140"/>
      <c r="H270" s="140"/>
      <c r="I270" s="140"/>
      <c r="J270" s="140"/>
      <c r="K270" s="140"/>
      <c r="L270" s="140"/>
      <c r="M270" s="177"/>
      <c r="N270" s="140"/>
      <c r="O270" s="177"/>
      <c r="P270" s="140"/>
      <c r="Q270" s="178"/>
      <c r="R270" s="178"/>
      <c r="S270" s="178"/>
      <c r="T270" s="178"/>
      <c r="U270" s="179"/>
      <c r="V270" s="179"/>
      <c r="W270" s="180"/>
      <c r="X270" s="181"/>
      <c r="Y270" s="181"/>
      <c r="Z270" s="182"/>
    </row>
    <row r="271" spans="3:26" ht="20.100000000000001" customHeight="1" x14ac:dyDescent="0.25">
      <c r="C271" s="176"/>
      <c r="D271" s="176"/>
      <c r="E271" s="140"/>
      <c r="F271" s="140"/>
      <c r="G271" s="140"/>
      <c r="H271" s="140"/>
      <c r="I271" s="140"/>
      <c r="J271" s="140"/>
      <c r="K271" s="140"/>
      <c r="L271" s="140"/>
      <c r="M271" s="177"/>
      <c r="N271" s="140"/>
      <c r="O271" s="177"/>
      <c r="P271" s="140"/>
      <c r="Q271" s="178"/>
      <c r="R271" s="178"/>
      <c r="S271" s="178"/>
      <c r="T271" s="178"/>
      <c r="U271" s="179"/>
      <c r="V271" s="179"/>
      <c r="W271" s="180"/>
      <c r="X271" s="181"/>
      <c r="Y271" s="181"/>
      <c r="Z271" s="182"/>
    </row>
    <row r="272" spans="3:26" ht="20.100000000000001" customHeight="1" x14ac:dyDescent="0.25">
      <c r="C272" s="176"/>
      <c r="D272" s="176"/>
      <c r="E272" s="140"/>
      <c r="F272" s="140"/>
      <c r="G272" s="140"/>
      <c r="H272" s="140"/>
      <c r="I272" s="140"/>
      <c r="J272" s="140"/>
      <c r="K272" s="140"/>
      <c r="L272" s="140"/>
      <c r="M272" s="177"/>
      <c r="N272" s="140"/>
      <c r="O272" s="177"/>
      <c r="P272" s="140"/>
      <c r="Q272" s="178"/>
      <c r="R272" s="178"/>
      <c r="S272" s="178"/>
      <c r="T272" s="178"/>
      <c r="U272" s="179"/>
      <c r="V272" s="179"/>
      <c r="W272" s="180"/>
      <c r="X272" s="181"/>
      <c r="Y272" s="181"/>
      <c r="Z272" s="182"/>
    </row>
    <row r="273" spans="3:26" ht="20.100000000000001" customHeight="1" x14ac:dyDescent="0.25">
      <c r="C273" s="176"/>
      <c r="D273" s="176"/>
      <c r="E273" s="140"/>
      <c r="F273" s="140"/>
      <c r="G273" s="140"/>
      <c r="H273" s="140"/>
      <c r="I273" s="140"/>
      <c r="J273" s="140"/>
      <c r="K273" s="140"/>
      <c r="L273" s="140"/>
      <c r="M273" s="177"/>
      <c r="N273" s="140"/>
      <c r="O273" s="177"/>
      <c r="P273" s="140"/>
      <c r="Q273" s="178"/>
      <c r="R273" s="178"/>
      <c r="S273" s="178"/>
      <c r="T273" s="178"/>
      <c r="U273" s="179"/>
      <c r="V273" s="179"/>
      <c r="W273" s="180"/>
      <c r="X273" s="181"/>
      <c r="Y273" s="181"/>
      <c r="Z273" s="182"/>
    </row>
    <row r="274" spans="3:26" ht="20.100000000000001" customHeight="1" x14ac:dyDescent="0.25">
      <c r="C274" s="176"/>
      <c r="D274" s="176"/>
      <c r="E274" s="140"/>
      <c r="F274" s="140"/>
      <c r="G274" s="140"/>
      <c r="H274" s="140"/>
      <c r="I274" s="140"/>
      <c r="J274" s="140"/>
      <c r="K274" s="140"/>
      <c r="L274" s="140"/>
      <c r="M274" s="177"/>
      <c r="N274" s="140"/>
      <c r="O274" s="177"/>
      <c r="P274" s="140"/>
      <c r="Q274" s="178"/>
      <c r="R274" s="178"/>
      <c r="S274" s="178"/>
      <c r="T274" s="178"/>
      <c r="U274" s="179"/>
      <c r="V274" s="179"/>
      <c r="W274" s="180"/>
      <c r="X274" s="181"/>
      <c r="Y274" s="181"/>
      <c r="Z274" s="182"/>
    </row>
    <row r="275" spans="3:26" ht="20.100000000000001" customHeight="1" x14ac:dyDescent="0.25">
      <c r="C275" s="176"/>
      <c r="D275" s="176"/>
      <c r="E275" s="140"/>
      <c r="F275" s="140"/>
      <c r="G275" s="140"/>
      <c r="H275" s="140"/>
      <c r="I275" s="140"/>
      <c r="J275" s="140"/>
      <c r="K275" s="140"/>
      <c r="L275" s="140"/>
      <c r="M275" s="177"/>
      <c r="N275" s="140"/>
      <c r="O275" s="177"/>
      <c r="P275" s="140"/>
      <c r="Q275" s="178"/>
      <c r="R275" s="178"/>
      <c r="S275" s="178"/>
      <c r="T275" s="178"/>
      <c r="U275" s="179"/>
      <c r="V275" s="179"/>
      <c r="W275" s="180"/>
      <c r="X275" s="181"/>
      <c r="Y275" s="181"/>
      <c r="Z275" s="182"/>
    </row>
    <row r="276" spans="3:26" ht="20.100000000000001" customHeight="1" x14ac:dyDescent="0.25">
      <c r="C276" s="176"/>
      <c r="D276" s="176"/>
      <c r="E276" s="140"/>
      <c r="F276" s="140"/>
      <c r="G276" s="140"/>
      <c r="H276" s="140"/>
      <c r="I276" s="140"/>
      <c r="J276" s="140"/>
      <c r="K276" s="140"/>
      <c r="L276" s="140"/>
      <c r="M276" s="177"/>
      <c r="N276" s="140"/>
      <c r="O276" s="177"/>
      <c r="P276" s="140"/>
      <c r="Q276" s="178"/>
      <c r="R276" s="178"/>
      <c r="S276" s="178"/>
      <c r="T276" s="178"/>
      <c r="U276" s="179"/>
      <c r="V276" s="179"/>
      <c r="W276" s="180"/>
      <c r="X276" s="181"/>
      <c r="Y276" s="181"/>
      <c r="Z276" s="182"/>
    </row>
    <row r="277" spans="3:26" ht="20.100000000000001" customHeight="1" x14ac:dyDescent="0.25">
      <c r="C277" s="176"/>
      <c r="D277" s="176"/>
      <c r="E277" s="140"/>
      <c r="F277" s="140"/>
      <c r="G277" s="140"/>
      <c r="H277" s="140"/>
      <c r="I277" s="140"/>
      <c r="J277" s="140"/>
      <c r="K277" s="140"/>
      <c r="L277" s="140"/>
      <c r="M277" s="177"/>
      <c r="N277" s="140"/>
      <c r="O277" s="177"/>
      <c r="P277" s="140"/>
      <c r="Q277" s="178"/>
      <c r="R277" s="178"/>
      <c r="S277" s="178"/>
      <c r="T277" s="178"/>
      <c r="U277" s="179"/>
      <c r="V277" s="179"/>
      <c r="W277" s="180"/>
      <c r="X277" s="181"/>
      <c r="Y277" s="181"/>
      <c r="Z277" s="182"/>
    </row>
    <row r="278" spans="3:26" ht="20.100000000000001" customHeight="1" x14ac:dyDescent="0.25">
      <c r="C278" s="176"/>
      <c r="D278" s="176"/>
      <c r="E278" s="140"/>
      <c r="F278" s="140"/>
      <c r="G278" s="140"/>
      <c r="H278" s="140"/>
      <c r="I278" s="140"/>
      <c r="J278" s="140"/>
      <c r="K278" s="140"/>
      <c r="L278" s="140"/>
      <c r="M278" s="177"/>
      <c r="N278" s="140"/>
      <c r="O278" s="177"/>
      <c r="P278" s="140"/>
      <c r="Q278" s="178"/>
      <c r="R278" s="178"/>
      <c r="S278" s="178"/>
      <c r="T278" s="178"/>
      <c r="U278" s="179"/>
      <c r="V278" s="179"/>
      <c r="W278" s="180"/>
      <c r="X278" s="181"/>
      <c r="Y278" s="181"/>
      <c r="Z278" s="182"/>
    </row>
    <row r="279" spans="3:26" ht="20.100000000000001" customHeight="1" x14ac:dyDescent="0.25">
      <c r="C279" s="176"/>
      <c r="D279" s="176"/>
      <c r="E279" s="140"/>
      <c r="F279" s="140"/>
      <c r="G279" s="140"/>
      <c r="H279" s="140"/>
      <c r="I279" s="140"/>
      <c r="J279" s="140"/>
      <c r="K279" s="140"/>
      <c r="L279" s="140"/>
      <c r="M279" s="177"/>
      <c r="N279" s="140"/>
      <c r="O279" s="177"/>
      <c r="P279" s="140"/>
      <c r="Q279" s="178"/>
      <c r="R279" s="178"/>
      <c r="S279" s="178"/>
      <c r="T279" s="178"/>
      <c r="U279" s="179"/>
      <c r="V279" s="179"/>
      <c r="W279" s="180"/>
      <c r="X279" s="181"/>
      <c r="Y279" s="181"/>
      <c r="Z279" s="182"/>
    </row>
    <row r="280" spans="3:26" ht="20.100000000000001" customHeight="1" x14ac:dyDescent="0.25">
      <c r="C280" s="176"/>
      <c r="D280" s="176"/>
      <c r="E280" s="140"/>
      <c r="F280" s="140"/>
      <c r="G280" s="140"/>
      <c r="H280" s="140"/>
      <c r="I280" s="140"/>
      <c r="J280" s="140"/>
      <c r="K280" s="140"/>
      <c r="L280" s="140"/>
      <c r="M280" s="177"/>
      <c r="N280" s="140"/>
      <c r="O280" s="177"/>
      <c r="P280" s="140"/>
      <c r="Q280" s="178"/>
      <c r="R280" s="178"/>
      <c r="S280" s="178"/>
      <c r="T280" s="178"/>
      <c r="U280" s="179"/>
      <c r="V280" s="179"/>
      <c r="W280" s="180"/>
      <c r="X280" s="181"/>
      <c r="Y280" s="181"/>
      <c r="Z280" s="182"/>
    </row>
    <row r="281" spans="3:26" ht="20.100000000000001" customHeight="1" x14ac:dyDescent="0.25">
      <c r="C281" s="176"/>
      <c r="D281" s="176"/>
      <c r="E281" s="140"/>
      <c r="F281" s="140"/>
      <c r="G281" s="140"/>
      <c r="H281" s="140"/>
      <c r="I281" s="140"/>
      <c r="J281" s="140"/>
      <c r="K281" s="140"/>
      <c r="L281" s="140"/>
      <c r="M281" s="177"/>
      <c r="N281" s="140"/>
      <c r="O281" s="177"/>
      <c r="P281" s="140"/>
      <c r="Q281" s="178"/>
      <c r="R281" s="178"/>
      <c r="S281" s="178"/>
      <c r="T281" s="178"/>
      <c r="U281" s="179"/>
      <c r="V281" s="179"/>
      <c r="W281" s="180"/>
      <c r="X281" s="181"/>
      <c r="Y281" s="181"/>
      <c r="Z281" s="182"/>
    </row>
    <row r="282" spans="3:26" ht="20.100000000000001" customHeight="1" x14ac:dyDescent="0.25">
      <c r="C282" s="176"/>
      <c r="D282" s="176"/>
      <c r="E282" s="140"/>
      <c r="F282" s="140"/>
      <c r="G282" s="140"/>
      <c r="H282" s="140"/>
      <c r="I282" s="140"/>
      <c r="J282" s="140"/>
      <c r="K282" s="140"/>
      <c r="L282" s="140"/>
      <c r="M282" s="177"/>
      <c r="N282" s="140"/>
      <c r="O282" s="177"/>
      <c r="P282" s="140"/>
      <c r="Q282" s="178"/>
      <c r="R282" s="178"/>
      <c r="S282" s="178"/>
      <c r="T282" s="178"/>
      <c r="U282" s="179"/>
      <c r="V282" s="179"/>
      <c r="W282" s="180"/>
      <c r="X282" s="181"/>
      <c r="Y282" s="181"/>
      <c r="Z282" s="182"/>
    </row>
    <row r="283" spans="3:26" ht="20.100000000000001" customHeight="1" x14ac:dyDescent="0.25">
      <c r="C283" s="176"/>
      <c r="D283" s="176"/>
      <c r="E283" s="140"/>
      <c r="F283" s="140"/>
      <c r="G283" s="140"/>
      <c r="H283" s="140"/>
      <c r="I283" s="140"/>
      <c r="J283" s="140"/>
      <c r="K283" s="140"/>
      <c r="L283" s="140"/>
      <c r="M283" s="177"/>
      <c r="N283" s="140"/>
      <c r="O283" s="177"/>
      <c r="P283" s="140"/>
      <c r="Q283" s="178"/>
      <c r="R283" s="178"/>
      <c r="S283" s="178"/>
      <c r="T283" s="178"/>
      <c r="U283" s="179"/>
      <c r="V283" s="179"/>
      <c r="W283" s="180"/>
      <c r="X283" s="181"/>
      <c r="Y283" s="181"/>
      <c r="Z283" s="182"/>
    </row>
    <row r="284" spans="3:26" ht="20.100000000000001" customHeight="1" x14ac:dyDescent="0.25">
      <c r="C284" s="176"/>
      <c r="D284" s="176"/>
      <c r="E284" s="140"/>
      <c r="F284" s="140"/>
      <c r="G284" s="140"/>
      <c r="H284" s="140"/>
      <c r="I284" s="140"/>
      <c r="J284" s="140"/>
      <c r="K284" s="140"/>
      <c r="L284" s="140"/>
      <c r="M284" s="177"/>
      <c r="N284" s="140"/>
      <c r="O284" s="177"/>
      <c r="P284" s="140"/>
      <c r="Q284" s="178"/>
      <c r="R284" s="178"/>
      <c r="S284" s="178"/>
      <c r="T284" s="178"/>
      <c r="U284" s="179"/>
      <c r="V284" s="179"/>
      <c r="W284" s="180"/>
      <c r="X284" s="181"/>
      <c r="Y284" s="181"/>
      <c r="Z284" s="182"/>
    </row>
    <row r="285" spans="3:26" ht="20.100000000000001" customHeight="1" x14ac:dyDescent="0.25">
      <c r="C285" s="176"/>
      <c r="D285" s="176"/>
      <c r="E285" s="140"/>
      <c r="F285" s="140"/>
      <c r="G285" s="140"/>
      <c r="H285" s="140"/>
      <c r="I285" s="140"/>
      <c r="J285" s="140"/>
      <c r="K285" s="140"/>
      <c r="L285" s="140"/>
      <c r="M285" s="177"/>
      <c r="N285" s="140"/>
      <c r="O285" s="177"/>
      <c r="P285" s="140"/>
      <c r="Q285" s="178"/>
      <c r="R285" s="178"/>
      <c r="S285" s="178"/>
      <c r="T285" s="178"/>
      <c r="U285" s="179"/>
      <c r="V285" s="179"/>
      <c r="W285" s="180"/>
      <c r="X285" s="181"/>
      <c r="Y285" s="181"/>
      <c r="Z285" s="182"/>
    </row>
    <row r="286" spans="3:26" ht="20.100000000000001" customHeight="1" x14ac:dyDescent="0.25">
      <c r="C286" s="176"/>
      <c r="D286" s="176"/>
      <c r="E286" s="140"/>
      <c r="F286" s="140"/>
      <c r="G286" s="140"/>
      <c r="H286" s="140"/>
      <c r="I286" s="140"/>
      <c r="J286" s="140"/>
      <c r="K286" s="140"/>
      <c r="L286" s="140"/>
      <c r="M286" s="177"/>
      <c r="N286" s="140"/>
      <c r="O286" s="177"/>
      <c r="P286" s="140"/>
      <c r="Q286" s="178"/>
      <c r="R286" s="178"/>
      <c r="S286" s="178"/>
      <c r="T286" s="178"/>
      <c r="U286" s="179"/>
      <c r="V286" s="179"/>
      <c r="W286" s="180"/>
      <c r="X286" s="181"/>
      <c r="Y286" s="181"/>
      <c r="Z286" s="182"/>
    </row>
    <row r="287" spans="3:26" ht="20.100000000000001" customHeight="1" x14ac:dyDescent="0.25">
      <c r="C287" s="176"/>
      <c r="D287" s="176"/>
      <c r="E287" s="140"/>
      <c r="F287" s="140"/>
      <c r="G287" s="140"/>
      <c r="H287" s="140"/>
      <c r="I287" s="140"/>
      <c r="J287" s="140"/>
      <c r="K287" s="140"/>
      <c r="L287" s="140"/>
      <c r="M287" s="177"/>
      <c r="N287" s="140"/>
      <c r="O287" s="177"/>
      <c r="P287" s="140"/>
      <c r="Q287" s="178"/>
      <c r="R287" s="178"/>
      <c r="S287" s="178"/>
      <c r="T287" s="178"/>
      <c r="U287" s="179"/>
      <c r="V287" s="179"/>
      <c r="W287" s="180"/>
      <c r="X287" s="181"/>
      <c r="Y287" s="181"/>
      <c r="Z287" s="182"/>
    </row>
    <row r="288" spans="3:26" ht="20.100000000000001" customHeight="1" x14ac:dyDescent="0.25">
      <c r="C288" s="176"/>
      <c r="D288" s="176"/>
      <c r="E288" s="140"/>
      <c r="F288" s="140"/>
      <c r="G288" s="140"/>
      <c r="H288" s="140"/>
      <c r="I288" s="140"/>
      <c r="J288" s="140"/>
      <c r="K288" s="140"/>
      <c r="L288" s="140"/>
      <c r="M288" s="177"/>
      <c r="N288" s="140"/>
      <c r="O288" s="177"/>
      <c r="P288" s="140"/>
      <c r="Q288" s="178"/>
      <c r="R288" s="178"/>
      <c r="S288" s="178"/>
      <c r="T288" s="178"/>
      <c r="U288" s="179"/>
      <c r="V288" s="179"/>
      <c r="W288" s="180"/>
      <c r="X288" s="181"/>
      <c r="Y288" s="181"/>
      <c r="Z288" s="182"/>
    </row>
    <row r="289" spans="3:26" ht="20.100000000000001" customHeight="1" x14ac:dyDescent="0.25">
      <c r="C289" s="176"/>
      <c r="D289" s="176"/>
      <c r="E289" s="140"/>
      <c r="F289" s="140"/>
      <c r="G289" s="140"/>
      <c r="H289" s="140"/>
      <c r="I289" s="140"/>
      <c r="J289" s="140"/>
      <c r="K289" s="140"/>
      <c r="L289" s="140"/>
      <c r="M289" s="177"/>
      <c r="N289" s="140"/>
      <c r="O289" s="177"/>
      <c r="P289" s="140"/>
      <c r="Q289" s="178"/>
      <c r="R289" s="178"/>
      <c r="S289" s="178"/>
      <c r="T289" s="178"/>
      <c r="U289" s="179"/>
      <c r="V289" s="179"/>
      <c r="W289" s="180"/>
      <c r="X289" s="181"/>
      <c r="Y289" s="181"/>
      <c r="Z289" s="182"/>
    </row>
    <row r="290" spans="3:26" ht="20.100000000000001" customHeight="1" x14ac:dyDescent="0.25">
      <c r="C290" s="176"/>
      <c r="D290" s="176"/>
      <c r="E290" s="140"/>
      <c r="F290" s="140"/>
      <c r="G290" s="140"/>
      <c r="H290" s="140"/>
      <c r="I290" s="140"/>
      <c r="J290" s="140"/>
      <c r="K290" s="140"/>
      <c r="L290" s="140"/>
      <c r="M290" s="177"/>
      <c r="N290" s="140"/>
      <c r="O290" s="177"/>
      <c r="P290" s="140"/>
      <c r="Q290" s="178"/>
      <c r="R290" s="178"/>
      <c r="S290" s="178"/>
      <c r="T290" s="178"/>
      <c r="U290" s="179"/>
      <c r="V290" s="179"/>
      <c r="W290" s="180"/>
      <c r="X290" s="181"/>
      <c r="Y290" s="181"/>
      <c r="Z290" s="182"/>
    </row>
    <row r="291" spans="3:26" ht="20.100000000000001" customHeight="1" x14ac:dyDescent="0.25">
      <c r="C291" s="176"/>
      <c r="D291" s="176"/>
      <c r="E291" s="140"/>
      <c r="F291" s="140"/>
      <c r="G291" s="140"/>
      <c r="H291" s="140"/>
      <c r="I291" s="140"/>
      <c r="J291" s="140"/>
      <c r="K291" s="140"/>
      <c r="L291" s="140"/>
      <c r="M291" s="177"/>
      <c r="N291" s="140"/>
      <c r="O291" s="177"/>
      <c r="P291" s="140"/>
      <c r="Q291" s="178"/>
      <c r="R291" s="178"/>
      <c r="S291" s="178"/>
      <c r="T291" s="178"/>
      <c r="U291" s="179"/>
      <c r="V291" s="179"/>
      <c r="W291" s="180"/>
      <c r="X291" s="181"/>
      <c r="Y291" s="181"/>
      <c r="Z291" s="182"/>
    </row>
    <row r="292" spans="3:26" ht="20.100000000000001" customHeight="1" x14ac:dyDescent="0.25">
      <c r="C292" s="176"/>
      <c r="D292" s="176"/>
      <c r="E292" s="140"/>
      <c r="F292" s="140"/>
      <c r="G292" s="140"/>
      <c r="H292" s="140"/>
      <c r="I292" s="140"/>
      <c r="J292" s="140"/>
      <c r="K292" s="140"/>
      <c r="L292" s="140"/>
      <c r="M292" s="177"/>
      <c r="N292" s="140"/>
      <c r="O292" s="177"/>
      <c r="P292" s="140"/>
      <c r="Q292" s="178"/>
      <c r="R292" s="178"/>
      <c r="S292" s="178"/>
      <c r="T292" s="178"/>
      <c r="U292" s="179"/>
      <c r="V292" s="179"/>
      <c r="W292" s="180"/>
      <c r="X292" s="181"/>
      <c r="Y292" s="181"/>
      <c r="Z292" s="182"/>
    </row>
    <row r="293" spans="3:26" ht="20.100000000000001" customHeight="1" x14ac:dyDescent="0.25">
      <c r="C293" s="176"/>
      <c r="D293" s="176"/>
      <c r="E293" s="140"/>
      <c r="F293" s="140"/>
      <c r="G293" s="140"/>
      <c r="H293" s="140"/>
      <c r="I293" s="140"/>
      <c r="J293" s="140"/>
      <c r="K293" s="140"/>
      <c r="L293" s="140"/>
      <c r="M293" s="177"/>
      <c r="N293" s="140"/>
      <c r="O293" s="177"/>
      <c r="P293" s="140"/>
      <c r="Q293" s="178"/>
      <c r="R293" s="178"/>
      <c r="S293" s="178"/>
      <c r="T293" s="178"/>
      <c r="U293" s="179"/>
      <c r="V293" s="179"/>
      <c r="W293" s="180"/>
      <c r="X293" s="181"/>
      <c r="Y293" s="181"/>
      <c r="Z293" s="182"/>
    </row>
    <row r="294" spans="3:26" ht="20.100000000000001" customHeight="1" x14ac:dyDescent="0.25">
      <c r="C294" s="176"/>
      <c r="D294" s="176"/>
      <c r="E294" s="140"/>
      <c r="F294" s="140"/>
      <c r="G294" s="140"/>
      <c r="H294" s="140"/>
      <c r="I294" s="140"/>
      <c r="J294" s="140"/>
      <c r="K294" s="140"/>
      <c r="L294" s="140"/>
      <c r="M294" s="177"/>
      <c r="N294" s="140"/>
      <c r="O294" s="177"/>
      <c r="P294" s="140"/>
      <c r="Q294" s="178"/>
      <c r="R294" s="178"/>
      <c r="S294" s="178"/>
      <c r="T294" s="178"/>
      <c r="U294" s="179"/>
      <c r="V294" s="179"/>
      <c r="W294" s="180"/>
      <c r="X294" s="181"/>
      <c r="Y294" s="181"/>
      <c r="Z294" s="182"/>
    </row>
    <row r="295" spans="3:26" ht="20.100000000000001" customHeight="1" x14ac:dyDescent="0.25">
      <c r="C295" s="176"/>
      <c r="D295" s="176"/>
      <c r="E295" s="140"/>
      <c r="F295" s="140"/>
      <c r="G295" s="140"/>
      <c r="H295" s="140"/>
      <c r="I295" s="140"/>
      <c r="J295" s="140"/>
      <c r="K295" s="140"/>
      <c r="L295" s="140"/>
      <c r="M295" s="177"/>
      <c r="N295" s="140"/>
      <c r="O295" s="177"/>
      <c r="P295" s="140"/>
      <c r="Q295" s="178"/>
      <c r="R295" s="178"/>
      <c r="S295" s="178"/>
      <c r="T295" s="178"/>
      <c r="U295" s="179"/>
      <c r="V295" s="179"/>
      <c r="W295" s="180"/>
      <c r="X295" s="181"/>
      <c r="Y295" s="181"/>
      <c r="Z295" s="182"/>
    </row>
    <row r="296" spans="3:26" ht="20.100000000000001" customHeight="1" x14ac:dyDescent="0.25">
      <c r="C296" s="176"/>
      <c r="D296" s="176"/>
      <c r="E296" s="140"/>
      <c r="F296" s="140"/>
      <c r="G296" s="140"/>
      <c r="H296" s="140"/>
      <c r="I296" s="140"/>
      <c r="J296" s="140"/>
      <c r="K296" s="140"/>
      <c r="L296" s="140"/>
      <c r="M296" s="177"/>
      <c r="N296" s="140"/>
      <c r="O296" s="177"/>
      <c r="P296" s="140"/>
      <c r="Q296" s="178"/>
      <c r="R296" s="178"/>
      <c r="S296" s="178"/>
      <c r="T296" s="178"/>
      <c r="U296" s="179"/>
      <c r="V296" s="179"/>
      <c r="W296" s="180"/>
      <c r="X296" s="181"/>
      <c r="Y296" s="181"/>
      <c r="Z296" s="182"/>
    </row>
    <row r="297" spans="3:26" ht="20.100000000000001" customHeight="1" x14ac:dyDescent="0.25">
      <c r="C297" s="176"/>
      <c r="D297" s="176"/>
      <c r="E297" s="140"/>
      <c r="F297" s="140"/>
      <c r="G297" s="140"/>
      <c r="H297" s="140"/>
      <c r="I297" s="140"/>
      <c r="J297" s="140"/>
      <c r="K297" s="140"/>
      <c r="L297" s="140"/>
      <c r="M297" s="177"/>
      <c r="N297" s="140"/>
      <c r="O297" s="177"/>
      <c r="P297" s="140"/>
      <c r="Q297" s="178"/>
      <c r="R297" s="178"/>
      <c r="S297" s="178"/>
      <c r="T297" s="178"/>
      <c r="U297" s="179"/>
      <c r="V297" s="179"/>
      <c r="W297" s="180"/>
      <c r="X297" s="181"/>
      <c r="Y297" s="181"/>
      <c r="Z297" s="182"/>
    </row>
    <row r="298" spans="3:26" ht="20.100000000000001" customHeight="1" x14ac:dyDescent="0.25">
      <c r="C298" s="176"/>
      <c r="D298" s="176"/>
      <c r="E298" s="140"/>
      <c r="F298" s="140"/>
      <c r="G298" s="140"/>
      <c r="H298" s="140"/>
      <c r="I298" s="140"/>
      <c r="J298" s="140"/>
      <c r="K298" s="140"/>
      <c r="L298" s="140"/>
      <c r="M298" s="177"/>
      <c r="N298" s="140"/>
      <c r="O298" s="177"/>
      <c r="P298" s="140"/>
      <c r="Q298" s="178"/>
      <c r="R298" s="178"/>
      <c r="S298" s="178"/>
      <c r="T298" s="178"/>
      <c r="U298" s="179"/>
      <c r="V298" s="179"/>
      <c r="W298" s="180"/>
      <c r="X298" s="181"/>
      <c r="Y298" s="181"/>
      <c r="Z298" s="182"/>
    </row>
    <row r="299" spans="3:26" ht="20.100000000000001" customHeight="1" x14ac:dyDescent="0.25">
      <c r="C299" s="176"/>
      <c r="D299" s="176"/>
      <c r="E299" s="140"/>
      <c r="F299" s="140"/>
      <c r="G299" s="140"/>
      <c r="H299" s="140"/>
      <c r="I299" s="140"/>
      <c r="J299" s="140"/>
      <c r="K299" s="140"/>
      <c r="L299" s="140"/>
      <c r="M299" s="177"/>
      <c r="N299" s="140"/>
      <c r="O299" s="177"/>
      <c r="P299" s="140"/>
      <c r="Q299" s="178"/>
      <c r="R299" s="178"/>
      <c r="S299" s="178"/>
      <c r="T299" s="178"/>
      <c r="U299" s="179"/>
      <c r="V299" s="179"/>
      <c r="W299" s="180"/>
      <c r="X299" s="181"/>
      <c r="Y299" s="181"/>
      <c r="Z299" s="182"/>
    </row>
    <row r="300" spans="3:26" ht="20.100000000000001" customHeight="1" x14ac:dyDescent="0.25">
      <c r="C300" s="176"/>
      <c r="D300" s="176"/>
      <c r="E300" s="140"/>
      <c r="F300" s="140"/>
      <c r="G300" s="140"/>
      <c r="H300" s="140"/>
      <c r="I300" s="140"/>
      <c r="J300" s="140"/>
      <c r="K300" s="140"/>
      <c r="L300" s="140"/>
      <c r="M300" s="177"/>
      <c r="N300" s="140"/>
      <c r="O300" s="177"/>
      <c r="P300" s="140"/>
      <c r="Q300" s="178"/>
      <c r="R300" s="178"/>
      <c r="S300" s="178"/>
      <c r="T300" s="178"/>
      <c r="U300" s="179"/>
      <c r="V300" s="179"/>
      <c r="W300" s="180"/>
      <c r="X300" s="181"/>
      <c r="Y300" s="181"/>
      <c r="Z300" s="182"/>
    </row>
    <row r="301" spans="3:26" ht="20.100000000000001" customHeight="1" x14ac:dyDescent="0.25">
      <c r="C301" s="176"/>
      <c r="D301" s="176"/>
      <c r="E301" s="140"/>
      <c r="F301" s="140"/>
      <c r="G301" s="140"/>
      <c r="H301" s="140"/>
      <c r="I301" s="140"/>
      <c r="J301" s="140"/>
      <c r="K301" s="140"/>
      <c r="L301" s="140"/>
      <c r="M301" s="177"/>
      <c r="N301" s="140"/>
      <c r="O301" s="177"/>
      <c r="P301" s="140"/>
      <c r="Q301" s="178"/>
      <c r="R301" s="178"/>
      <c r="S301" s="178"/>
      <c r="T301" s="178"/>
      <c r="U301" s="179"/>
      <c r="V301" s="179"/>
      <c r="W301" s="180"/>
      <c r="X301" s="181"/>
      <c r="Y301" s="181"/>
      <c r="Z301" s="182"/>
    </row>
    <row r="302" spans="3:26" ht="20.100000000000001" customHeight="1" x14ac:dyDescent="0.25">
      <c r="C302" s="176"/>
      <c r="D302" s="176"/>
      <c r="E302" s="140"/>
      <c r="F302" s="140"/>
      <c r="G302" s="140"/>
      <c r="H302" s="140"/>
      <c r="I302" s="140"/>
      <c r="J302" s="140"/>
      <c r="K302" s="140"/>
      <c r="L302" s="140"/>
      <c r="M302" s="177"/>
      <c r="N302" s="140"/>
      <c r="O302" s="177"/>
      <c r="P302" s="140"/>
      <c r="Q302" s="178"/>
      <c r="R302" s="178"/>
      <c r="S302" s="178"/>
      <c r="T302" s="178"/>
      <c r="U302" s="179"/>
      <c r="V302" s="179"/>
      <c r="W302" s="180"/>
      <c r="X302" s="181"/>
      <c r="Y302" s="181"/>
      <c r="Z302" s="182"/>
    </row>
    <row r="303" spans="3:26" ht="20.100000000000001" customHeight="1" x14ac:dyDescent="0.25">
      <c r="C303" s="176"/>
      <c r="D303" s="176"/>
      <c r="E303" s="140"/>
      <c r="F303" s="140"/>
      <c r="G303" s="140"/>
      <c r="H303" s="140"/>
      <c r="I303" s="140"/>
      <c r="J303" s="140"/>
      <c r="K303" s="140"/>
      <c r="L303" s="140"/>
      <c r="M303" s="177"/>
      <c r="N303" s="140"/>
      <c r="O303" s="177"/>
      <c r="P303" s="140"/>
      <c r="Q303" s="178"/>
      <c r="R303" s="178"/>
      <c r="S303" s="178"/>
      <c r="T303" s="178"/>
      <c r="U303" s="179"/>
      <c r="V303" s="179"/>
      <c r="W303" s="180"/>
      <c r="X303" s="181"/>
      <c r="Y303" s="181"/>
      <c r="Z303" s="182"/>
    </row>
    <row r="304" spans="3:26" ht="20.100000000000001" customHeight="1" x14ac:dyDescent="0.25">
      <c r="C304" s="176"/>
      <c r="D304" s="176"/>
      <c r="E304" s="140"/>
      <c r="F304" s="140"/>
      <c r="G304" s="140"/>
      <c r="H304" s="140"/>
      <c r="I304" s="140"/>
      <c r="J304" s="140"/>
      <c r="K304" s="140"/>
      <c r="L304" s="140"/>
      <c r="M304" s="177"/>
      <c r="N304" s="140"/>
      <c r="O304" s="177"/>
      <c r="P304" s="140"/>
      <c r="Q304" s="178"/>
      <c r="R304" s="178"/>
      <c r="S304" s="178"/>
      <c r="T304" s="178"/>
      <c r="U304" s="179"/>
      <c r="V304" s="179"/>
      <c r="W304" s="180"/>
      <c r="X304" s="181"/>
      <c r="Y304" s="181"/>
      <c r="Z304" s="182"/>
    </row>
    <row r="305" spans="3:26" ht="20.100000000000001" customHeight="1" x14ac:dyDescent="0.25">
      <c r="C305" s="176"/>
      <c r="D305" s="176"/>
      <c r="E305" s="140"/>
      <c r="F305" s="140"/>
      <c r="G305" s="140"/>
      <c r="H305" s="140"/>
      <c r="I305" s="140"/>
      <c r="J305" s="140"/>
      <c r="K305" s="140"/>
      <c r="L305" s="140"/>
      <c r="M305" s="177"/>
      <c r="N305" s="140"/>
      <c r="O305" s="177"/>
      <c r="P305" s="140"/>
      <c r="Q305" s="178"/>
      <c r="R305" s="178"/>
      <c r="S305" s="178"/>
      <c r="T305" s="178"/>
      <c r="U305" s="179"/>
      <c r="V305" s="179"/>
      <c r="W305" s="180"/>
      <c r="X305" s="181"/>
      <c r="Y305" s="181"/>
      <c r="Z305" s="182"/>
    </row>
    <row r="306" spans="3:26" ht="20.100000000000001" customHeight="1" x14ac:dyDescent="0.25">
      <c r="C306" s="176"/>
      <c r="D306" s="176"/>
      <c r="E306" s="140"/>
      <c r="F306" s="140"/>
      <c r="G306" s="140"/>
      <c r="H306" s="140"/>
      <c r="I306" s="140"/>
      <c r="J306" s="140"/>
      <c r="K306" s="140"/>
      <c r="L306" s="140"/>
      <c r="M306" s="177"/>
      <c r="N306" s="140"/>
      <c r="O306" s="177"/>
      <c r="P306" s="140"/>
      <c r="Q306" s="178"/>
      <c r="R306" s="178"/>
      <c r="S306" s="178"/>
      <c r="T306" s="178"/>
      <c r="U306" s="179"/>
      <c r="V306" s="179"/>
      <c r="W306" s="180"/>
      <c r="X306" s="181"/>
      <c r="Y306" s="181"/>
      <c r="Z306" s="182"/>
    </row>
    <row r="307" spans="3:26" ht="20.100000000000001" customHeight="1" x14ac:dyDescent="0.25">
      <c r="C307" s="176"/>
      <c r="D307" s="176"/>
      <c r="E307" s="140"/>
      <c r="F307" s="140"/>
      <c r="G307" s="140"/>
      <c r="H307" s="140"/>
      <c r="I307" s="140"/>
      <c r="J307" s="140"/>
      <c r="K307" s="140"/>
      <c r="L307" s="140"/>
      <c r="M307" s="177"/>
      <c r="N307" s="140"/>
      <c r="O307" s="177"/>
      <c r="P307" s="140"/>
      <c r="Q307" s="178"/>
      <c r="R307" s="178"/>
      <c r="S307" s="178"/>
      <c r="T307" s="178"/>
      <c r="U307" s="179"/>
      <c r="V307" s="179"/>
      <c r="W307" s="180"/>
      <c r="X307" s="181"/>
      <c r="Y307" s="181"/>
      <c r="Z307" s="182"/>
    </row>
    <row r="308" spans="3:26" ht="20.100000000000001" customHeight="1" x14ac:dyDescent="0.25">
      <c r="C308" s="176"/>
      <c r="D308" s="176"/>
      <c r="E308" s="140"/>
      <c r="F308" s="140"/>
      <c r="G308" s="140"/>
      <c r="H308" s="140"/>
      <c r="I308" s="140"/>
      <c r="J308" s="140"/>
      <c r="K308" s="140"/>
      <c r="L308" s="140"/>
      <c r="M308" s="177"/>
      <c r="N308" s="140"/>
      <c r="O308" s="177"/>
      <c r="P308" s="140"/>
      <c r="Q308" s="178"/>
      <c r="R308" s="178"/>
      <c r="S308" s="178"/>
      <c r="T308" s="178"/>
      <c r="U308" s="179"/>
      <c r="V308" s="179"/>
      <c r="W308" s="180"/>
      <c r="X308" s="181"/>
      <c r="Y308" s="181"/>
      <c r="Z308" s="182"/>
    </row>
    <row r="309" spans="3:26" ht="20.100000000000001" customHeight="1" x14ac:dyDescent="0.25">
      <c r="C309" s="176"/>
      <c r="D309" s="176"/>
      <c r="E309" s="140"/>
      <c r="F309" s="140"/>
      <c r="G309" s="140"/>
      <c r="H309" s="140"/>
      <c r="I309" s="140"/>
      <c r="J309" s="140"/>
      <c r="K309" s="140"/>
      <c r="L309" s="140"/>
      <c r="M309" s="177"/>
      <c r="N309" s="140"/>
      <c r="O309" s="177"/>
      <c r="P309" s="140"/>
      <c r="Q309" s="178"/>
      <c r="R309" s="178"/>
      <c r="S309" s="178"/>
      <c r="T309" s="178"/>
      <c r="U309" s="179"/>
      <c r="V309" s="179"/>
      <c r="W309" s="180"/>
      <c r="X309" s="181"/>
      <c r="Y309" s="181"/>
      <c r="Z309" s="182"/>
    </row>
    <row r="310" spans="3:26" ht="20.100000000000001" customHeight="1" x14ac:dyDescent="0.25">
      <c r="C310" s="176"/>
      <c r="D310" s="176"/>
      <c r="E310" s="140"/>
      <c r="F310" s="140"/>
      <c r="G310" s="140"/>
      <c r="H310" s="140"/>
      <c r="I310" s="140"/>
      <c r="J310" s="140"/>
      <c r="K310" s="140"/>
      <c r="L310" s="140"/>
      <c r="M310" s="177"/>
      <c r="N310" s="140"/>
      <c r="O310" s="177"/>
      <c r="P310" s="140"/>
      <c r="Q310" s="178"/>
      <c r="R310" s="178"/>
      <c r="S310" s="178"/>
      <c r="T310" s="178"/>
      <c r="U310" s="179"/>
      <c r="V310" s="179"/>
      <c r="W310" s="180"/>
      <c r="X310" s="181"/>
      <c r="Y310" s="181"/>
      <c r="Z310" s="182"/>
    </row>
    <row r="311" spans="3:26" ht="20.100000000000001" customHeight="1" x14ac:dyDescent="0.25">
      <c r="C311" s="176"/>
      <c r="D311" s="176"/>
      <c r="E311" s="140"/>
      <c r="F311" s="140"/>
      <c r="G311" s="140"/>
      <c r="H311" s="140"/>
      <c r="I311" s="140"/>
      <c r="J311" s="140"/>
      <c r="K311" s="140"/>
      <c r="L311" s="140"/>
      <c r="M311" s="177"/>
      <c r="N311" s="140"/>
      <c r="O311" s="177"/>
      <c r="P311" s="140"/>
      <c r="Q311" s="178"/>
      <c r="R311" s="178"/>
      <c r="S311" s="178"/>
      <c r="T311" s="178"/>
      <c r="U311" s="179"/>
      <c r="V311" s="179"/>
      <c r="W311" s="180"/>
      <c r="X311" s="181"/>
      <c r="Y311" s="181"/>
      <c r="Z311" s="182"/>
    </row>
    <row r="312" spans="3:26" ht="20.100000000000001" customHeight="1" x14ac:dyDescent="0.25">
      <c r="C312" s="176"/>
      <c r="D312" s="176"/>
      <c r="E312" s="140"/>
      <c r="F312" s="140"/>
      <c r="G312" s="140"/>
      <c r="H312" s="140"/>
      <c r="I312" s="140"/>
      <c r="J312" s="140"/>
      <c r="K312" s="140"/>
      <c r="L312" s="140"/>
      <c r="M312" s="177"/>
      <c r="N312" s="140"/>
      <c r="O312" s="177"/>
      <c r="P312" s="140"/>
      <c r="Q312" s="178"/>
      <c r="R312" s="178"/>
      <c r="S312" s="178"/>
      <c r="T312" s="178"/>
      <c r="U312" s="179"/>
      <c r="V312" s="179"/>
      <c r="W312" s="180"/>
      <c r="X312" s="181"/>
      <c r="Y312" s="181"/>
      <c r="Z312" s="182"/>
    </row>
    <row r="313" spans="3:26" ht="20.100000000000001" customHeight="1" x14ac:dyDescent="0.25">
      <c r="C313" s="176"/>
      <c r="D313" s="176"/>
      <c r="E313" s="140"/>
      <c r="F313" s="140"/>
      <c r="G313" s="140"/>
      <c r="H313" s="140"/>
      <c r="I313" s="140"/>
      <c r="J313" s="140"/>
      <c r="K313" s="140"/>
      <c r="L313" s="140"/>
      <c r="M313" s="177"/>
      <c r="N313" s="140"/>
      <c r="O313" s="177"/>
      <c r="P313" s="140"/>
      <c r="Q313" s="178"/>
      <c r="R313" s="178"/>
      <c r="S313" s="178"/>
      <c r="T313" s="178"/>
      <c r="U313" s="179"/>
      <c r="V313" s="179"/>
      <c r="W313" s="180"/>
      <c r="X313" s="181"/>
      <c r="Y313" s="181"/>
      <c r="Z313" s="182"/>
    </row>
    <row r="314" spans="3:26" ht="20.100000000000001" customHeight="1" x14ac:dyDescent="0.25">
      <c r="C314" s="176"/>
      <c r="D314" s="176"/>
      <c r="E314" s="140"/>
      <c r="F314" s="140"/>
      <c r="G314" s="140"/>
      <c r="H314" s="140"/>
      <c r="I314" s="140"/>
      <c r="J314" s="140"/>
      <c r="K314" s="140"/>
      <c r="L314" s="140"/>
      <c r="M314" s="177"/>
      <c r="N314" s="140"/>
      <c r="O314" s="177"/>
      <c r="P314" s="140"/>
      <c r="Q314" s="178"/>
      <c r="R314" s="178"/>
      <c r="S314" s="178"/>
      <c r="T314" s="178"/>
      <c r="U314" s="179"/>
      <c r="V314" s="179"/>
      <c r="W314" s="180"/>
      <c r="X314" s="181"/>
      <c r="Y314" s="181"/>
      <c r="Z314" s="182"/>
    </row>
    <row r="315" spans="3:26" ht="20.100000000000001" customHeight="1" x14ac:dyDescent="0.25">
      <c r="C315" s="176"/>
      <c r="D315" s="176"/>
      <c r="E315" s="140"/>
      <c r="F315" s="140"/>
      <c r="G315" s="140"/>
      <c r="H315" s="140"/>
      <c r="I315" s="140"/>
      <c r="J315" s="140"/>
      <c r="K315" s="140"/>
      <c r="L315" s="140"/>
      <c r="M315" s="177"/>
      <c r="N315" s="140"/>
      <c r="O315" s="177"/>
      <c r="P315" s="140"/>
      <c r="Q315" s="178"/>
      <c r="R315" s="178"/>
      <c r="S315" s="178"/>
      <c r="T315" s="178"/>
      <c r="U315" s="179"/>
      <c r="V315" s="179"/>
      <c r="W315" s="180"/>
      <c r="X315" s="181"/>
      <c r="Y315" s="181"/>
      <c r="Z315" s="182"/>
    </row>
    <row r="316" spans="3:26" ht="20.100000000000001" customHeight="1" x14ac:dyDescent="0.25">
      <c r="C316" s="176"/>
      <c r="D316" s="176"/>
      <c r="E316" s="140"/>
      <c r="F316" s="140"/>
      <c r="G316" s="140"/>
      <c r="H316" s="140"/>
      <c r="I316" s="140"/>
      <c r="J316" s="140"/>
      <c r="K316" s="140"/>
      <c r="L316" s="140"/>
      <c r="M316" s="177"/>
      <c r="N316" s="140"/>
      <c r="O316" s="177"/>
      <c r="P316" s="140"/>
      <c r="Q316" s="178"/>
      <c r="R316" s="178"/>
      <c r="S316" s="178"/>
      <c r="T316" s="178"/>
      <c r="U316" s="179"/>
      <c r="V316" s="179"/>
      <c r="W316" s="180"/>
      <c r="X316" s="181"/>
      <c r="Y316" s="181"/>
      <c r="Z316" s="182"/>
    </row>
    <row r="317" spans="3:26" ht="20.100000000000001" customHeight="1" x14ac:dyDescent="0.25">
      <c r="C317" s="176"/>
      <c r="D317" s="176"/>
      <c r="E317" s="140"/>
      <c r="F317" s="140"/>
      <c r="G317" s="140"/>
      <c r="H317" s="140"/>
      <c r="I317" s="140"/>
      <c r="J317" s="140"/>
      <c r="K317" s="140"/>
      <c r="L317" s="140"/>
      <c r="M317" s="177"/>
      <c r="N317" s="140"/>
      <c r="O317" s="177"/>
      <c r="P317" s="140"/>
      <c r="Q317" s="178"/>
      <c r="R317" s="178"/>
      <c r="S317" s="178"/>
      <c r="T317" s="178"/>
      <c r="U317" s="179"/>
      <c r="V317" s="179"/>
      <c r="W317" s="180"/>
      <c r="X317" s="181"/>
      <c r="Y317" s="181"/>
      <c r="Z317" s="182"/>
    </row>
    <row r="318" spans="3:26" ht="20.100000000000001" customHeight="1" x14ac:dyDescent="0.25">
      <c r="C318" s="176"/>
      <c r="D318" s="176"/>
      <c r="E318" s="140"/>
      <c r="F318" s="140"/>
      <c r="G318" s="140"/>
      <c r="H318" s="140"/>
      <c r="I318" s="140"/>
      <c r="J318" s="140"/>
      <c r="K318" s="140"/>
      <c r="L318" s="140"/>
      <c r="M318" s="177"/>
      <c r="N318" s="140"/>
      <c r="O318" s="177"/>
      <c r="P318" s="140"/>
      <c r="Q318" s="178"/>
      <c r="R318" s="178"/>
      <c r="S318" s="178"/>
      <c r="T318" s="178"/>
      <c r="U318" s="179"/>
      <c r="V318" s="179"/>
      <c r="W318" s="180"/>
      <c r="X318" s="181"/>
      <c r="Y318" s="181"/>
      <c r="Z318" s="182"/>
    </row>
    <row r="319" spans="3:26" ht="20.100000000000001" customHeight="1" x14ac:dyDescent="0.25">
      <c r="C319" s="176"/>
      <c r="D319" s="176"/>
      <c r="E319" s="140"/>
      <c r="F319" s="140"/>
      <c r="G319" s="140"/>
      <c r="H319" s="140"/>
      <c r="I319" s="140"/>
      <c r="J319" s="140"/>
      <c r="K319" s="140"/>
      <c r="L319" s="140"/>
      <c r="M319" s="177"/>
      <c r="N319" s="140"/>
      <c r="O319" s="177"/>
      <c r="P319" s="140"/>
      <c r="Q319" s="178"/>
      <c r="R319" s="178"/>
      <c r="S319" s="178"/>
      <c r="T319" s="178"/>
      <c r="U319" s="179"/>
      <c r="V319" s="179"/>
      <c r="W319" s="180"/>
      <c r="X319" s="181"/>
      <c r="Y319" s="181"/>
      <c r="Z319" s="182"/>
    </row>
    <row r="320" spans="3:26" ht="20.100000000000001" customHeight="1" x14ac:dyDescent="0.25">
      <c r="C320" s="176"/>
      <c r="D320" s="176"/>
      <c r="E320" s="140"/>
      <c r="F320" s="140"/>
      <c r="G320" s="140"/>
      <c r="H320" s="140"/>
      <c r="I320" s="140"/>
      <c r="J320" s="140"/>
      <c r="K320" s="140"/>
      <c r="L320" s="140"/>
      <c r="M320" s="177"/>
      <c r="N320" s="140"/>
      <c r="O320" s="177"/>
      <c r="P320" s="140"/>
      <c r="Q320" s="178"/>
      <c r="R320" s="178"/>
      <c r="S320" s="178"/>
      <c r="T320" s="178"/>
      <c r="U320" s="179"/>
      <c r="V320" s="179"/>
      <c r="W320" s="180"/>
      <c r="X320" s="181"/>
      <c r="Y320" s="181"/>
      <c r="Z320" s="182"/>
    </row>
    <row r="321" spans="3:26" ht="20.100000000000001" customHeight="1" x14ac:dyDescent="0.25">
      <c r="C321" s="176"/>
      <c r="D321" s="176"/>
      <c r="E321" s="140"/>
      <c r="F321" s="140"/>
      <c r="G321" s="140"/>
      <c r="H321" s="140"/>
      <c r="I321" s="140"/>
      <c r="J321" s="140"/>
      <c r="K321" s="140"/>
      <c r="L321" s="140"/>
      <c r="M321" s="177"/>
      <c r="N321" s="140"/>
      <c r="O321" s="177"/>
      <c r="P321" s="140"/>
      <c r="Q321" s="178"/>
      <c r="R321" s="178"/>
      <c r="S321" s="178"/>
      <c r="T321" s="178"/>
      <c r="U321" s="179"/>
      <c r="V321" s="179"/>
      <c r="W321" s="180"/>
      <c r="X321" s="181"/>
      <c r="Y321" s="181"/>
      <c r="Z321" s="182"/>
    </row>
    <row r="322" spans="3:26" ht="20.100000000000001" customHeight="1" x14ac:dyDescent="0.25">
      <c r="C322" s="176"/>
      <c r="D322" s="176"/>
      <c r="E322" s="140"/>
      <c r="F322" s="140"/>
      <c r="G322" s="140"/>
      <c r="H322" s="140"/>
      <c r="I322" s="140"/>
      <c r="J322" s="140"/>
      <c r="K322" s="140"/>
      <c r="L322" s="140"/>
      <c r="M322" s="177"/>
      <c r="N322" s="140"/>
      <c r="O322" s="177"/>
      <c r="P322" s="140"/>
      <c r="Q322" s="178"/>
      <c r="R322" s="178"/>
      <c r="S322" s="178"/>
      <c r="T322" s="178"/>
      <c r="U322" s="179"/>
      <c r="V322" s="179"/>
      <c r="W322" s="180"/>
      <c r="X322" s="181"/>
      <c r="Y322" s="181"/>
      <c r="Z322" s="182"/>
    </row>
    <row r="323" spans="3:26" ht="20.100000000000001" customHeight="1" x14ac:dyDescent="0.25">
      <c r="C323" s="176"/>
      <c r="D323" s="176"/>
      <c r="E323" s="140"/>
      <c r="F323" s="140"/>
      <c r="G323" s="140"/>
      <c r="H323" s="140"/>
      <c r="I323" s="140"/>
      <c r="J323" s="140"/>
      <c r="K323" s="140"/>
      <c r="L323" s="140"/>
      <c r="M323" s="177"/>
      <c r="N323" s="140"/>
      <c r="O323" s="177"/>
      <c r="P323" s="140"/>
      <c r="Q323" s="178"/>
      <c r="R323" s="178"/>
      <c r="S323" s="178"/>
      <c r="T323" s="178"/>
      <c r="U323" s="179"/>
      <c r="V323" s="179"/>
      <c r="W323" s="180"/>
      <c r="X323" s="181"/>
      <c r="Y323" s="181"/>
      <c r="Z323" s="182"/>
    </row>
    <row r="324" spans="3:26" ht="20.100000000000001" customHeight="1" x14ac:dyDescent="0.25">
      <c r="C324" s="176"/>
      <c r="D324" s="176"/>
      <c r="E324" s="140"/>
      <c r="F324" s="140"/>
      <c r="G324" s="140"/>
      <c r="H324" s="140"/>
      <c r="I324" s="140"/>
      <c r="J324" s="140"/>
      <c r="K324" s="140"/>
      <c r="L324" s="140"/>
      <c r="M324" s="177"/>
      <c r="N324" s="140"/>
      <c r="O324" s="177"/>
      <c r="P324" s="140"/>
      <c r="Q324" s="178"/>
      <c r="R324" s="178"/>
      <c r="S324" s="178"/>
      <c r="T324" s="178"/>
      <c r="U324" s="179"/>
      <c r="V324" s="179"/>
      <c r="W324" s="180"/>
      <c r="X324" s="181"/>
      <c r="Y324" s="181"/>
      <c r="Z324" s="182"/>
    </row>
    <row r="325" spans="3:26" ht="20.100000000000001" customHeight="1" x14ac:dyDescent="0.25">
      <c r="C325" s="176"/>
      <c r="D325" s="176"/>
      <c r="E325" s="140"/>
      <c r="F325" s="140"/>
      <c r="G325" s="140"/>
      <c r="H325" s="140"/>
      <c r="I325" s="140"/>
      <c r="J325" s="140"/>
      <c r="K325" s="140"/>
      <c r="L325" s="140"/>
      <c r="M325" s="177"/>
      <c r="N325" s="140"/>
      <c r="O325" s="177"/>
      <c r="P325" s="140"/>
      <c r="Q325" s="178"/>
      <c r="R325" s="178"/>
      <c r="S325" s="178"/>
      <c r="T325" s="178"/>
      <c r="U325" s="179"/>
      <c r="V325" s="179"/>
      <c r="W325" s="180"/>
      <c r="X325" s="181"/>
      <c r="Y325" s="181"/>
      <c r="Z325" s="182"/>
    </row>
    <row r="326" spans="3:26" ht="20.100000000000001" customHeight="1" x14ac:dyDescent="0.25">
      <c r="C326" s="176"/>
      <c r="D326" s="176"/>
      <c r="E326" s="140"/>
      <c r="F326" s="140"/>
      <c r="G326" s="140"/>
      <c r="H326" s="140"/>
      <c r="I326" s="140"/>
      <c r="J326" s="140"/>
      <c r="K326" s="140"/>
      <c r="L326" s="140"/>
      <c r="M326" s="177"/>
      <c r="N326" s="140"/>
      <c r="O326" s="177"/>
      <c r="P326" s="140"/>
      <c r="Q326" s="178"/>
      <c r="R326" s="178"/>
      <c r="S326" s="178"/>
      <c r="T326" s="178"/>
      <c r="U326" s="179"/>
      <c r="V326" s="179"/>
      <c r="W326" s="180"/>
      <c r="X326" s="181"/>
      <c r="Y326" s="181"/>
      <c r="Z326" s="182"/>
    </row>
    <row r="327" spans="3:26" ht="20.100000000000001" customHeight="1" x14ac:dyDescent="0.25">
      <c r="C327" s="176"/>
      <c r="D327" s="176"/>
      <c r="E327" s="140"/>
      <c r="F327" s="140"/>
      <c r="G327" s="140"/>
      <c r="H327" s="140"/>
      <c r="I327" s="140"/>
      <c r="J327" s="140"/>
      <c r="K327" s="140"/>
      <c r="L327" s="140"/>
      <c r="M327" s="177"/>
      <c r="N327" s="140"/>
      <c r="O327" s="177"/>
      <c r="P327" s="140"/>
      <c r="Q327" s="178"/>
      <c r="R327" s="178"/>
      <c r="S327" s="178"/>
      <c r="T327" s="178"/>
      <c r="U327" s="179"/>
      <c r="V327" s="179"/>
      <c r="W327" s="180"/>
      <c r="X327" s="181"/>
      <c r="Y327" s="181"/>
      <c r="Z327" s="182"/>
    </row>
    <row r="328" spans="3:26" ht="20.100000000000001" customHeight="1" x14ac:dyDescent="0.25">
      <c r="C328" s="176"/>
      <c r="D328" s="176"/>
      <c r="E328" s="140"/>
      <c r="F328" s="140"/>
      <c r="G328" s="140"/>
      <c r="H328" s="140"/>
      <c r="I328" s="140"/>
      <c r="J328" s="140"/>
      <c r="K328" s="140"/>
      <c r="L328" s="140"/>
      <c r="M328" s="177"/>
      <c r="N328" s="140"/>
      <c r="O328" s="177"/>
      <c r="P328" s="140"/>
      <c r="Q328" s="178"/>
      <c r="R328" s="178"/>
      <c r="S328" s="178"/>
      <c r="T328" s="178"/>
      <c r="U328" s="179"/>
      <c r="V328" s="179"/>
      <c r="W328" s="180"/>
      <c r="X328" s="181"/>
      <c r="Y328" s="181"/>
      <c r="Z328" s="182"/>
    </row>
    <row r="329" spans="3:26" ht="20.100000000000001" customHeight="1" x14ac:dyDescent="0.25">
      <c r="C329" s="176"/>
      <c r="D329" s="176"/>
      <c r="E329" s="140"/>
      <c r="F329" s="140"/>
      <c r="G329" s="140"/>
      <c r="H329" s="140"/>
      <c r="I329" s="140"/>
      <c r="J329" s="140"/>
      <c r="K329" s="140"/>
      <c r="L329" s="140"/>
      <c r="M329" s="177"/>
      <c r="N329" s="140"/>
      <c r="O329" s="177"/>
      <c r="P329" s="140"/>
      <c r="Q329" s="178"/>
      <c r="R329" s="178"/>
      <c r="S329" s="178"/>
      <c r="T329" s="178"/>
      <c r="U329" s="179"/>
      <c r="V329" s="179"/>
      <c r="W329" s="180"/>
      <c r="X329" s="181"/>
      <c r="Y329" s="181"/>
      <c r="Z329" s="182"/>
    </row>
    <row r="330" spans="3:26" ht="20.100000000000001" customHeight="1" x14ac:dyDescent="0.25">
      <c r="C330" s="176"/>
      <c r="D330" s="176"/>
      <c r="E330" s="140"/>
      <c r="F330" s="140"/>
      <c r="G330" s="140"/>
      <c r="H330" s="140"/>
      <c r="I330" s="140"/>
      <c r="J330" s="140"/>
      <c r="K330" s="140"/>
      <c r="L330" s="140"/>
      <c r="M330" s="177"/>
      <c r="N330" s="140"/>
      <c r="O330" s="177"/>
      <c r="P330" s="140"/>
      <c r="Q330" s="178"/>
      <c r="R330" s="178"/>
      <c r="S330" s="178"/>
      <c r="T330" s="178"/>
      <c r="U330" s="179"/>
      <c r="V330" s="179"/>
      <c r="W330" s="180"/>
      <c r="X330" s="181"/>
      <c r="Y330" s="181"/>
      <c r="Z330" s="182"/>
    </row>
    <row r="331" spans="3:26" ht="20.100000000000001" customHeight="1" x14ac:dyDescent="0.25">
      <c r="C331" s="176"/>
      <c r="D331" s="176"/>
      <c r="E331" s="140"/>
      <c r="F331" s="140"/>
      <c r="G331" s="140"/>
      <c r="H331" s="140"/>
      <c r="I331" s="140"/>
      <c r="J331" s="140"/>
      <c r="K331" s="140"/>
      <c r="L331" s="140"/>
      <c r="M331" s="177"/>
      <c r="N331" s="140"/>
      <c r="O331" s="177"/>
      <c r="P331" s="140"/>
      <c r="Q331" s="178"/>
      <c r="R331" s="178"/>
      <c r="S331" s="178"/>
      <c r="T331" s="178"/>
      <c r="U331" s="179"/>
      <c r="V331" s="179"/>
      <c r="W331" s="180"/>
      <c r="X331" s="181"/>
      <c r="Y331" s="181"/>
      <c r="Z331" s="182"/>
    </row>
    <row r="332" spans="3:26" ht="20.100000000000001" customHeight="1" x14ac:dyDescent="0.25">
      <c r="C332" s="176"/>
      <c r="D332" s="176"/>
      <c r="E332" s="140"/>
      <c r="F332" s="140"/>
      <c r="G332" s="140"/>
      <c r="H332" s="140"/>
      <c r="I332" s="140"/>
      <c r="J332" s="140"/>
      <c r="K332" s="140"/>
      <c r="L332" s="140"/>
      <c r="M332" s="177"/>
      <c r="N332" s="140"/>
      <c r="O332" s="177"/>
      <c r="P332" s="140"/>
      <c r="Q332" s="178"/>
      <c r="R332" s="178"/>
      <c r="S332" s="178"/>
      <c r="T332" s="178"/>
      <c r="U332" s="179"/>
      <c r="V332" s="179"/>
      <c r="W332" s="180"/>
      <c r="X332" s="181"/>
      <c r="Y332" s="181"/>
      <c r="Z332" s="182"/>
    </row>
    <row r="333" spans="3:26" ht="20.100000000000001" customHeight="1" x14ac:dyDescent="0.25">
      <c r="C333" s="176"/>
      <c r="D333" s="176"/>
      <c r="E333" s="140"/>
      <c r="F333" s="140"/>
      <c r="G333" s="140"/>
      <c r="H333" s="140"/>
      <c r="I333" s="140"/>
      <c r="J333" s="140"/>
      <c r="K333" s="140"/>
      <c r="L333" s="140"/>
      <c r="M333" s="177"/>
      <c r="N333" s="140"/>
      <c r="O333" s="177"/>
      <c r="P333" s="140"/>
      <c r="Q333" s="178"/>
      <c r="R333" s="178"/>
      <c r="S333" s="178"/>
      <c r="T333" s="178"/>
      <c r="U333" s="179"/>
      <c r="V333" s="179"/>
      <c r="W333" s="180"/>
      <c r="X333" s="181"/>
      <c r="Y333" s="181"/>
      <c r="Z333" s="182"/>
    </row>
    <row r="334" spans="3:26" ht="20.100000000000001" customHeight="1" x14ac:dyDescent="0.25">
      <c r="C334" s="176"/>
      <c r="D334" s="176"/>
      <c r="E334" s="140"/>
      <c r="F334" s="140"/>
      <c r="G334" s="140"/>
      <c r="H334" s="140"/>
      <c r="I334" s="140"/>
      <c r="J334" s="140"/>
      <c r="K334" s="140"/>
      <c r="L334" s="140"/>
      <c r="M334" s="177"/>
      <c r="N334" s="140"/>
      <c r="O334" s="177"/>
      <c r="P334" s="140"/>
      <c r="Q334" s="178"/>
      <c r="R334" s="178"/>
      <c r="S334" s="178"/>
      <c r="T334" s="178"/>
      <c r="U334" s="179"/>
      <c r="V334" s="179"/>
      <c r="W334" s="180"/>
      <c r="X334" s="181"/>
      <c r="Y334" s="181"/>
      <c r="Z334" s="182"/>
    </row>
    <row r="335" spans="3:26" ht="20.100000000000001" customHeight="1" x14ac:dyDescent="0.25">
      <c r="C335" s="176"/>
      <c r="D335" s="176"/>
      <c r="E335" s="140"/>
      <c r="F335" s="140"/>
      <c r="G335" s="140"/>
      <c r="H335" s="140"/>
      <c r="I335" s="140"/>
      <c r="J335" s="140"/>
      <c r="K335" s="140"/>
      <c r="L335" s="140"/>
      <c r="M335" s="177"/>
      <c r="N335" s="140"/>
      <c r="O335" s="177"/>
      <c r="P335" s="140"/>
      <c r="Q335" s="178"/>
      <c r="R335" s="178"/>
      <c r="S335" s="178"/>
      <c r="T335" s="178"/>
      <c r="U335" s="179"/>
      <c r="V335" s="179"/>
      <c r="W335" s="180"/>
      <c r="X335" s="181"/>
      <c r="Y335" s="181"/>
      <c r="Z335" s="182"/>
    </row>
    <row r="336" spans="3:26" ht="20.100000000000001" customHeight="1" x14ac:dyDescent="0.25">
      <c r="C336" s="176"/>
      <c r="D336" s="176"/>
      <c r="E336" s="140"/>
      <c r="F336" s="140"/>
      <c r="G336" s="140"/>
      <c r="H336" s="140"/>
      <c r="I336" s="140"/>
      <c r="J336" s="140"/>
      <c r="K336" s="140"/>
      <c r="L336" s="140"/>
      <c r="M336" s="177"/>
      <c r="N336" s="140"/>
      <c r="O336" s="177"/>
      <c r="P336" s="140"/>
      <c r="Q336" s="178"/>
      <c r="R336" s="178"/>
      <c r="S336" s="178"/>
      <c r="T336" s="178"/>
      <c r="U336" s="179"/>
      <c r="V336" s="179"/>
      <c r="W336" s="180"/>
      <c r="X336" s="181"/>
      <c r="Y336" s="181"/>
      <c r="Z336" s="182"/>
    </row>
    <row r="337" spans="3:26" ht="20.100000000000001" customHeight="1" x14ac:dyDescent="0.25">
      <c r="C337" s="176"/>
      <c r="D337" s="176"/>
      <c r="E337" s="140"/>
      <c r="F337" s="140"/>
      <c r="G337" s="140"/>
      <c r="H337" s="140"/>
      <c r="I337" s="140"/>
      <c r="J337" s="140"/>
      <c r="K337" s="140"/>
      <c r="L337" s="140"/>
      <c r="M337" s="177"/>
      <c r="N337" s="140"/>
      <c r="O337" s="177"/>
      <c r="P337" s="140"/>
      <c r="Q337" s="178"/>
      <c r="R337" s="178"/>
      <c r="S337" s="178"/>
      <c r="T337" s="178"/>
      <c r="U337" s="179"/>
      <c r="V337" s="179"/>
      <c r="W337" s="180"/>
      <c r="X337" s="181"/>
      <c r="Y337" s="181"/>
      <c r="Z337" s="182"/>
    </row>
    <row r="338" spans="3:26" ht="20.100000000000001" customHeight="1" x14ac:dyDescent="0.25">
      <c r="C338" s="176"/>
      <c r="D338" s="176"/>
      <c r="E338" s="140"/>
      <c r="F338" s="140"/>
      <c r="G338" s="140"/>
      <c r="H338" s="140"/>
      <c r="I338" s="140"/>
      <c r="J338" s="140"/>
      <c r="K338" s="140"/>
      <c r="L338" s="140"/>
      <c r="M338" s="177"/>
      <c r="N338" s="140"/>
      <c r="O338" s="177"/>
      <c r="P338" s="140"/>
      <c r="Q338" s="178"/>
      <c r="R338" s="178"/>
      <c r="S338" s="178"/>
      <c r="T338" s="178"/>
      <c r="U338" s="179"/>
      <c r="V338" s="179"/>
      <c r="W338" s="180"/>
      <c r="X338" s="181"/>
      <c r="Y338" s="181"/>
      <c r="Z338" s="182"/>
    </row>
    <row r="339" spans="3:26" ht="20.100000000000001" customHeight="1" x14ac:dyDescent="0.25">
      <c r="C339" s="176"/>
      <c r="D339" s="176"/>
      <c r="E339" s="140"/>
      <c r="F339" s="140"/>
      <c r="G339" s="140"/>
      <c r="H339" s="140"/>
      <c r="I339" s="140"/>
      <c r="J339" s="140"/>
      <c r="K339" s="140"/>
      <c r="L339" s="140"/>
      <c r="M339" s="177"/>
      <c r="N339" s="140"/>
      <c r="O339" s="177"/>
      <c r="P339" s="140"/>
      <c r="Q339" s="178"/>
      <c r="R339" s="178"/>
      <c r="S339" s="178"/>
      <c r="T339" s="178"/>
      <c r="U339" s="179"/>
      <c r="V339" s="179"/>
      <c r="W339" s="180"/>
      <c r="X339" s="181"/>
      <c r="Y339" s="181"/>
      <c r="Z339" s="182"/>
    </row>
    <row r="340" spans="3:26" ht="20.100000000000001" customHeight="1" x14ac:dyDescent="0.25">
      <c r="C340" s="176"/>
      <c r="D340" s="176"/>
      <c r="E340" s="140"/>
      <c r="F340" s="140"/>
      <c r="G340" s="140"/>
      <c r="H340" s="140"/>
      <c r="I340" s="140"/>
      <c r="J340" s="140"/>
      <c r="K340" s="140"/>
      <c r="L340" s="140"/>
      <c r="M340" s="177"/>
      <c r="N340" s="140"/>
      <c r="O340" s="177"/>
      <c r="P340" s="140"/>
      <c r="Q340" s="178"/>
      <c r="R340" s="178"/>
      <c r="S340" s="178"/>
      <c r="T340" s="178"/>
      <c r="U340" s="179"/>
      <c r="V340" s="179"/>
      <c r="W340" s="180"/>
      <c r="X340" s="181"/>
      <c r="Y340" s="181"/>
      <c r="Z340" s="182"/>
    </row>
    <row r="341" spans="3:26" ht="20.100000000000001" customHeight="1" x14ac:dyDescent="0.25">
      <c r="C341" s="176"/>
      <c r="D341" s="176"/>
      <c r="E341" s="140"/>
      <c r="F341" s="140"/>
      <c r="G341" s="140"/>
      <c r="H341" s="140"/>
      <c r="I341" s="140"/>
      <c r="J341" s="140"/>
      <c r="K341" s="140"/>
      <c r="L341" s="140"/>
      <c r="M341" s="177"/>
      <c r="N341" s="140"/>
      <c r="O341" s="177"/>
      <c r="P341" s="140"/>
      <c r="Q341" s="178"/>
      <c r="R341" s="178"/>
      <c r="S341" s="178"/>
      <c r="T341" s="178"/>
      <c r="U341" s="179"/>
      <c r="V341" s="179"/>
      <c r="W341" s="180"/>
      <c r="X341" s="181"/>
      <c r="Y341" s="181"/>
      <c r="Z341" s="182"/>
    </row>
    <row r="342" spans="3:26" ht="20.100000000000001" customHeight="1" x14ac:dyDescent="0.25">
      <c r="C342" s="176"/>
      <c r="D342" s="176"/>
      <c r="E342" s="140"/>
      <c r="F342" s="140"/>
      <c r="G342" s="140"/>
      <c r="H342" s="140"/>
      <c r="I342" s="140"/>
      <c r="J342" s="140"/>
      <c r="K342" s="140"/>
      <c r="L342" s="140"/>
      <c r="M342" s="177"/>
      <c r="N342" s="140"/>
      <c r="O342" s="177"/>
      <c r="P342" s="140"/>
      <c r="Q342" s="178"/>
      <c r="R342" s="178"/>
      <c r="S342" s="178"/>
      <c r="T342" s="178"/>
      <c r="U342" s="179"/>
      <c r="V342" s="179"/>
      <c r="W342" s="180"/>
      <c r="X342" s="181"/>
      <c r="Y342" s="181"/>
      <c r="Z342" s="182"/>
    </row>
    <row r="343" spans="3:26" ht="20.100000000000001" customHeight="1" x14ac:dyDescent="0.25">
      <c r="C343" s="176"/>
      <c r="D343" s="176"/>
      <c r="E343" s="140"/>
      <c r="F343" s="140"/>
      <c r="G343" s="140"/>
      <c r="H343" s="140"/>
      <c r="I343" s="140"/>
      <c r="J343" s="140"/>
      <c r="K343" s="140"/>
      <c r="L343" s="140"/>
      <c r="M343" s="177"/>
      <c r="N343" s="140"/>
      <c r="O343" s="177"/>
      <c r="P343" s="140"/>
      <c r="Q343" s="178"/>
      <c r="R343" s="178"/>
      <c r="S343" s="178"/>
      <c r="T343" s="178"/>
      <c r="U343" s="179"/>
      <c r="V343" s="179"/>
      <c r="W343" s="180"/>
      <c r="X343" s="181"/>
      <c r="Y343" s="181"/>
      <c r="Z343" s="182"/>
    </row>
    <row r="344" spans="3:26" ht="20.100000000000001" customHeight="1" x14ac:dyDescent="0.25">
      <c r="C344" s="176"/>
      <c r="D344" s="176"/>
      <c r="E344" s="140"/>
      <c r="F344" s="140"/>
      <c r="G344" s="140"/>
      <c r="H344" s="140"/>
      <c r="I344" s="140"/>
      <c r="J344" s="140"/>
      <c r="K344" s="140"/>
      <c r="L344" s="140"/>
      <c r="M344" s="177"/>
      <c r="N344" s="140"/>
      <c r="O344" s="177"/>
      <c r="P344" s="140"/>
      <c r="Q344" s="178"/>
      <c r="R344" s="178"/>
      <c r="S344" s="178"/>
      <c r="T344" s="178"/>
      <c r="U344" s="179"/>
      <c r="V344" s="179"/>
      <c r="W344" s="180"/>
      <c r="X344" s="181"/>
      <c r="Y344" s="181"/>
      <c r="Z344" s="182"/>
    </row>
    <row r="345" spans="3:26" ht="20.100000000000001" customHeight="1" x14ac:dyDescent="0.25">
      <c r="C345" s="176"/>
      <c r="D345" s="176"/>
      <c r="E345" s="140"/>
      <c r="F345" s="140"/>
      <c r="G345" s="140"/>
      <c r="H345" s="140"/>
      <c r="I345" s="140"/>
      <c r="J345" s="140"/>
      <c r="K345" s="140"/>
      <c r="L345" s="140"/>
      <c r="M345" s="177"/>
      <c r="N345" s="140"/>
      <c r="O345" s="177"/>
      <c r="P345" s="140"/>
      <c r="Q345" s="178"/>
      <c r="R345" s="178"/>
      <c r="S345" s="178"/>
      <c r="T345" s="178"/>
      <c r="U345" s="179"/>
      <c r="V345" s="179"/>
      <c r="W345" s="180"/>
      <c r="X345" s="181"/>
      <c r="Y345" s="181"/>
      <c r="Z345" s="182"/>
    </row>
    <row r="346" spans="3:26" ht="20.100000000000001" customHeight="1" x14ac:dyDescent="0.25">
      <c r="C346" s="176"/>
      <c r="D346" s="176"/>
      <c r="E346" s="140"/>
      <c r="F346" s="140"/>
      <c r="G346" s="140"/>
      <c r="H346" s="140"/>
      <c r="I346" s="140"/>
      <c r="J346" s="140"/>
      <c r="K346" s="140"/>
      <c r="L346" s="140"/>
      <c r="M346" s="177"/>
      <c r="N346" s="140"/>
      <c r="O346" s="177"/>
      <c r="P346" s="140"/>
      <c r="Q346" s="178"/>
      <c r="R346" s="178"/>
      <c r="S346" s="178"/>
      <c r="T346" s="178"/>
      <c r="U346" s="179"/>
      <c r="V346" s="179"/>
      <c r="W346" s="180"/>
      <c r="X346" s="181"/>
      <c r="Y346" s="181"/>
      <c r="Z346" s="182"/>
    </row>
    <row r="347" spans="3:26" ht="20.100000000000001" customHeight="1" x14ac:dyDescent="0.25">
      <c r="C347" s="176"/>
      <c r="D347" s="176"/>
      <c r="E347" s="140"/>
      <c r="F347" s="140"/>
      <c r="G347" s="140"/>
      <c r="H347" s="140"/>
      <c r="I347" s="140"/>
      <c r="J347" s="140"/>
      <c r="K347" s="140"/>
      <c r="L347" s="140"/>
      <c r="M347" s="177"/>
      <c r="N347" s="140"/>
      <c r="O347" s="177"/>
      <c r="P347" s="140"/>
      <c r="Q347" s="178"/>
      <c r="R347" s="178"/>
      <c r="S347" s="178"/>
      <c r="T347" s="178"/>
      <c r="U347" s="179"/>
      <c r="V347" s="179"/>
      <c r="W347" s="180"/>
      <c r="X347" s="181"/>
      <c r="Y347" s="181"/>
      <c r="Z347" s="182"/>
    </row>
    <row r="348" spans="3:26" ht="20.100000000000001" customHeight="1" x14ac:dyDescent="0.25">
      <c r="C348" s="176"/>
      <c r="D348" s="176"/>
      <c r="E348" s="140"/>
      <c r="F348" s="140"/>
      <c r="G348" s="140"/>
      <c r="H348" s="140"/>
      <c r="I348" s="140"/>
      <c r="J348" s="140"/>
      <c r="K348" s="140"/>
      <c r="L348" s="140"/>
      <c r="M348" s="177"/>
      <c r="N348" s="140"/>
      <c r="O348" s="177"/>
      <c r="P348" s="140"/>
      <c r="Q348" s="178"/>
      <c r="R348" s="178"/>
      <c r="S348" s="178"/>
      <c r="T348" s="178"/>
      <c r="U348" s="179"/>
      <c r="V348" s="179"/>
      <c r="W348" s="180"/>
      <c r="X348" s="181"/>
      <c r="Y348" s="181"/>
      <c r="Z348" s="182"/>
    </row>
    <row r="349" spans="3:26" ht="20.100000000000001" customHeight="1" x14ac:dyDescent="0.25">
      <c r="C349" s="176"/>
      <c r="D349" s="176"/>
      <c r="E349" s="140"/>
      <c r="F349" s="140"/>
      <c r="G349" s="140"/>
      <c r="H349" s="140"/>
      <c r="I349" s="140"/>
      <c r="J349" s="140"/>
      <c r="K349" s="140"/>
      <c r="L349" s="140"/>
      <c r="M349" s="177"/>
      <c r="N349" s="140"/>
      <c r="O349" s="177"/>
      <c r="P349" s="140"/>
      <c r="Q349" s="178"/>
      <c r="R349" s="178"/>
      <c r="S349" s="178"/>
      <c r="T349" s="178"/>
      <c r="U349" s="179"/>
      <c r="V349" s="179"/>
      <c r="W349" s="180"/>
      <c r="X349" s="181"/>
      <c r="Y349" s="181"/>
      <c r="Z349" s="182"/>
    </row>
    <row r="350" spans="3:26" ht="20.100000000000001" customHeight="1" x14ac:dyDescent="0.25">
      <c r="C350" s="176"/>
      <c r="D350" s="176"/>
      <c r="E350" s="140"/>
      <c r="F350" s="140"/>
      <c r="G350" s="140"/>
      <c r="H350" s="140"/>
      <c r="I350" s="140"/>
      <c r="J350" s="140"/>
      <c r="K350" s="140"/>
      <c r="L350" s="140"/>
      <c r="M350" s="177"/>
      <c r="N350" s="140"/>
      <c r="O350" s="177"/>
      <c r="P350" s="140"/>
      <c r="Q350" s="178"/>
      <c r="R350" s="178"/>
      <c r="S350" s="178"/>
      <c r="T350" s="178"/>
      <c r="U350" s="179"/>
      <c r="V350" s="179"/>
      <c r="W350" s="180"/>
      <c r="X350" s="181"/>
      <c r="Y350" s="181"/>
      <c r="Z350" s="182"/>
    </row>
    <row r="351" spans="3:26" ht="20.100000000000001" customHeight="1" x14ac:dyDescent="0.25">
      <c r="C351" s="176"/>
      <c r="D351" s="176"/>
      <c r="E351" s="140"/>
      <c r="F351" s="140"/>
      <c r="G351" s="140"/>
      <c r="H351" s="140"/>
      <c r="I351" s="140"/>
      <c r="J351" s="140"/>
      <c r="K351" s="140"/>
      <c r="L351" s="140"/>
      <c r="M351" s="177"/>
      <c r="N351" s="140"/>
      <c r="O351" s="177"/>
      <c r="P351" s="140"/>
      <c r="Q351" s="178"/>
      <c r="R351" s="178"/>
      <c r="S351" s="178"/>
      <c r="T351" s="178"/>
      <c r="U351" s="179"/>
      <c r="V351" s="179"/>
      <c r="W351" s="180"/>
      <c r="X351" s="181"/>
      <c r="Y351" s="181"/>
      <c r="Z351" s="182"/>
    </row>
    <row r="352" spans="3:26" ht="20.100000000000001" customHeight="1" x14ac:dyDescent="0.25">
      <c r="C352" s="176"/>
      <c r="D352" s="176"/>
      <c r="E352" s="140"/>
      <c r="F352" s="140"/>
      <c r="G352" s="140"/>
      <c r="H352" s="140"/>
      <c r="I352" s="140"/>
      <c r="J352" s="140"/>
      <c r="K352" s="140"/>
      <c r="L352" s="140"/>
      <c r="M352" s="177"/>
      <c r="N352" s="140"/>
      <c r="O352" s="177"/>
      <c r="P352" s="140"/>
      <c r="Q352" s="178"/>
      <c r="R352" s="178"/>
      <c r="S352" s="178"/>
      <c r="T352" s="178"/>
      <c r="U352" s="179"/>
      <c r="V352" s="179"/>
      <c r="W352" s="180"/>
      <c r="X352" s="181"/>
      <c r="Y352" s="181"/>
      <c r="Z352" s="182"/>
    </row>
    <row r="353" spans="3:26" ht="20.100000000000001" customHeight="1" x14ac:dyDescent="0.25">
      <c r="C353" s="176"/>
      <c r="D353" s="176"/>
      <c r="E353" s="140"/>
      <c r="F353" s="140"/>
      <c r="G353" s="140"/>
      <c r="H353" s="140"/>
      <c r="I353" s="140"/>
      <c r="J353" s="140"/>
      <c r="K353" s="140"/>
      <c r="L353" s="140"/>
      <c r="M353" s="177"/>
      <c r="N353" s="140"/>
      <c r="O353" s="177"/>
      <c r="P353" s="140"/>
      <c r="Q353" s="178"/>
      <c r="R353" s="178"/>
      <c r="S353" s="178"/>
      <c r="T353" s="178"/>
      <c r="U353" s="179"/>
      <c r="V353" s="179"/>
      <c r="W353" s="180"/>
      <c r="X353" s="181"/>
      <c r="Y353" s="181"/>
      <c r="Z353" s="182"/>
    </row>
    <row r="354" spans="3:26" ht="20.100000000000001" customHeight="1" x14ac:dyDescent="0.25">
      <c r="C354" s="176"/>
      <c r="D354" s="176"/>
      <c r="E354" s="140"/>
      <c r="F354" s="140"/>
      <c r="G354" s="140"/>
      <c r="H354" s="140"/>
      <c r="I354" s="140"/>
      <c r="J354" s="140"/>
      <c r="K354" s="140"/>
      <c r="L354" s="140"/>
      <c r="M354" s="177"/>
      <c r="N354" s="140"/>
      <c r="O354" s="177"/>
      <c r="P354" s="140"/>
      <c r="Q354" s="178"/>
      <c r="R354" s="178"/>
      <c r="S354" s="178"/>
      <c r="T354" s="178"/>
      <c r="U354" s="179"/>
      <c r="V354" s="179"/>
      <c r="W354" s="180"/>
      <c r="X354" s="181"/>
      <c r="Y354" s="181"/>
      <c r="Z354" s="182"/>
    </row>
    <row r="355" spans="3:26" ht="20.100000000000001" customHeight="1" x14ac:dyDescent="0.25">
      <c r="C355" s="176"/>
      <c r="D355" s="176"/>
      <c r="E355" s="140"/>
      <c r="F355" s="140"/>
      <c r="G355" s="140"/>
      <c r="H355" s="140"/>
      <c r="I355" s="140"/>
      <c r="J355" s="140"/>
      <c r="K355" s="140"/>
      <c r="L355" s="140"/>
      <c r="M355" s="177"/>
      <c r="N355" s="140"/>
      <c r="O355" s="177"/>
      <c r="P355" s="140"/>
      <c r="Q355" s="178"/>
      <c r="R355" s="178"/>
      <c r="S355" s="178"/>
      <c r="T355" s="178"/>
      <c r="U355" s="179"/>
      <c r="V355" s="179"/>
      <c r="W355" s="180"/>
      <c r="X355" s="181"/>
      <c r="Y355" s="181"/>
      <c r="Z355" s="182"/>
    </row>
    <row r="356" spans="3:26" ht="20.100000000000001" customHeight="1" x14ac:dyDescent="0.25">
      <c r="C356" s="176"/>
      <c r="D356" s="176"/>
      <c r="E356" s="140"/>
      <c r="F356" s="140"/>
      <c r="G356" s="140"/>
      <c r="H356" s="140"/>
      <c r="I356" s="140"/>
      <c r="J356" s="140"/>
      <c r="K356" s="140"/>
      <c r="L356" s="140"/>
      <c r="M356" s="177"/>
      <c r="N356" s="140"/>
      <c r="O356" s="177"/>
      <c r="P356" s="140"/>
      <c r="Q356" s="178"/>
      <c r="R356" s="178"/>
      <c r="S356" s="178"/>
      <c r="T356" s="178"/>
      <c r="U356" s="179"/>
      <c r="V356" s="179"/>
      <c r="W356" s="180"/>
      <c r="X356" s="181"/>
      <c r="Y356" s="181"/>
      <c r="Z356" s="182"/>
    </row>
    <row r="357" spans="3:26" ht="20.100000000000001" customHeight="1" x14ac:dyDescent="0.25">
      <c r="C357" s="176"/>
      <c r="D357" s="176"/>
      <c r="E357" s="140"/>
      <c r="F357" s="140"/>
      <c r="G357" s="140"/>
      <c r="H357" s="140"/>
      <c r="I357" s="140"/>
      <c r="J357" s="140"/>
      <c r="K357" s="140"/>
      <c r="L357" s="140"/>
      <c r="M357" s="177"/>
      <c r="N357" s="140"/>
      <c r="O357" s="177"/>
      <c r="P357" s="140"/>
      <c r="Q357" s="178"/>
      <c r="R357" s="178"/>
      <c r="S357" s="178"/>
      <c r="T357" s="178"/>
      <c r="U357" s="179"/>
      <c r="V357" s="179"/>
      <c r="W357" s="180"/>
      <c r="X357" s="181"/>
      <c r="Y357" s="181"/>
      <c r="Z357" s="182"/>
    </row>
    <row r="358" spans="3:26" ht="20.100000000000001" customHeight="1" x14ac:dyDescent="0.25">
      <c r="C358" s="176"/>
      <c r="D358" s="176"/>
      <c r="E358" s="140"/>
      <c r="F358" s="140"/>
      <c r="G358" s="140"/>
      <c r="H358" s="140"/>
      <c r="I358" s="140"/>
      <c r="J358" s="140"/>
      <c r="K358" s="140"/>
      <c r="L358" s="140"/>
      <c r="M358" s="177"/>
      <c r="N358" s="140"/>
      <c r="O358" s="177"/>
      <c r="P358" s="140"/>
      <c r="Q358" s="178"/>
      <c r="R358" s="178"/>
      <c r="S358" s="178"/>
      <c r="T358" s="178"/>
      <c r="U358" s="179"/>
      <c r="V358" s="179"/>
      <c r="W358" s="180"/>
      <c r="X358" s="181"/>
      <c r="Y358" s="181"/>
      <c r="Z358" s="182"/>
    </row>
    <row r="359" spans="3:26" ht="20.100000000000001" customHeight="1" x14ac:dyDescent="0.25">
      <c r="C359" s="176"/>
      <c r="D359" s="176"/>
      <c r="E359" s="140"/>
      <c r="F359" s="140"/>
      <c r="G359" s="140"/>
      <c r="H359" s="140"/>
      <c r="I359" s="140"/>
      <c r="J359" s="140"/>
      <c r="K359" s="140"/>
      <c r="L359" s="140"/>
      <c r="M359" s="177"/>
      <c r="N359" s="140"/>
      <c r="O359" s="177"/>
      <c r="P359" s="140"/>
      <c r="Q359" s="178"/>
      <c r="R359" s="178"/>
      <c r="S359" s="178"/>
      <c r="T359" s="178"/>
      <c r="U359" s="179"/>
      <c r="V359" s="179"/>
      <c r="W359" s="180"/>
      <c r="X359" s="181"/>
      <c r="Y359" s="181"/>
      <c r="Z359" s="182"/>
    </row>
    <row r="360" spans="3:26" ht="20.100000000000001" customHeight="1" x14ac:dyDescent="0.25">
      <c r="C360" s="176"/>
      <c r="D360" s="176"/>
      <c r="E360" s="140"/>
      <c r="F360" s="140"/>
      <c r="G360" s="140"/>
      <c r="H360" s="140"/>
      <c r="I360" s="140"/>
      <c r="J360" s="140"/>
      <c r="K360" s="140"/>
      <c r="L360" s="140"/>
      <c r="M360" s="177"/>
      <c r="N360" s="140"/>
      <c r="O360" s="177"/>
      <c r="P360" s="140"/>
      <c r="Q360" s="178"/>
      <c r="R360" s="178"/>
      <c r="S360" s="178"/>
      <c r="T360" s="178"/>
      <c r="U360" s="179"/>
      <c r="V360" s="179"/>
      <c r="W360" s="180"/>
      <c r="X360" s="181"/>
      <c r="Y360" s="181"/>
      <c r="Z360" s="182"/>
    </row>
    <row r="361" spans="3:26" ht="20.100000000000001" customHeight="1" x14ac:dyDescent="0.25">
      <c r="C361" s="176"/>
      <c r="D361" s="176"/>
      <c r="E361" s="140"/>
      <c r="F361" s="140"/>
      <c r="G361" s="140"/>
      <c r="H361" s="140"/>
      <c r="I361" s="140"/>
      <c r="J361" s="140"/>
      <c r="K361" s="140"/>
      <c r="L361" s="140"/>
      <c r="M361" s="177"/>
      <c r="N361" s="140"/>
      <c r="O361" s="177"/>
      <c r="P361" s="140"/>
      <c r="Q361" s="178"/>
      <c r="R361" s="178"/>
      <c r="S361" s="178"/>
      <c r="T361" s="178"/>
      <c r="U361" s="179"/>
      <c r="V361" s="179"/>
      <c r="W361" s="180"/>
      <c r="X361" s="181"/>
      <c r="Y361" s="181"/>
      <c r="Z361" s="182"/>
    </row>
    <row r="362" spans="3:26" ht="20.100000000000001" customHeight="1" x14ac:dyDescent="0.25">
      <c r="C362" s="176"/>
      <c r="D362" s="176"/>
      <c r="E362" s="140"/>
      <c r="F362" s="140"/>
      <c r="G362" s="140"/>
      <c r="H362" s="140"/>
      <c r="I362" s="140"/>
      <c r="J362" s="140"/>
      <c r="K362" s="140"/>
      <c r="L362" s="140"/>
      <c r="M362" s="177"/>
      <c r="N362" s="140"/>
      <c r="O362" s="177"/>
      <c r="P362" s="140"/>
      <c r="Q362" s="178"/>
      <c r="R362" s="178"/>
      <c r="S362" s="178"/>
      <c r="T362" s="178"/>
      <c r="U362" s="179"/>
      <c r="V362" s="179"/>
      <c r="W362" s="180"/>
      <c r="X362" s="181"/>
      <c r="Y362" s="181"/>
      <c r="Z362" s="182"/>
    </row>
    <row r="363" spans="3:26" ht="20.100000000000001" customHeight="1" x14ac:dyDescent="0.25">
      <c r="C363" s="176"/>
      <c r="D363" s="176"/>
      <c r="E363" s="140"/>
      <c r="F363" s="140"/>
      <c r="G363" s="140"/>
      <c r="H363" s="140"/>
      <c r="I363" s="140"/>
      <c r="J363" s="140"/>
      <c r="K363" s="140"/>
      <c r="L363" s="140"/>
      <c r="M363" s="177"/>
      <c r="N363" s="140"/>
      <c r="O363" s="177"/>
      <c r="P363" s="140"/>
      <c r="Q363" s="178"/>
      <c r="R363" s="178"/>
      <c r="S363" s="178"/>
      <c r="T363" s="178"/>
      <c r="U363" s="179"/>
      <c r="V363" s="179"/>
      <c r="W363" s="180"/>
      <c r="X363" s="181"/>
      <c r="Y363" s="181"/>
      <c r="Z363" s="182"/>
    </row>
    <row r="364" spans="3:26" ht="20.100000000000001" customHeight="1" x14ac:dyDescent="0.25">
      <c r="C364" s="176"/>
      <c r="D364" s="176"/>
      <c r="E364" s="140"/>
      <c r="F364" s="140"/>
      <c r="G364" s="140"/>
      <c r="H364" s="140"/>
      <c r="I364" s="140"/>
      <c r="J364" s="140"/>
      <c r="K364" s="140"/>
      <c r="L364" s="140"/>
      <c r="M364" s="177"/>
      <c r="N364" s="140"/>
      <c r="O364" s="177"/>
      <c r="P364" s="140"/>
      <c r="Q364" s="178"/>
      <c r="R364" s="178"/>
      <c r="S364" s="178"/>
      <c r="T364" s="178"/>
      <c r="U364" s="179"/>
      <c r="V364" s="179"/>
      <c r="W364" s="180"/>
      <c r="X364" s="181"/>
      <c r="Y364" s="181"/>
      <c r="Z364" s="182"/>
    </row>
    <row r="365" spans="3:26" ht="20.100000000000001" customHeight="1" x14ac:dyDescent="0.25">
      <c r="C365" s="176"/>
      <c r="D365" s="176"/>
      <c r="E365" s="140"/>
      <c r="F365" s="140"/>
      <c r="G365" s="140"/>
      <c r="H365" s="140"/>
      <c r="I365" s="140"/>
      <c r="J365" s="140"/>
      <c r="K365" s="140"/>
      <c r="L365" s="140"/>
      <c r="M365" s="177"/>
      <c r="N365" s="140"/>
      <c r="O365" s="177"/>
      <c r="P365" s="140"/>
      <c r="Q365" s="178"/>
      <c r="R365" s="178"/>
      <c r="S365" s="178"/>
      <c r="T365" s="178"/>
      <c r="U365" s="179"/>
      <c r="V365" s="179"/>
      <c r="W365" s="180"/>
      <c r="X365" s="181"/>
      <c r="Y365" s="181"/>
      <c r="Z365" s="182"/>
    </row>
    <row r="366" spans="3:26" ht="20.100000000000001" customHeight="1" x14ac:dyDescent="0.25">
      <c r="C366" s="176"/>
      <c r="D366" s="176"/>
      <c r="E366" s="140"/>
      <c r="F366" s="140"/>
      <c r="G366" s="140"/>
      <c r="H366" s="140"/>
      <c r="I366" s="140"/>
      <c r="J366" s="140"/>
      <c r="K366" s="140"/>
      <c r="L366" s="140"/>
      <c r="M366" s="177"/>
      <c r="N366" s="140"/>
      <c r="O366" s="177"/>
      <c r="P366" s="140"/>
      <c r="Q366" s="178"/>
      <c r="R366" s="178"/>
      <c r="S366" s="178"/>
      <c r="T366" s="178"/>
      <c r="U366" s="179"/>
      <c r="V366" s="179"/>
      <c r="W366" s="180"/>
      <c r="X366" s="181"/>
      <c r="Y366" s="181"/>
      <c r="Z366" s="182"/>
    </row>
    <row r="367" spans="3:26" ht="20.100000000000001" customHeight="1" x14ac:dyDescent="0.25">
      <c r="C367" s="176"/>
      <c r="D367" s="176"/>
      <c r="E367" s="140"/>
      <c r="F367" s="140"/>
      <c r="G367" s="140"/>
      <c r="H367" s="140"/>
      <c r="I367" s="140"/>
      <c r="J367" s="140"/>
      <c r="K367" s="140"/>
      <c r="L367" s="140"/>
      <c r="M367" s="177"/>
      <c r="N367" s="140"/>
      <c r="O367" s="177"/>
      <c r="P367" s="140"/>
      <c r="Q367" s="178"/>
      <c r="R367" s="178"/>
      <c r="S367" s="178"/>
      <c r="T367" s="178"/>
      <c r="U367" s="179"/>
      <c r="V367" s="179"/>
      <c r="W367" s="180"/>
      <c r="X367" s="181"/>
      <c r="Y367" s="181"/>
      <c r="Z367" s="182"/>
    </row>
    <row r="368" spans="3:26" ht="20.100000000000001" customHeight="1" x14ac:dyDescent="0.25">
      <c r="C368" s="176"/>
      <c r="D368" s="176"/>
      <c r="E368" s="140"/>
      <c r="F368" s="140"/>
      <c r="G368" s="140"/>
      <c r="H368" s="140"/>
      <c r="I368" s="140"/>
      <c r="J368" s="140"/>
      <c r="K368" s="140"/>
      <c r="L368" s="140"/>
      <c r="M368" s="177"/>
      <c r="N368" s="140"/>
      <c r="O368" s="177"/>
      <c r="P368" s="140"/>
      <c r="Q368" s="178"/>
      <c r="R368" s="178"/>
      <c r="S368" s="178"/>
      <c r="T368" s="178"/>
      <c r="U368" s="179"/>
      <c r="V368" s="179"/>
      <c r="W368" s="180"/>
      <c r="X368" s="181"/>
      <c r="Y368" s="181"/>
      <c r="Z368" s="182"/>
    </row>
    <row r="369" spans="3:26" ht="20.100000000000001" customHeight="1" x14ac:dyDescent="0.25">
      <c r="C369" s="176"/>
      <c r="D369" s="176"/>
      <c r="E369" s="140"/>
      <c r="F369" s="140"/>
      <c r="G369" s="140"/>
      <c r="H369" s="140"/>
      <c r="I369" s="140"/>
      <c r="J369" s="140"/>
      <c r="K369" s="140"/>
      <c r="L369" s="140"/>
      <c r="M369" s="177"/>
      <c r="N369" s="140"/>
      <c r="O369" s="177"/>
      <c r="P369" s="140"/>
      <c r="Q369" s="178"/>
      <c r="R369" s="178"/>
      <c r="S369" s="178"/>
      <c r="T369" s="178"/>
      <c r="U369" s="179"/>
      <c r="V369" s="179"/>
      <c r="W369" s="180"/>
      <c r="X369" s="181"/>
      <c r="Y369" s="181"/>
      <c r="Z369" s="182"/>
    </row>
    <row r="370" spans="3:26" ht="20.100000000000001" customHeight="1" x14ac:dyDescent="0.25">
      <c r="C370" s="176"/>
      <c r="D370" s="176"/>
      <c r="E370" s="140"/>
      <c r="F370" s="140"/>
      <c r="G370" s="140"/>
      <c r="H370" s="140"/>
      <c r="I370" s="140"/>
      <c r="J370" s="140"/>
      <c r="K370" s="140"/>
      <c r="L370" s="140"/>
      <c r="M370" s="177"/>
      <c r="N370" s="140"/>
      <c r="O370" s="177"/>
      <c r="P370" s="140"/>
      <c r="Q370" s="178"/>
      <c r="R370" s="178"/>
      <c r="S370" s="178"/>
      <c r="T370" s="178"/>
      <c r="U370" s="179"/>
      <c r="V370" s="179"/>
      <c r="W370" s="180"/>
      <c r="X370" s="181"/>
      <c r="Y370" s="181"/>
      <c r="Z370" s="182"/>
    </row>
    <row r="371" spans="3:26" ht="20.100000000000001" customHeight="1" x14ac:dyDescent="0.25"/>
    <row r="372" spans="3:26" ht="20.100000000000001" customHeight="1" x14ac:dyDescent="0.25"/>
    <row r="373" spans="3:26" ht="20.100000000000001" customHeight="1" x14ac:dyDescent="0.25"/>
    <row r="374" spans="3:26" ht="20.100000000000001" customHeight="1" x14ac:dyDescent="0.25"/>
    <row r="375" spans="3:26" ht="20.100000000000001" customHeight="1" x14ac:dyDescent="0.25"/>
    <row r="376" spans="3:26" ht="20.100000000000001" customHeight="1" x14ac:dyDescent="0.25"/>
    <row r="377" spans="3:26" ht="20.100000000000001" customHeight="1" x14ac:dyDescent="0.25"/>
    <row r="378" spans="3:26" ht="20.100000000000001" customHeight="1" x14ac:dyDescent="0.25"/>
    <row r="379" spans="3:26" ht="20.100000000000001" customHeight="1" x14ac:dyDescent="0.25"/>
    <row r="380" spans="3:26" ht="20.100000000000001" customHeight="1" x14ac:dyDescent="0.25"/>
    <row r="381" spans="3:26" ht="20.100000000000001" customHeight="1" x14ac:dyDescent="0.25"/>
    <row r="382" spans="3:26" ht="20.100000000000001" customHeight="1" x14ac:dyDescent="0.25"/>
    <row r="383" spans="3:26" ht="20.100000000000001" customHeight="1" x14ac:dyDescent="0.25"/>
    <row r="384" spans="3:26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  <row r="435" ht="20.100000000000001" customHeight="1" x14ac:dyDescent="0.25"/>
    <row r="436" ht="20.100000000000001" customHeight="1" x14ac:dyDescent="0.25"/>
    <row r="437" ht="20.100000000000001" customHeight="1" x14ac:dyDescent="0.25"/>
    <row r="438" ht="20.100000000000001" customHeight="1" x14ac:dyDescent="0.25"/>
    <row r="439" ht="20.100000000000001" customHeight="1" x14ac:dyDescent="0.25"/>
    <row r="440" ht="20.100000000000001" customHeight="1" x14ac:dyDescent="0.25"/>
    <row r="441" ht="20.100000000000001" customHeight="1" x14ac:dyDescent="0.25"/>
    <row r="442" ht="20.100000000000001" customHeight="1" x14ac:dyDescent="0.25"/>
    <row r="443" ht="20.100000000000001" customHeight="1" x14ac:dyDescent="0.25"/>
    <row r="444" ht="20.100000000000001" customHeight="1" x14ac:dyDescent="0.25"/>
    <row r="445" ht="20.100000000000001" customHeight="1" x14ac:dyDescent="0.25"/>
    <row r="446" ht="20.100000000000001" customHeight="1" x14ac:dyDescent="0.25"/>
    <row r="447" ht="20.100000000000001" customHeight="1" x14ac:dyDescent="0.25"/>
    <row r="448" ht="20.100000000000001" customHeight="1" x14ac:dyDescent="0.25"/>
    <row r="449" ht="20.100000000000001" customHeight="1" x14ac:dyDescent="0.25"/>
    <row r="450" ht="20.100000000000001" customHeight="1" x14ac:dyDescent="0.25"/>
    <row r="451" ht="20.100000000000001" customHeight="1" x14ac:dyDescent="0.25"/>
    <row r="452" ht="20.100000000000001" customHeight="1" x14ac:dyDescent="0.25"/>
    <row r="453" ht="20.100000000000001" customHeight="1" x14ac:dyDescent="0.25"/>
    <row r="454" ht="20.100000000000001" customHeight="1" x14ac:dyDescent="0.25"/>
    <row r="455" ht="20.100000000000001" customHeight="1" x14ac:dyDescent="0.25"/>
    <row r="456" ht="20.100000000000001" customHeight="1" x14ac:dyDescent="0.25"/>
    <row r="457" ht="20.100000000000001" customHeight="1" x14ac:dyDescent="0.25"/>
    <row r="458" ht="20.100000000000001" customHeight="1" x14ac:dyDescent="0.25"/>
    <row r="459" ht="20.100000000000001" customHeight="1" x14ac:dyDescent="0.25"/>
    <row r="460" ht="20.100000000000001" customHeight="1" x14ac:dyDescent="0.25"/>
    <row r="461" ht="20.100000000000001" customHeight="1" x14ac:dyDescent="0.25"/>
    <row r="462" ht="20.100000000000001" customHeight="1" x14ac:dyDescent="0.25"/>
    <row r="463" ht="20.100000000000001" customHeight="1" x14ac:dyDescent="0.25"/>
    <row r="464" ht="20.100000000000001" customHeight="1" x14ac:dyDescent="0.25"/>
    <row r="465" ht="20.100000000000001" customHeight="1" x14ac:dyDescent="0.25"/>
    <row r="466" ht="20.100000000000001" customHeight="1" x14ac:dyDescent="0.25"/>
    <row r="467" ht="20.100000000000001" customHeight="1" x14ac:dyDescent="0.25"/>
    <row r="468" ht="20.100000000000001" customHeight="1" x14ac:dyDescent="0.25"/>
    <row r="469" ht="20.100000000000001" customHeight="1" x14ac:dyDescent="0.25"/>
    <row r="470" ht="20.100000000000001" customHeight="1" x14ac:dyDescent="0.25"/>
    <row r="471" ht="20.100000000000001" customHeight="1" x14ac:dyDescent="0.25"/>
    <row r="472" ht="20.100000000000001" customHeight="1" x14ac:dyDescent="0.25"/>
    <row r="473" ht="20.100000000000001" customHeight="1" x14ac:dyDescent="0.25"/>
    <row r="474" ht="20.100000000000001" customHeight="1" x14ac:dyDescent="0.25"/>
    <row r="475" ht="20.100000000000001" customHeight="1" x14ac:dyDescent="0.25"/>
    <row r="476" ht="20.100000000000001" customHeight="1" x14ac:dyDescent="0.25"/>
    <row r="477" ht="20.100000000000001" customHeight="1" x14ac:dyDescent="0.25"/>
    <row r="478" ht="20.100000000000001" customHeight="1" x14ac:dyDescent="0.25"/>
    <row r="479" ht="20.100000000000001" customHeight="1" x14ac:dyDescent="0.25"/>
    <row r="480" ht="20.100000000000001" customHeight="1" x14ac:dyDescent="0.25"/>
    <row r="481" ht="20.100000000000001" customHeight="1" x14ac:dyDescent="0.25"/>
    <row r="482" ht="20.100000000000001" customHeight="1" x14ac:dyDescent="0.25"/>
    <row r="483" ht="20.100000000000001" customHeight="1" x14ac:dyDescent="0.25"/>
    <row r="484" ht="20.100000000000001" customHeight="1" x14ac:dyDescent="0.25"/>
    <row r="485" ht="20.100000000000001" customHeight="1" x14ac:dyDescent="0.25"/>
    <row r="486" ht="20.100000000000001" customHeight="1" x14ac:dyDescent="0.25"/>
    <row r="487" ht="20.100000000000001" customHeight="1" x14ac:dyDescent="0.25"/>
    <row r="488" ht="20.100000000000001" customHeight="1" x14ac:dyDescent="0.25"/>
    <row r="489" ht="20.100000000000001" customHeight="1" x14ac:dyDescent="0.25"/>
    <row r="490" ht="20.100000000000001" customHeight="1" x14ac:dyDescent="0.25"/>
    <row r="491" ht="20.100000000000001" customHeight="1" x14ac:dyDescent="0.25"/>
    <row r="492" ht="20.100000000000001" customHeight="1" x14ac:dyDescent="0.25"/>
    <row r="493" ht="20.100000000000001" customHeight="1" x14ac:dyDescent="0.25"/>
    <row r="494" ht="20.100000000000001" customHeight="1" x14ac:dyDescent="0.25"/>
    <row r="495" ht="20.100000000000001" customHeight="1" x14ac:dyDescent="0.25"/>
    <row r="496" ht="20.100000000000001" customHeight="1" x14ac:dyDescent="0.25"/>
    <row r="497" ht="20.100000000000001" customHeight="1" x14ac:dyDescent="0.25"/>
    <row r="498" ht="20.100000000000001" customHeight="1" x14ac:dyDescent="0.25"/>
    <row r="499" ht="20.100000000000001" customHeight="1" x14ac:dyDescent="0.25"/>
    <row r="500" ht="20.100000000000001" customHeight="1" x14ac:dyDescent="0.25"/>
    <row r="501" ht="20.100000000000001" customHeight="1" x14ac:dyDescent="0.25"/>
    <row r="502" ht="20.100000000000001" customHeight="1" x14ac:dyDescent="0.25"/>
    <row r="503" ht="20.100000000000001" customHeight="1" x14ac:dyDescent="0.25"/>
    <row r="504" ht="20.100000000000001" customHeight="1" x14ac:dyDescent="0.25"/>
    <row r="505" ht="20.100000000000001" customHeight="1" x14ac:dyDescent="0.25"/>
    <row r="506" ht="20.100000000000001" customHeight="1" x14ac:dyDescent="0.25"/>
    <row r="507" ht="20.100000000000001" customHeight="1" x14ac:dyDescent="0.25"/>
    <row r="508" ht="20.100000000000001" customHeight="1" x14ac:dyDescent="0.25"/>
    <row r="509" ht="20.100000000000001" customHeight="1" x14ac:dyDescent="0.25"/>
    <row r="510" ht="20.100000000000001" customHeight="1" x14ac:dyDescent="0.25"/>
    <row r="511" ht="20.100000000000001" customHeight="1" x14ac:dyDescent="0.25"/>
    <row r="512" ht="20.100000000000001" customHeight="1" x14ac:dyDescent="0.25"/>
    <row r="513" ht="20.100000000000001" customHeight="1" x14ac:dyDescent="0.25"/>
    <row r="514" ht="20.100000000000001" customHeight="1" x14ac:dyDescent="0.25"/>
    <row r="515" ht="20.100000000000001" customHeight="1" x14ac:dyDescent="0.25"/>
  </sheetData>
  <autoFilter ref="C5:Z70" xr:uid="{00000000-0009-0000-0000-000003000000}"/>
  <conditionalFormatting sqref="C6:C5001">
    <cfRule type="expression" dxfId="1" priority="1">
      <formula>AND(C6&lt;&gt;"",COUNTIF($C$6:$C$5001,C6)&gt;1)</formula>
    </cfRule>
  </conditionalFormatting>
  <dataValidations count="24">
    <dataValidation type="custom" allowBlank="1" showInputMessage="1" showErrorMessage="1" errorTitle="Duplicate Trade ID" error="This Trade ID is already used. Enter a unique ID." promptTitle="Trade ID" prompt="Unique ID of the trade. A row without a Trade ID is ignored; a repeated ID rejects the trade." sqref="C6:C5001">
      <formula1>COUNTIF($C$6:$C$5001,C6)=1</formula1>
    </dataValidation>
    <dataValidation type="list" errorStyle="warning" allowBlank="1" showInputMessage="1" showErrorMessage="1" errorTitle="Netting set not listed" error="This ID is not on NettingSets. Add the netting set there, or the trade will be rejected. Continue anyway?" promptTitle="Netting set" prompt="Choose the ID of a netting set listed on NettingSets. A trade whose netting set is not listed there is rejected." sqref="D6:D5001">
      <formula1>NettingSets!$C$7:$C$206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only, Art. 280f)." sqref="E6:E5001">
      <formula1>"IR,FX,CR,EQ,CO,OT"</formula1>
    </dataValidation>
    <dataValidation type="list" allowBlank="1" showInputMessage="1" showErrorMessage="1" errorTitle="Invalid sub-class" error="Choose a category listed in the factor table on Params." promptTitle="Sub-class" prompt="Credit rating, credit or equity index type, or commodity type, from the Category column of the factor table on Params. Blank for IR, FX and OT." sqref="F6:F5001">
      <formula1>Params!$E$29:$E$54</formula1>
    </dataValidation>
    <dataValidation type="custom" allowBlank="1" showInputMessage="1" showErrorMessage="1" errorTitle="Invalid reference" error="The reference must not contain | or #." promptTitle="Risk factor / reference" prompt="IR: currency (EUR). FX: pair (EUR/USD). CR, EQ: issuer or index. CO: commodity. Trades with the same reference are aggregated together." sqref="G6:G5001">
      <formula1>AND(ISERROR(FIND("|",G6)),ISERROR(FIND("#",G6)))</formula1>
    </dataValidation>
    <dataValidation type="list" allowBlank="1" showInputMessage="1" showErrorMessage="1" errorTitle="Invalid instrument" error="Choose Linear, Option or CDO." promptTitle="Instrument" prompt="Linear, Option, or CDO (credit tranche: needs attachment and detachment)." sqref="H6:H5001">
      <formula1>"Linear,Option,CDO"</formula1>
    </dataValidation>
    <dataValidation type="list" allowBlank="1" showInputMessage="1" showErrorMessage="1" errorTitle="Invalid direction" error="Choose Long or Short." promptTitle="Direction" prompt="Long or Short in the primary risk factor; gives the sign of the supervisory delta (CRE52.38)." sqref="I6:I5001">
      <formula1>"Long,Short"</formula1>
    </dataValidation>
    <dataValidation type="list" allowBlank="1" showInputMessage="1" showErrorMessage="1" errorTitle="Invalid option type" error="Choose Call or Put." promptTitle="Option type" prompt="Options only: Call or Put." sqref="J6:J5001">
      <formula1>"Call,Put"</formula1>
    </dataValidation>
    <dataValidation type="list" allowBlank="1" showInputMessage="1" showErrorMessage="1" errorTitle="Invalid nature" error="Choose Standard, Basis or Volatility." promptTitle="Nature" prompt="Standard; Basis or Volatility transactions get their own hedging sets and factor multipliers (CRE52.46-47)." sqref="K6:K5001">
      <formula1>"Standard,Basis,Volatility"</formula1>
    </dataValidation>
    <dataValidation type="custom" allowBlank="1" showInputMessage="1" showErrorMessage="1" errorTitle="Invalid label" error="The label must not contain | or #." promptTitle="Hedging-set label" prompt="Basis and volatility trades only: label grouping the trades of one hedging set (e.g. the pair of risk factors)." sqref="L6:L5001">
      <formula1>AND(ISERROR(FIND("|",L6)),ISERROR(FIND("#",L6)))</formula1>
    </dataValidation>
    <dataValidation type="decimal" operator="greaterThan" allowBlank="1" showInputMessage="1" showErrorMessage="1" errorTitle="Invalid notional" error="Enter a number greater than zero." promptTitle="Notional" prompt="Adjusted notional, positive, in the notional currency. The sign comes from Direction." sqref="M6:M5001">
      <formula1>0</formula1>
    </dataValidation>
    <dataValidation type="custom" errorStyle="warning" allowBlank="1" showInputMessage="1" showErrorMessage="1" errorTitle="Currency not in FX table" error="This currency is not in the FX table on Params, so the trade will be rejected. Add it there. Continue anyway?" promptTitle="Notional currency" prompt="ISO code listed in the FX table on Params." sqref="N6:N5001">
      <formula1>COUNTIF(Params!$C$58:$C$77,N6)&gt;0</formula1>
    </dataValidation>
    <dataValidation type="custom" allowBlank="1" showInputMessage="1" showErrorMessage="1" errorTitle="Invalid MtM" error="Enter a number (0 if the trade has no value)." promptTitle="MtM" prompt="Mark-to-market value, signed: positive is an asset. Enter 0 if the trade has no value." sqref="O6:O5001">
      <formula1>ISNUMBER(O6)</formula1>
    </dataValidation>
    <dataValidation type="custom" errorStyle="warning" allowBlank="1" showInputMessage="1" showErrorMessage="1" errorTitle="Currency not in FX table" error="This currency is not in the FX table on Params, so the trade will be rejected. Add it there. Continue anyway?" promptTitle="MtM currency" prompt="ISO code listed in the FX table on Params; blank = notional currency." sqref="P6:P5001">
      <formula1>COUNTIF(Params!$C$58:$C$77,P6)&gt;0</formula1>
    </dataValidation>
    <dataValidation type="custom" allowBlank="1" showInputMessage="1" showErrorMessage="1" errorTitle="Invalid date" error="Enter a date between 1950 and 2200." promptTitle="Start date (S)" prompt="IR and credit: start of the time period referenced; blank = already started (CRE52.31)." sqref="Q6:Q5001">
      <formula1>AND(ISNUMBER(Q6),Q6&gt;=DATE(1950,1,1),Q6&lt;=DATE(2200,12,31))</formula1>
    </dataValidation>
    <dataValidation type="custom" allowBlank="1" showInputMessage="1" showErrorMessage="1" errorTitle="Invalid end date" error="Enter a date between 1950 and 2200, after the start date." promptTitle="End date (E)" prompt="IR and credit: end of the time period referenced (CRE52.31)." sqref="R6:R5001">
      <formula1>AND(ISNUMBER(R6),R6&gt;=DATE(1950,1,1),R6&lt;=DATE(2200,12,31),OR(Q6="",R6&gt;Q6))</formula1>
    </dataValidation>
    <dataValidation type="custom" allowBlank="1" showInputMessage="1" showErrorMessage="1" errorTitle="Invalid date" error="Enter a date between 1950 and 2200." promptTitle="Maturity date (M)" prompt="Latest date the contract may still be active (CRE52.48); blank = end date." sqref="S6:S5001">
      <formula1>AND(ISNUMBER(S6),S6&gt;=DATE(1950,1,1),S6&lt;=DATE(2200,12,31))</formula1>
    </dataValidation>
    <dataValidation type="custom" allowBlank="1" showInputMessage="1" showErrorMessage="1" errorTitle="Invalid date" error="Enter a date between 1950 and 2200." promptTitle="Option expiry (T)" prompt="Options only: latest exercise date (CRE52.40)." sqref="T6:T5001">
      <formula1>AND(ISNUMBER(T6),T6&gt;=DATE(1950,1,1),T6&lt;=DATE(2200,12,31))</formula1>
    </dataValidation>
    <dataValidation type="custom" allowBlank="1" showInputMessage="1" showErrorMessage="1" errorTitle="Invalid price" error="Enter a number." promptTitle="Underlying price P" prompt="Options only: price of the underlying (forward rate for IR options). May be negative before the lambda shift." sqref="U6:U5001">
      <formula1>ISNUMBER(U6)</formula1>
    </dataValidation>
    <dataValidation type="custom" allowBlank="1" showInputMessage="1" showErrorMessage="1" errorTitle="Invalid strike" error="Enter a number." promptTitle="Strike K" prompt="Options only: strike. May be negative before the lambda shift." sqref="V6:V5001">
      <formula1>ISNUMBER(V6)</formula1>
    </dataValidation>
    <dataValidation type="decimal" operator="greaterThanOrEqual" allowBlank="1" showInputMessage="1" showErrorMessage="1" errorTitle="Invalid lambda" error="Enter a number of zero or more." promptTitle="Lambda shift" prompt="BCBS only: shift added to P and K when they are negative (CRE52 FAQ). Under CRR the RTS lambda is applied and this is ignored." sqref="W6:W5001">
      <formula1>0</formula1>
    </dataValidation>
    <dataValidation type="decimal" operator="between" allowBlank="1" showInputMessage="1" showErrorMessage="1" errorTitle="Invalid attachment" error="Enter a decimal from 0 to below 1, e.g. 0.03 for 3%." promptTitle="Attachment A" prompt="CDO tranches only: attachment point, 0 to below 1 (CRE52.42)." sqref="X6:X5001">
      <formula1>0</formula1>
      <formula2>0.9999</formula2>
    </dataValidation>
    <dataValidation type="custom" allowBlank="1" showInputMessage="1" showErrorMessage="1" errorTitle="Invalid detachment" error="Enter a decimal above the attachment point and at most 1." promptTitle="Detachment D" prompt="CDO tranches only: detachment point, above the attachment and at most 1 (CRE52.42)." sqref="Y6:Y5001">
      <formula1>AND(ISNUMBER(Y6),Y6&gt;0,Y6&lt;=1,OR(X6="",Y6&gt;X6))</formula1>
    </dataValidation>
    <dataValidation type="textLength" operator="lessThanOrEqual" allowBlank="1" showInputMessage="1" showErrorMessage="1" errorTitle="Comment too long" error="Keep the comment to 500 characters or fewer." promptTitle="Comment" prompt="Free text, not read by the engine." sqref="Z6:Z5001">
      <formula1>500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C3:AD22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style="8" customWidth="1"/>
    <col min="4" max="4" width="44.7109375" style="8" customWidth="1"/>
    <col min="5" max="5" width="8.7109375" style="25" customWidth="1"/>
    <col min="6" max="6" width="9.7109375" style="25" customWidth="1"/>
    <col min="7" max="7" width="7.7109375" style="26" customWidth="1"/>
    <col min="8" max="8" width="8.7109375" style="26" customWidth="1"/>
    <col min="9" max="9" width="15.7109375" style="27" customWidth="1"/>
    <col min="10" max="10" width="15.7109375" style="27" customWidth="1"/>
    <col min="11" max="11" width="14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3.7109375" style="27" customWidth="1"/>
    <col min="17" max="17" width="13.7109375" style="27" customWidth="1"/>
    <col min="18" max="18" width="14.7109375" style="27" customWidth="1"/>
    <col min="19" max="19" width="10.7109375" style="28" customWidth="1"/>
    <col min="20" max="20" width="14.7109375" style="27" customWidth="1"/>
    <col min="21" max="21" width="7.7109375" style="29" customWidth="1"/>
    <col min="22" max="22" width="15.7109375" style="27" customWidth="1"/>
    <col min="23" max="23" width="15.7109375" style="27" customWidth="1"/>
    <col min="24" max="24" width="15.7109375" style="27" customWidth="1"/>
    <col min="25" max="25" width="9.7109375" style="25" customWidth="1"/>
    <col min="26" max="26" width="15.7109375" style="27" customWidth="1"/>
    <col min="27" max="27" width="15.7109375" style="27" customWidth="1"/>
    <col min="28" max="28" width="15.7109375" style="27" customWidth="1"/>
    <col min="29" max="29" width="11.7109375" style="28" customWidth="1"/>
    <col min="30" max="30" width="34.7109375" style="8" customWidth="1"/>
  </cols>
  <sheetData>
    <row r="1" ht="24" customHeight="1" s="55" customFormat="1"/>
    <row r="2" ht="26" customHeight="1" s="56" customFormat="1"/>
    <row r="3" spans="3:29" ht="34" customHeight="1">
      <c r="C3" s="1" t="s">
        <v>488</v>
      </c>
    </row>
    <row r="4" spans="3:29">
      <c r="C4" s="30" t="inlineStr">
        <is>
          <t>No results yet: build the workbook from the source, then press Run SA-CCR.</t>
        </is>
      </c>
    </row>
    <row r="5">
      <c r="C5" s="30" t="str" cm="1">
        <f t="array" ref="C5">ResultsStatusText(SACCR_RunInputs,NettingSets!$C:$Q,Trades!$C:$Y,Params!$C:$J)</f>
        <v>No results: press Run SA-CCR.</v>
      </c>
    </row>
    <row r="6" spans="3:30" ht="42" customHeight="1">
      <c r="C6" s="31" t="s">
        <v>259</v>
      </c>
      <c r="D6" s="31" t="s">
        <v>260</v>
      </c>
      <c r="E6" s="31" t="s">
        <v>165</v>
      </c>
      <c r="F6" s="31" t="s">
        <v>490</v>
      </c>
      <c r="G6" s="31" t="s">
        <v>60</v>
      </c>
      <c r="H6" s="31" t="s">
        <v>491</v>
      </c>
      <c r="I6" s="31" t="s">
        <v>492</v>
      </c>
      <c r="J6" s="31" t="s">
        <v>493</v>
      </c>
      <c r="K6" s="31" t="s">
        <v>35</v>
      </c>
      <c r="L6" s="31" t="s">
        <v>494</v>
      </c>
      <c r="M6" s="31" t="s">
        <v>495</v>
      </c>
      <c r="N6" s="31" t="s">
        <v>496</v>
      </c>
      <c r="O6" s="31" t="s">
        <v>497</v>
      </c>
      <c r="P6" s="31" t="s">
        <v>498</v>
      </c>
      <c r="Q6" s="31" t="s">
        <v>499</v>
      </c>
      <c r="R6" s="31" t="s">
        <v>500</v>
      </c>
      <c r="S6" s="31" t="s">
        <v>501</v>
      </c>
      <c r="T6" s="31" t="s">
        <v>37</v>
      </c>
      <c r="U6" s="31" t="s">
        <v>124</v>
      </c>
      <c r="V6" s="31" t="s">
        <v>502</v>
      </c>
      <c r="W6" s="31" t="s">
        <v>503</v>
      </c>
      <c r="X6" s="31" t="s">
        <v>33</v>
      </c>
      <c r="Y6" s="31" t="s">
        <v>504</v>
      </c>
      <c r="Z6" s="31" t="s">
        <v>505</v>
      </c>
      <c r="AA6" s="31" t="s">
        <v>506</v>
      </c>
      <c r="AB6" s="31" t="s">
        <v>507</v>
      </c>
      <c r="AC6" s="31" t="s">
        <v>508</v>
      </c>
      <c r="AD6" s="31" t="inlineStr">
        <is>
          <t>Status</t>
        </is>
      </c>
    </row>
    <row r="7" spans="3:29">
      <c r="C7" s="8"/>
      <c r="D7" s="8"/>
      <c r="E7" s="25"/>
      <c r="F7" s="25"/>
      <c r="G7" s="26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7"/>
      <c r="U7" s="29"/>
      <c r="X7" s="27"/>
      <c r="Y7" s="25"/>
    </row>
    <row r="8" spans="3:29">
      <c r="C8" s="8"/>
      <c r="D8" s="8"/>
      <c r="E8" s="25"/>
      <c r="F8" s="25"/>
      <c r="G8" s="26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  <c r="T8" s="27"/>
      <c r="U8" s="29"/>
      <c r="X8" s="27"/>
      <c r="Y8" s="25"/>
    </row>
    <row r="9" spans="3:29">
      <c r="C9" s="8"/>
      <c r="D9" s="8"/>
      <c r="E9" s="25"/>
      <c r="F9" s="25"/>
      <c r="G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9"/>
      <c r="X9" s="27"/>
      <c r="Y9" s="25"/>
    </row>
    <row r="10" spans="3:29">
      <c r="C10" s="8"/>
      <c r="D10" s="8"/>
      <c r="E10" s="25"/>
      <c r="F10" s="25"/>
      <c r="G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9"/>
      <c r="X10" s="27"/>
      <c r="Y10" s="25"/>
    </row>
    <row r="11" spans="3:29">
      <c r="C11" s="8"/>
      <c r="D11" s="8"/>
      <c r="E11" s="25"/>
      <c r="F11" s="25"/>
      <c r="G11" s="26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9"/>
      <c r="V11" s="27"/>
      <c r="W11" s="27"/>
      <c r="X11" s="27"/>
      <c r="Y11" s="25"/>
      <c r="Z11" s="27"/>
      <c r="AA11" s="27"/>
      <c r="AB11" s="27"/>
      <c r="AC11" s="28"/>
    </row>
    <row r="12" spans="3:29">
      <c r="C12" s="8"/>
      <c r="D12" s="8"/>
      <c r="E12" s="25"/>
      <c r="F12" s="25"/>
      <c r="G12" s="26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9"/>
      <c r="V12" s="27"/>
      <c r="W12" s="27"/>
      <c r="X12" s="27"/>
      <c r="Y12" s="25"/>
      <c r="Z12" s="27"/>
      <c r="AA12" s="27"/>
      <c r="AB12" s="27"/>
      <c r="AC12" s="28"/>
    </row>
    <row r="13" spans="3:29">
      <c r="C13" s="8"/>
      <c r="D13" s="8"/>
      <c r="E13" s="25"/>
      <c r="F13" s="25"/>
      <c r="G13" s="26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9"/>
      <c r="V13" s="27"/>
      <c r="W13" s="27"/>
      <c r="X13" s="27"/>
      <c r="Y13" s="25"/>
      <c r="Z13" s="27"/>
      <c r="AA13" s="27"/>
      <c r="AB13" s="27"/>
      <c r="AC13" s="28"/>
    </row>
    <row r="14" spans="3:29">
      <c r="C14" s="8"/>
      <c r="D14" s="8"/>
      <c r="E14" s="25"/>
      <c r="F14" s="25"/>
      <c r="G14" s="26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9"/>
      <c r="V14" s="27"/>
      <c r="W14" s="27"/>
      <c r="X14" s="27"/>
      <c r="Y14" s="25"/>
      <c r="Z14" s="27"/>
      <c r="AA14" s="27"/>
      <c r="AB14" s="27"/>
      <c r="AC14" s="28"/>
    </row>
    <row r="15" spans="3:29">
      <c r="C15" s="8"/>
      <c r="D15" s="8"/>
      <c r="E15" s="25"/>
      <c r="F15" s="25"/>
      <c r="G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9"/>
      <c r="X15" s="27"/>
      <c r="Y15" s="25"/>
    </row>
    <row r="16" spans="3:29">
      <c r="C16" s="8"/>
      <c r="D16" s="8"/>
      <c r="E16" s="25"/>
      <c r="F16" s="25"/>
      <c r="G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9"/>
      <c r="X16" s="27"/>
      <c r="Y16" s="25"/>
    </row>
    <row r="17" spans="3:29">
      <c r="C17" s="8"/>
      <c r="D17" s="8"/>
      <c r="E17" s="25"/>
      <c r="F17" s="25"/>
      <c r="G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9"/>
      <c r="X17" s="27"/>
      <c r="Y17" s="25"/>
    </row>
    <row r="18" spans="3:29">
      <c r="C18" s="8"/>
      <c r="D18" s="8"/>
      <c r="E18" s="25"/>
      <c r="F18" s="25"/>
      <c r="G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9"/>
      <c r="X18" s="27"/>
      <c r="Y18" s="25"/>
    </row>
    <row r="19" spans="3:29">
      <c r="C19" s="8"/>
      <c r="D19" s="8"/>
      <c r="E19" s="25"/>
      <c r="F19" s="25"/>
      <c r="G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9"/>
      <c r="X19" s="27"/>
      <c r="Y19" s="25"/>
    </row>
    <row r="20" spans="3:29">
      <c r="C20" s="8"/>
      <c r="D20" s="8"/>
      <c r="E20" s="25"/>
      <c r="F20" s="25"/>
      <c r="G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9"/>
      <c r="X20" s="27"/>
      <c r="Y20" s="25"/>
    </row>
    <row r="21" spans="3:29">
      <c r="C21" s="8"/>
      <c r="D21" s="8"/>
      <c r="E21" s="25"/>
      <c r="F21" s="25"/>
      <c r="G21" s="26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9"/>
      <c r="V21" s="27"/>
      <c r="W21" s="27"/>
      <c r="X21" s="27"/>
      <c r="Y21" s="25"/>
      <c r="Z21" s="27"/>
      <c r="AA21" s="27"/>
      <c r="AB21" s="27"/>
      <c r="AC21" s="28"/>
    </row>
    <row r="22" spans="3:29">
      <c r="C22" s="32"/>
      <c r="D22" s="32"/>
      <c r="E22" s="33"/>
      <c r="F22" s="33"/>
      <c r="G22" s="34"/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6"/>
      <c r="T22" s="35"/>
      <c r="U22" s="37"/>
      <c r="V22" s="35"/>
      <c r="W22" s="35"/>
      <c r="X22" s="35"/>
      <c r="Y22" s="33"/>
      <c r="Z22" s="35"/>
      <c r="AA22" s="35"/>
      <c r="AB22" s="35"/>
      <c r="AC22" s="36"/>
    </row>
  </sheetData>
  <conditionalFormatting sqref="C5">
    <cfRule type="beginsWith" dxfId="1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C3:P44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7.7109375" style="26" customWidth="1"/>
    <col min="7" max="7" width="14.7109375" style="27" customWidth="1"/>
    <col min="8" max="8" width="14.7109375" style="27" customWidth="1"/>
    <col min="9" max="9" width="14.7109375" style="27" customWidth="1"/>
    <col min="10" max="10" width="15.7109375" style="27" customWidth="1"/>
    <col min="11" max="11" width="15.7109375" style="27" customWidth="1"/>
    <col min="12" max="12" width="17.7109375" style="27" customWidth="1"/>
    <col min="13" max="13" width="15.7109375" style="27" customWidth="1"/>
    <col min="14" max="14" width="15.7109375" style="27" customWidth="1"/>
    <col min="15" max="15" width="11.7109375" style="8" customWidth="1"/>
    <col min="16" max="16" width="9.7109375" style="38" customWidth="1"/>
  </cols>
  <sheetData>
    <row r="1" ht="24" customHeight="1" s="55" customFormat="1"/>
    <row r="2" ht="26" customHeight="1" s="56" customFormat="1"/>
    <row r="3" spans="3:16" ht="34" customHeight="1">
      <c r="C3" s="1" t="s">
        <v>511</v>
      </c>
    </row>
    <row r="4" spans="3:16">
      <c r="C4" s="2" t="s">
        <v>512</v>
      </c>
    </row>
    <row r="6" spans="3:16" ht="42" customHeight="1">
      <c r="C6" s="31" t="s">
        <v>259</v>
      </c>
      <c r="D6" s="31" t="s">
        <v>177</v>
      </c>
      <c r="E6" s="31" t="s">
        <v>513</v>
      </c>
      <c r="F6" s="31" t="s">
        <v>60</v>
      </c>
      <c r="G6" s="31" t="s">
        <v>514</v>
      </c>
      <c r="H6" s="31" t="s">
        <v>515</v>
      </c>
      <c r="I6" s="31" t="s">
        <v>516</v>
      </c>
      <c r="J6" s="31" t="s">
        <v>517</v>
      </c>
      <c r="K6" s="31" t="s">
        <v>518</v>
      </c>
      <c r="L6" s="31" t="s">
        <v>519</v>
      </c>
      <c r="M6" s="31" t="s">
        <v>520</v>
      </c>
      <c r="N6" s="31" t="s">
        <v>521</v>
      </c>
      <c r="O6" s="31" t="s">
        <v>427</v>
      </c>
      <c r="P6" s="31" t="s">
        <v>522</v>
      </c>
    </row>
    <row r="7" spans="3:16">
      <c r="C7" s="8"/>
      <c r="D7" s="8"/>
      <c r="E7" s="8"/>
      <c r="F7" s="26"/>
      <c r="G7" s="27"/>
      <c r="H7" s="27"/>
      <c r="I7" s="27"/>
      <c r="J7" s="27"/>
      <c r="M7" s="27"/>
      <c r="N7" s="27"/>
      <c r="O7" s="8"/>
      <c r="P7" s="38"/>
    </row>
    <row r="8" spans="3:16">
      <c r="C8" s="8"/>
      <c r="D8" s="8"/>
      <c r="E8" s="8"/>
      <c r="F8" s="26"/>
      <c r="G8" s="27"/>
      <c r="H8" s="27"/>
      <c r="I8" s="27"/>
      <c r="J8" s="27"/>
      <c r="M8" s="27"/>
      <c r="N8" s="27"/>
      <c r="O8" s="8"/>
      <c r="P8" s="38"/>
    </row>
    <row r="9" spans="3:16">
      <c r="C9" s="8"/>
      <c r="D9" s="8"/>
      <c r="E9" s="8"/>
      <c r="F9" s="26"/>
      <c r="K9" s="27"/>
      <c r="L9" s="27"/>
      <c r="M9" s="27"/>
      <c r="N9" s="27"/>
      <c r="O9" s="8"/>
    </row>
    <row r="10" spans="3:16">
      <c r="C10" s="8"/>
      <c r="D10" s="8"/>
      <c r="E10" s="8"/>
      <c r="F10" s="26"/>
      <c r="K10" s="27"/>
      <c r="L10" s="27"/>
      <c r="M10" s="27"/>
      <c r="N10" s="27"/>
      <c r="O10" s="8"/>
    </row>
    <row r="11" spans="3:16">
      <c r="C11" s="8"/>
      <c r="D11" s="8"/>
      <c r="E11" s="8"/>
      <c r="F11" s="26"/>
      <c r="K11" s="27"/>
      <c r="L11" s="27"/>
      <c r="M11" s="27"/>
      <c r="N11" s="27"/>
      <c r="O11" s="8"/>
    </row>
    <row r="12" spans="3:16">
      <c r="C12" s="8"/>
      <c r="D12" s="8"/>
      <c r="E12" s="8"/>
      <c r="F12" s="26"/>
      <c r="G12" s="27"/>
      <c r="H12" s="27"/>
      <c r="I12" s="27"/>
      <c r="J12" s="27"/>
      <c r="M12" s="27"/>
      <c r="N12" s="27"/>
      <c r="O12" s="8"/>
      <c r="P12" s="38"/>
    </row>
    <row r="13" spans="3:16">
      <c r="C13" s="8"/>
      <c r="D13" s="8"/>
      <c r="E13" s="8"/>
      <c r="F13" s="26"/>
      <c r="G13" s="27"/>
      <c r="H13" s="27"/>
      <c r="I13" s="27"/>
      <c r="J13" s="27"/>
      <c r="M13" s="27"/>
      <c r="N13" s="27"/>
      <c r="O13" s="8"/>
      <c r="P13" s="38"/>
    </row>
    <row r="14" spans="3:16">
      <c r="C14" s="8"/>
      <c r="D14" s="8"/>
      <c r="E14" s="8"/>
      <c r="F14" s="26"/>
      <c r="K14" s="27"/>
      <c r="L14" s="27"/>
      <c r="M14" s="27"/>
      <c r="N14" s="27"/>
      <c r="O14" s="8"/>
    </row>
    <row r="15" spans="3:16">
      <c r="C15" s="8"/>
      <c r="D15" s="8"/>
      <c r="E15" s="8"/>
      <c r="F15" s="26"/>
      <c r="G15" s="27"/>
      <c r="H15" s="27"/>
      <c r="I15" s="27"/>
      <c r="J15" s="27"/>
      <c r="M15" s="27"/>
      <c r="N15" s="27"/>
      <c r="O15" s="8"/>
      <c r="P15" s="38"/>
    </row>
    <row r="16" spans="3:16">
      <c r="C16" s="8"/>
      <c r="D16" s="8"/>
      <c r="E16" s="8"/>
      <c r="F16" s="26"/>
      <c r="G16" s="27"/>
      <c r="H16" s="27"/>
      <c r="I16" s="27"/>
      <c r="J16" s="27"/>
      <c r="M16" s="27"/>
      <c r="N16" s="27"/>
      <c r="O16" s="8"/>
      <c r="P16" s="38"/>
    </row>
    <row r="17" spans="3:16">
      <c r="C17" s="8"/>
      <c r="D17" s="8"/>
      <c r="E17" s="8"/>
      <c r="F17" s="26"/>
      <c r="K17" s="27"/>
      <c r="L17" s="27"/>
      <c r="M17" s="27"/>
      <c r="N17" s="27"/>
      <c r="O17" s="8"/>
    </row>
    <row r="18" spans="3:16">
      <c r="C18" s="8"/>
      <c r="D18" s="8"/>
      <c r="E18" s="8"/>
      <c r="F18" s="26"/>
      <c r="K18" s="27"/>
      <c r="L18" s="27"/>
      <c r="M18" s="27"/>
      <c r="N18" s="27"/>
      <c r="O18" s="8"/>
    </row>
    <row r="19" spans="3:16">
      <c r="C19" s="8"/>
      <c r="D19" s="8"/>
      <c r="E19" s="8"/>
      <c r="F19" s="26"/>
      <c r="G19" s="27"/>
      <c r="H19" s="27"/>
      <c r="I19" s="27"/>
      <c r="J19" s="27"/>
      <c r="M19" s="27"/>
      <c r="N19" s="27"/>
      <c r="O19" s="8"/>
      <c r="P19" s="38"/>
    </row>
    <row r="20" spans="3:16">
      <c r="C20" s="8"/>
      <c r="D20" s="8"/>
      <c r="E20" s="8"/>
      <c r="F20" s="26"/>
      <c r="G20" s="27"/>
      <c r="H20" s="27"/>
      <c r="I20" s="27"/>
      <c r="J20" s="27"/>
      <c r="M20" s="27"/>
      <c r="N20" s="27"/>
      <c r="O20" s="8"/>
      <c r="P20" s="38"/>
    </row>
    <row r="21" spans="3:16">
      <c r="C21" s="8"/>
      <c r="D21" s="8"/>
      <c r="E21" s="8"/>
      <c r="F21" s="26"/>
      <c r="K21" s="27"/>
      <c r="L21" s="27"/>
      <c r="M21" s="27"/>
      <c r="N21" s="27"/>
      <c r="O21" s="8"/>
    </row>
    <row r="22" spans="3:16">
      <c r="C22" s="8"/>
      <c r="D22" s="8"/>
      <c r="E22" s="8"/>
      <c r="F22" s="26"/>
      <c r="K22" s="27"/>
      <c r="L22" s="27"/>
      <c r="M22" s="27"/>
      <c r="N22" s="27"/>
      <c r="O22" s="8"/>
    </row>
    <row r="23" spans="3:16">
      <c r="C23" s="8"/>
      <c r="D23" s="8"/>
      <c r="E23" s="8"/>
      <c r="F23" s="26"/>
      <c r="G23" s="27"/>
      <c r="H23" s="27"/>
      <c r="I23" s="27"/>
      <c r="J23" s="27"/>
      <c r="M23" s="27"/>
      <c r="N23" s="27"/>
      <c r="O23" s="8"/>
      <c r="P23" s="38"/>
    </row>
    <row r="24" spans="3:16">
      <c r="C24" s="8"/>
      <c r="D24" s="8"/>
      <c r="E24" s="8"/>
      <c r="F24" s="26"/>
      <c r="G24" s="27"/>
      <c r="H24" s="27"/>
      <c r="I24" s="27"/>
      <c r="J24" s="27"/>
      <c r="M24" s="27"/>
      <c r="N24" s="27"/>
      <c r="O24" s="8"/>
      <c r="P24" s="38"/>
    </row>
    <row r="25" spans="3:16">
      <c r="C25" s="8"/>
      <c r="D25" s="8"/>
      <c r="E25" s="8"/>
      <c r="F25" s="26"/>
      <c r="G25" s="27"/>
      <c r="H25" s="27"/>
      <c r="I25" s="27"/>
      <c r="J25" s="27"/>
      <c r="M25" s="27"/>
      <c r="N25" s="27"/>
      <c r="O25" s="8"/>
      <c r="P25" s="38"/>
    </row>
    <row r="26" spans="3:16">
      <c r="C26" s="8"/>
      <c r="D26" s="8"/>
      <c r="E26" s="8"/>
      <c r="F26" s="26"/>
      <c r="G26" s="27"/>
      <c r="H26" s="27"/>
      <c r="I26" s="27"/>
      <c r="J26" s="27"/>
      <c r="M26" s="27"/>
      <c r="N26" s="27"/>
      <c r="O26" s="8"/>
      <c r="P26" s="38"/>
    </row>
    <row r="27" spans="3:16">
      <c r="C27" s="8"/>
      <c r="D27" s="8"/>
      <c r="E27" s="8"/>
      <c r="F27" s="26"/>
      <c r="G27" s="27"/>
      <c r="H27" s="27"/>
      <c r="I27" s="27"/>
      <c r="J27" s="27"/>
      <c r="M27" s="27"/>
      <c r="N27" s="27"/>
      <c r="O27" s="8"/>
      <c r="P27" s="38"/>
    </row>
    <row r="28" spans="3:16">
      <c r="C28" s="8"/>
      <c r="D28" s="8"/>
      <c r="E28" s="8"/>
      <c r="F28" s="26"/>
      <c r="K28" s="27"/>
      <c r="L28" s="27"/>
      <c r="M28" s="27"/>
      <c r="N28" s="27"/>
      <c r="O28" s="8"/>
    </row>
    <row r="29" spans="3:16">
      <c r="C29" s="8"/>
      <c r="D29" s="8"/>
      <c r="E29" s="8"/>
      <c r="F29" s="26"/>
      <c r="J29" s="27"/>
      <c r="M29" s="27"/>
      <c r="N29" s="27"/>
      <c r="O29" s="8"/>
      <c r="P29" s="38"/>
    </row>
    <row r="30" spans="3:16">
      <c r="C30" s="8"/>
      <c r="D30" s="8"/>
      <c r="E30" s="8"/>
      <c r="F30" s="26"/>
      <c r="J30" s="27"/>
      <c r="M30" s="27"/>
      <c r="N30" s="27"/>
      <c r="O30" s="8"/>
      <c r="P30" s="38"/>
    </row>
    <row r="31" spans="3:16">
      <c r="C31" s="8"/>
      <c r="D31" s="8"/>
      <c r="E31" s="8"/>
      <c r="F31" s="26"/>
      <c r="K31" s="27"/>
      <c r="L31" s="27"/>
      <c r="M31" s="27"/>
      <c r="N31" s="27"/>
      <c r="O31" s="8"/>
    </row>
    <row r="32" spans="3:16">
      <c r="C32" s="8"/>
      <c r="D32" s="8"/>
      <c r="E32" s="8"/>
      <c r="F32" s="26"/>
      <c r="G32" s="27"/>
      <c r="H32" s="27"/>
      <c r="I32" s="27"/>
      <c r="J32" s="27"/>
      <c r="M32" s="27"/>
      <c r="N32" s="27"/>
      <c r="O32" s="8"/>
      <c r="P32" s="38"/>
    </row>
    <row r="33" spans="3:16">
      <c r="C33" s="8"/>
      <c r="D33" s="8"/>
      <c r="E33" s="8"/>
      <c r="F33" s="26"/>
      <c r="G33" s="27"/>
      <c r="H33" s="27"/>
      <c r="I33" s="27"/>
      <c r="J33" s="27"/>
      <c r="M33" s="27"/>
      <c r="N33" s="27"/>
      <c r="O33" s="8"/>
      <c r="P33" s="38"/>
    </row>
    <row r="34" spans="3:16">
      <c r="C34" s="8"/>
      <c r="D34" s="8"/>
      <c r="E34" s="8"/>
      <c r="F34" s="26"/>
      <c r="G34" s="27"/>
      <c r="H34" s="27"/>
      <c r="I34" s="27"/>
      <c r="J34" s="27"/>
      <c r="M34" s="27"/>
      <c r="N34" s="27"/>
      <c r="O34" s="8"/>
      <c r="P34" s="38"/>
    </row>
    <row r="35" spans="3:16">
      <c r="C35" s="8"/>
      <c r="D35" s="8"/>
      <c r="E35" s="8"/>
      <c r="F35" s="26"/>
      <c r="J35" s="27"/>
      <c r="M35" s="27"/>
      <c r="N35" s="27"/>
      <c r="O35" s="8"/>
      <c r="P35" s="38"/>
    </row>
    <row r="36" spans="3:16">
      <c r="C36" s="8"/>
      <c r="D36" s="8"/>
      <c r="E36" s="8"/>
      <c r="F36" s="26"/>
      <c r="J36" s="27"/>
      <c r="M36" s="27"/>
      <c r="N36" s="27"/>
      <c r="O36" s="8"/>
      <c r="P36" s="38"/>
    </row>
    <row r="37" spans="3:16">
      <c r="C37" s="8"/>
      <c r="D37" s="8"/>
      <c r="E37" s="8"/>
      <c r="F37" s="26"/>
      <c r="J37" s="27"/>
      <c r="M37" s="27"/>
      <c r="N37" s="27"/>
      <c r="O37" s="8"/>
      <c r="P37" s="38"/>
    </row>
    <row r="38" spans="3:16">
      <c r="C38" s="8"/>
      <c r="D38" s="8"/>
      <c r="E38" s="8"/>
      <c r="F38" s="26"/>
      <c r="G38" s="27"/>
      <c r="H38" s="27"/>
      <c r="I38" s="27"/>
      <c r="J38" s="27"/>
      <c r="M38" s="27"/>
      <c r="N38" s="27"/>
      <c r="O38" s="8"/>
      <c r="P38" s="38"/>
    </row>
    <row r="39" spans="3:16">
      <c r="C39" s="8"/>
      <c r="D39" s="8"/>
      <c r="E39" s="8"/>
      <c r="F39" s="26"/>
      <c r="K39" s="27"/>
      <c r="L39" s="27"/>
      <c r="M39" s="27"/>
      <c r="N39" s="27"/>
      <c r="O39" s="8"/>
    </row>
    <row r="40" spans="3:16">
      <c r="C40" s="8"/>
      <c r="D40" s="8"/>
      <c r="E40" s="8"/>
      <c r="F40" s="26"/>
      <c r="K40" s="27"/>
      <c r="L40" s="27"/>
      <c r="M40" s="27"/>
      <c r="N40" s="27"/>
      <c r="O40" s="8"/>
    </row>
    <row r="41" spans="3:16">
      <c r="C41" s="8"/>
      <c r="D41" s="8"/>
      <c r="E41" s="8"/>
      <c r="F41" s="26"/>
      <c r="K41" s="27"/>
      <c r="L41" s="27"/>
      <c r="M41" s="27"/>
      <c r="N41" s="27"/>
      <c r="O41" s="8"/>
    </row>
    <row r="42" spans="3:16">
      <c r="C42" s="8"/>
      <c r="D42" s="8"/>
      <c r="E42" s="8"/>
      <c r="F42" s="26"/>
      <c r="K42" s="27"/>
      <c r="L42" s="27"/>
      <c r="M42" s="27"/>
      <c r="N42" s="27"/>
      <c r="O42" s="8"/>
    </row>
    <row r="43" spans="3:16">
      <c r="C43" s="8"/>
      <c r="D43" s="8"/>
      <c r="E43" s="8"/>
      <c r="F43" s="26"/>
      <c r="K43" s="27"/>
      <c r="L43" s="27"/>
      <c r="M43" s="27"/>
      <c r="N43" s="27"/>
      <c r="O43" s="8"/>
    </row>
    <row r="44" spans="3:16">
      <c r="C44" s="8"/>
      <c r="D44" s="8"/>
      <c r="E44" s="8"/>
      <c r="F44" s="26"/>
      <c r="K44" s="27"/>
      <c r="L44" s="27"/>
      <c r="M44" s="27"/>
      <c r="N44" s="27"/>
      <c r="O44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C3:M6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26.7109375" style="8" customWidth="1"/>
    <col min="7" max="7" width="7.7109375" style="26" customWidth="1"/>
    <col min="8" max="8" width="8.7109375" style="38" customWidth="1"/>
    <col min="9" max="9" width="9.7109375" style="39" customWidth="1"/>
    <col min="10" max="10" width="16.7109375" style="27" customWidth="1"/>
    <col min="11" max="11" width="16.7109375" style="27" customWidth="1"/>
    <col min="12" max="12" width="16.7109375" style="27" customWidth="1"/>
    <col min="13" max="13" width="16.7109375" style="27" customWidth="1"/>
  </cols>
  <sheetData>
    <row r="1" ht="24" customHeight="1" s="55" customFormat="1"/>
    <row r="2" ht="26" customHeight="1" s="56" customFormat="1"/>
    <row r="3" spans="3:13" ht="34" customHeight="1">
      <c r="C3" s="1" t="s">
        <v>540</v>
      </c>
    </row>
    <row r="4" spans="3:13">
      <c r="C4" s="2" t="s">
        <v>541</v>
      </c>
    </row>
    <row r="6" spans="3:13" ht="42" customHeight="1">
      <c r="C6" s="31" t="s">
        <v>259</v>
      </c>
      <c r="D6" s="31" t="s">
        <v>177</v>
      </c>
      <c r="E6" s="31" t="s">
        <v>513</v>
      </c>
      <c r="F6" s="31" t="s">
        <v>542</v>
      </c>
      <c r="G6" s="31" t="s">
        <v>60</v>
      </c>
      <c r="H6" s="31" t="s">
        <v>543</v>
      </c>
      <c r="I6" s="31" t="s">
        <v>180</v>
      </c>
      <c r="J6" s="31" t="s">
        <v>544</v>
      </c>
      <c r="K6" s="31" t="s">
        <v>545</v>
      </c>
      <c r="L6" s="31" t="s">
        <v>546</v>
      </c>
      <c r="M6" s="31" t="s">
        <v>547</v>
      </c>
    </row>
    <row r="7" spans="3:13">
      <c r="C7" s="8"/>
      <c r="D7" s="8"/>
      <c r="E7" s="8"/>
      <c r="F7" s="8"/>
      <c r="G7" s="26"/>
      <c r="H7" s="38"/>
      <c r="J7" s="27"/>
    </row>
    <row r="8" spans="3:13">
      <c r="C8" s="8"/>
      <c r="D8" s="8"/>
      <c r="E8" s="8"/>
      <c r="F8" s="8"/>
      <c r="G8" s="26"/>
      <c r="H8" s="38"/>
      <c r="J8" s="27"/>
    </row>
    <row r="9" spans="3:13">
      <c r="C9" s="8"/>
      <c r="D9" s="8"/>
      <c r="E9" s="8"/>
      <c r="F9" s="8"/>
      <c r="G9" s="26"/>
      <c r="H9" s="38"/>
      <c r="J9" s="27"/>
    </row>
    <row r="10" spans="3:13">
      <c r="C10" s="8"/>
      <c r="D10" s="8"/>
      <c r="E10" s="8"/>
      <c r="F10" s="8"/>
      <c r="G10" s="26"/>
      <c r="H10" s="38"/>
      <c r="I10" s="39"/>
      <c r="J10" s="27"/>
      <c r="L10" s="27"/>
    </row>
    <row r="11" spans="3:13">
      <c r="C11" s="8"/>
      <c r="D11" s="8"/>
      <c r="E11" s="8"/>
      <c r="F11" s="8"/>
      <c r="G11" s="26"/>
      <c r="H11" s="38"/>
      <c r="I11" s="39"/>
      <c r="J11" s="27"/>
      <c r="L11" s="27"/>
    </row>
    <row r="12" spans="3:13">
      <c r="C12" s="8"/>
      <c r="D12" s="8"/>
      <c r="E12" s="8"/>
      <c r="F12" s="8"/>
      <c r="G12" s="26"/>
      <c r="H12" s="38"/>
      <c r="I12" s="39"/>
      <c r="J12" s="27"/>
      <c r="L12" s="27"/>
    </row>
    <row r="13" spans="3:13">
      <c r="C13" s="8"/>
      <c r="D13" s="8"/>
      <c r="E13" s="8"/>
      <c r="F13" s="8"/>
      <c r="G13" s="26"/>
      <c r="H13" s="38"/>
      <c r="I13" s="39"/>
      <c r="J13" s="27"/>
      <c r="L13" s="27"/>
    </row>
    <row r="14" spans="3:13">
      <c r="C14" s="8"/>
      <c r="D14" s="8"/>
      <c r="E14" s="8"/>
      <c r="F14" s="8"/>
      <c r="G14" s="26"/>
      <c r="H14" s="38"/>
      <c r="I14" s="39"/>
      <c r="J14" s="27"/>
      <c r="L14" s="27"/>
    </row>
    <row r="15" spans="3:13">
      <c r="C15" s="8"/>
      <c r="D15" s="8"/>
      <c r="E15" s="8"/>
      <c r="F15" s="8"/>
      <c r="G15" s="26"/>
      <c r="H15" s="38"/>
      <c r="J15" s="27"/>
    </row>
    <row r="16" spans="3:13">
      <c r="C16" s="8"/>
      <c r="D16" s="8"/>
      <c r="E16" s="8"/>
      <c r="F16" s="8"/>
      <c r="G16" s="26"/>
      <c r="H16" s="38"/>
      <c r="J16" s="27"/>
    </row>
    <row r="17" spans="3:13">
      <c r="C17" s="8"/>
      <c r="D17" s="8"/>
      <c r="E17" s="8"/>
      <c r="F17" s="8"/>
      <c r="G17" s="26"/>
      <c r="H17" s="38"/>
      <c r="J17" s="27"/>
    </row>
    <row r="18" spans="3:13">
      <c r="C18" s="8"/>
      <c r="D18" s="8"/>
      <c r="E18" s="8"/>
      <c r="F18" s="8"/>
      <c r="G18" s="26"/>
      <c r="H18" s="38"/>
      <c r="I18" s="39"/>
      <c r="J18" s="27"/>
      <c r="L18" s="27"/>
    </row>
    <row r="19" spans="3:13">
      <c r="C19" s="8"/>
      <c r="D19" s="8"/>
      <c r="E19" s="8"/>
      <c r="F19" s="8"/>
      <c r="G19" s="26"/>
      <c r="H19" s="38"/>
      <c r="I19" s="39"/>
      <c r="J19" s="27"/>
      <c r="L19" s="27"/>
    </row>
    <row r="20" spans="3:13">
      <c r="C20" s="8"/>
      <c r="D20" s="8"/>
      <c r="E20" s="8"/>
      <c r="F20" s="8"/>
      <c r="G20" s="26"/>
      <c r="H20" s="38"/>
      <c r="I20" s="39"/>
      <c r="J20" s="27"/>
      <c r="L20" s="27"/>
    </row>
    <row r="21" spans="3:13">
      <c r="C21" s="8"/>
      <c r="D21" s="8"/>
      <c r="E21" s="8"/>
      <c r="F21" s="8"/>
      <c r="G21" s="26"/>
      <c r="H21" s="38"/>
      <c r="J21" s="27"/>
      <c r="K21" s="27"/>
    </row>
    <row r="22" spans="3:13">
      <c r="C22" s="8"/>
      <c r="D22" s="8"/>
      <c r="E22" s="8"/>
      <c r="F22" s="8"/>
      <c r="G22" s="26"/>
      <c r="H22" s="38"/>
      <c r="J22" s="27"/>
      <c r="K22" s="27"/>
    </row>
    <row r="23" spans="3:13">
      <c r="C23" s="8"/>
      <c r="D23" s="8"/>
      <c r="E23" s="8"/>
      <c r="F23" s="8"/>
      <c r="G23" s="26"/>
      <c r="H23" s="38"/>
      <c r="J23" s="27"/>
      <c r="K23" s="27"/>
    </row>
    <row r="24" spans="3:13">
      <c r="C24" s="8"/>
      <c r="D24" s="8"/>
      <c r="E24" s="8"/>
      <c r="F24" s="8"/>
      <c r="G24" s="26"/>
      <c r="H24" s="38"/>
      <c r="I24" s="39"/>
      <c r="J24" s="27"/>
      <c r="K24" s="27"/>
      <c r="L24" s="27"/>
      <c r="M24" s="27"/>
    </row>
    <row r="25" spans="3:13">
      <c r="C25" s="8"/>
      <c r="D25" s="8"/>
      <c r="E25" s="8"/>
      <c r="F25" s="8"/>
      <c r="G25" s="26"/>
      <c r="H25" s="38"/>
      <c r="I25" s="39"/>
      <c r="J25" s="27"/>
      <c r="K25" s="27"/>
      <c r="L25" s="27"/>
      <c r="M25" s="27"/>
    </row>
    <row r="26" spans="3:13">
      <c r="C26" s="8"/>
      <c r="D26" s="8"/>
      <c r="E26" s="8"/>
      <c r="F26" s="8"/>
      <c r="G26" s="26"/>
      <c r="H26" s="38"/>
      <c r="J26" s="27"/>
      <c r="K26" s="27"/>
    </row>
    <row r="27" spans="3:13">
      <c r="C27" s="8"/>
      <c r="D27" s="8"/>
      <c r="E27" s="8"/>
      <c r="F27" s="8"/>
      <c r="G27" s="26"/>
      <c r="H27" s="38"/>
      <c r="J27" s="27"/>
      <c r="K27" s="27"/>
    </row>
    <row r="28" spans="3:13">
      <c r="C28" s="8"/>
      <c r="D28" s="8"/>
      <c r="E28" s="8"/>
      <c r="F28" s="8"/>
      <c r="G28" s="26"/>
      <c r="H28" s="38"/>
      <c r="J28" s="27"/>
      <c r="K28" s="27"/>
    </row>
    <row r="29" spans="3:13">
      <c r="C29" s="8"/>
      <c r="D29" s="8"/>
      <c r="E29" s="8"/>
      <c r="F29" s="8"/>
      <c r="G29" s="26"/>
      <c r="H29" s="38"/>
      <c r="I29" s="39"/>
      <c r="J29" s="27"/>
      <c r="K29" s="27"/>
      <c r="L29" s="27"/>
      <c r="M29" s="27"/>
    </row>
    <row r="30" spans="3:13">
      <c r="C30" s="8"/>
      <c r="D30" s="8"/>
      <c r="E30" s="8"/>
      <c r="F30" s="8"/>
      <c r="G30" s="26"/>
      <c r="H30" s="38"/>
      <c r="I30" s="39"/>
      <c r="J30" s="27"/>
      <c r="K30" s="27"/>
      <c r="L30" s="27"/>
      <c r="M30" s="27"/>
    </row>
    <row r="31" spans="3:13">
      <c r="C31" s="8"/>
      <c r="D31" s="8"/>
      <c r="E31" s="8"/>
      <c r="F31" s="8"/>
      <c r="G31" s="26"/>
      <c r="H31" s="38"/>
      <c r="J31" s="27"/>
    </row>
    <row r="32" spans="3:13">
      <c r="C32" s="8"/>
      <c r="D32" s="8"/>
      <c r="E32" s="8"/>
      <c r="F32" s="8"/>
      <c r="G32" s="26"/>
      <c r="H32" s="38"/>
      <c r="J32" s="27"/>
    </row>
    <row r="33" spans="3:13">
      <c r="C33" s="8"/>
      <c r="D33" s="8"/>
      <c r="E33" s="8"/>
      <c r="F33" s="8"/>
      <c r="G33" s="26"/>
      <c r="H33" s="38"/>
      <c r="J33" s="27"/>
    </row>
    <row r="34" spans="3:13">
      <c r="C34" s="8"/>
      <c r="D34" s="8"/>
      <c r="E34" s="8"/>
      <c r="F34" s="8"/>
      <c r="G34" s="26"/>
      <c r="H34" s="38"/>
      <c r="J34" s="27"/>
      <c r="K34" s="27"/>
    </row>
    <row r="35" spans="3:13">
      <c r="C35" s="8"/>
      <c r="D35" s="8"/>
      <c r="E35" s="8"/>
      <c r="F35" s="8"/>
      <c r="G35" s="26"/>
      <c r="H35" s="38"/>
      <c r="J35" s="27"/>
      <c r="K35" s="27"/>
    </row>
    <row r="36" spans="3:13">
      <c r="C36" s="8"/>
      <c r="D36" s="8"/>
      <c r="E36" s="8"/>
      <c r="F36" s="8"/>
      <c r="G36" s="26"/>
      <c r="H36" s="38"/>
      <c r="J36" s="27"/>
    </row>
    <row r="37" spans="3:13">
      <c r="C37" s="8"/>
      <c r="D37" s="8"/>
      <c r="E37" s="8"/>
      <c r="F37" s="8"/>
      <c r="G37" s="26"/>
      <c r="H37" s="38"/>
      <c r="I37" s="39"/>
      <c r="J37" s="27"/>
      <c r="L37" s="27"/>
    </row>
    <row r="38" spans="3:13">
      <c r="C38" s="8"/>
      <c r="D38" s="8"/>
      <c r="E38" s="8"/>
      <c r="F38" s="8"/>
      <c r="G38" s="26"/>
      <c r="H38" s="38"/>
      <c r="J38" s="27"/>
    </row>
    <row r="39" spans="3:13">
      <c r="C39" s="8"/>
      <c r="D39" s="8"/>
      <c r="E39" s="8"/>
      <c r="F39" s="8"/>
      <c r="G39" s="26"/>
      <c r="H39" s="38"/>
      <c r="J39" s="27"/>
    </row>
    <row r="40" spans="3:13">
      <c r="C40" s="8"/>
      <c r="D40" s="8"/>
      <c r="E40" s="8"/>
      <c r="F40" s="8"/>
      <c r="G40" s="26"/>
      <c r="H40" s="38"/>
      <c r="I40" s="39"/>
      <c r="J40" s="27"/>
      <c r="L40" s="27"/>
    </row>
    <row r="41" spans="3:13">
      <c r="C41" s="8"/>
      <c r="D41" s="8"/>
      <c r="E41" s="8"/>
      <c r="F41" s="8"/>
      <c r="G41" s="26"/>
      <c r="H41" s="38"/>
      <c r="J41" s="27"/>
    </row>
    <row r="42" spans="3:13">
      <c r="C42" s="8"/>
      <c r="D42" s="8"/>
      <c r="E42" s="8"/>
      <c r="F42" s="8"/>
      <c r="G42" s="26"/>
      <c r="H42" s="38"/>
      <c r="J42" s="27"/>
    </row>
    <row r="43" spans="3:13">
      <c r="C43" s="8"/>
      <c r="D43" s="8"/>
      <c r="E43" s="8"/>
      <c r="F43" s="8"/>
      <c r="G43" s="26"/>
      <c r="H43" s="38"/>
      <c r="J43" s="27"/>
    </row>
    <row r="44" spans="3:13">
      <c r="C44" s="8"/>
      <c r="D44" s="8"/>
      <c r="E44" s="8"/>
      <c r="F44" s="8"/>
      <c r="G44" s="26"/>
      <c r="H44" s="38"/>
      <c r="J44" s="27"/>
    </row>
    <row r="45" spans="3:13">
      <c r="C45" s="8"/>
      <c r="D45" s="8"/>
      <c r="E45" s="8"/>
      <c r="F45" s="8"/>
      <c r="G45" s="26"/>
      <c r="H45" s="38"/>
      <c r="J45" s="27"/>
    </row>
    <row r="46" spans="3:13">
      <c r="C46" s="8"/>
      <c r="D46" s="8"/>
      <c r="E46" s="8"/>
      <c r="F46" s="8"/>
      <c r="G46" s="26"/>
      <c r="H46" s="38"/>
      <c r="J46" s="27"/>
    </row>
    <row r="47" spans="3:13">
      <c r="C47" s="8"/>
      <c r="D47" s="8"/>
      <c r="E47" s="8"/>
      <c r="F47" s="8"/>
      <c r="G47" s="26"/>
      <c r="H47" s="38"/>
      <c r="J47" s="27"/>
    </row>
    <row r="48" spans="3:13">
      <c r="C48" s="8"/>
      <c r="D48" s="8"/>
      <c r="E48" s="8"/>
      <c r="F48" s="8"/>
      <c r="G48" s="26"/>
      <c r="H48" s="38"/>
      <c r="J48" s="27"/>
    </row>
    <row r="49" spans="3:13">
      <c r="C49" s="8"/>
      <c r="D49" s="8"/>
      <c r="E49" s="8"/>
      <c r="F49" s="8"/>
      <c r="G49" s="26"/>
      <c r="H49" s="38"/>
      <c r="I49" s="39"/>
      <c r="J49" s="27"/>
      <c r="K49" s="27"/>
      <c r="L49" s="27"/>
      <c r="M49" s="27"/>
    </row>
    <row r="50" spans="3:13">
      <c r="C50" s="8"/>
      <c r="D50" s="8"/>
      <c r="E50" s="8"/>
      <c r="F50" s="8"/>
      <c r="G50" s="26"/>
      <c r="H50" s="38"/>
      <c r="I50" s="39"/>
      <c r="J50" s="27"/>
      <c r="K50" s="27"/>
      <c r="L50" s="27"/>
      <c r="M50" s="27"/>
    </row>
    <row r="51" spans="3:13">
      <c r="C51" s="8"/>
      <c r="D51" s="8"/>
      <c r="E51" s="8"/>
      <c r="F51" s="8"/>
      <c r="G51" s="26"/>
      <c r="H51" s="38"/>
      <c r="I51" s="39"/>
      <c r="J51" s="27"/>
      <c r="K51" s="27"/>
      <c r="L51" s="27"/>
      <c r="M51" s="27"/>
    </row>
    <row r="52" spans="3:13">
      <c r="C52" s="8"/>
      <c r="D52" s="8"/>
      <c r="E52" s="8"/>
      <c r="F52" s="8"/>
      <c r="G52" s="26"/>
      <c r="H52" s="38"/>
      <c r="I52" s="39"/>
      <c r="J52" s="27"/>
      <c r="K52" s="27"/>
      <c r="L52" s="27"/>
      <c r="M52" s="27"/>
    </row>
    <row r="53" spans="3:13">
      <c r="C53" s="8"/>
      <c r="D53" s="8"/>
      <c r="E53" s="8"/>
      <c r="F53" s="8"/>
      <c r="G53" s="26"/>
      <c r="H53" s="38"/>
      <c r="I53" s="39"/>
      <c r="J53" s="27"/>
      <c r="K53" s="27"/>
      <c r="L53" s="27"/>
      <c r="M53" s="27"/>
    </row>
    <row r="54" spans="3:13">
      <c r="C54" s="8"/>
      <c r="D54" s="8"/>
      <c r="E54" s="8"/>
      <c r="F54" s="8"/>
      <c r="G54" s="26"/>
      <c r="H54" s="38"/>
      <c r="I54" s="39"/>
      <c r="J54" s="27"/>
      <c r="K54" s="27"/>
      <c r="L54" s="27"/>
      <c r="M54" s="27"/>
    </row>
    <row r="55" spans="3:13">
      <c r="C55" s="8"/>
      <c r="D55" s="8"/>
      <c r="E55" s="8"/>
      <c r="F55" s="8"/>
      <c r="G55" s="26"/>
      <c r="H55" s="38"/>
      <c r="I55" s="39"/>
      <c r="J55" s="27"/>
      <c r="K55" s="27"/>
      <c r="L55" s="27"/>
      <c r="M55" s="27"/>
    </row>
    <row r="56" spans="3:13">
      <c r="C56" s="8"/>
      <c r="D56" s="8"/>
      <c r="E56" s="8"/>
      <c r="F56" s="8"/>
      <c r="G56" s="26"/>
      <c r="H56" s="38"/>
      <c r="I56" s="39"/>
      <c r="J56" s="27"/>
      <c r="K56" s="27"/>
      <c r="L56" s="27"/>
      <c r="M56" s="27"/>
    </row>
    <row r="57" spans="3:13">
      <c r="C57" s="8"/>
      <c r="D57" s="8"/>
      <c r="E57" s="8"/>
      <c r="F57" s="8"/>
      <c r="G57" s="26"/>
      <c r="H57" s="38"/>
      <c r="I57" s="39"/>
      <c r="J57" s="27"/>
      <c r="K57" s="27"/>
      <c r="L57" s="27"/>
      <c r="M57" s="27"/>
    </row>
    <row r="58" spans="3:13">
      <c r="C58" s="8"/>
      <c r="D58" s="8"/>
      <c r="E58" s="8"/>
      <c r="F58" s="8"/>
      <c r="G58" s="26"/>
      <c r="H58" s="38"/>
      <c r="I58" s="39"/>
      <c r="J58" s="27"/>
      <c r="K58" s="27"/>
      <c r="L58" s="27"/>
      <c r="M58" s="27"/>
    </row>
    <row r="59" spans="3:13">
      <c r="C59" s="8"/>
      <c r="D59" s="8"/>
      <c r="E59" s="8"/>
      <c r="F59" s="8"/>
      <c r="G59" s="26"/>
      <c r="H59" s="38"/>
      <c r="I59" s="39"/>
      <c r="J59" s="27"/>
      <c r="K59" s="27"/>
      <c r="L59" s="27"/>
      <c r="M59" s="27"/>
    </row>
    <row r="60" spans="3:13">
      <c r="C60" s="8"/>
      <c r="D60" s="8"/>
      <c r="E60" s="8"/>
      <c r="F60" s="8"/>
      <c r="G60" s="26"/>
      <c r="H60" s="38"/>
      <c r="I60" s="39"/>
      <c r="J60" s="27"/>
      <c r="K60" s="27"/>
      <c r="L60" s="27"/>
      <c r="M60" s="27"/>
    </row>
    <row r="61" spans="3:13">
      <c r="C61" s="8"/>
      <c r="D61" s="8"/>
      <c r="E61" s="8"/>
      <c r="F61" s="8"/>
      <c r="G61" s="26"/>
      <c r="H61" s="38"/>
      <c r="I61" s="39"/>
      <c r="J61" s="27"/>
      <c r="K61" s="27"/>
      <c r="L61" s="27"/>
      <c r="M61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C3:AA7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8.7109375" style="8" customWidth="1"/>
    <col min="6" max="6" width="10.7109375" style="8" customWidth="1"/>
    <col min="7" max="7" width="30.7109375" style="8" customWidth="1"/>
    <col min="8" max="8" width="22.7109375" style="8" customWidth="1"/>
    <col min="9" max="9" width="9.7109375" style="38" customWidth="1"/>
    <col min="10" max="10" width="15.7109375" style="27" customWidth="1"/>
    <col min="11" max="11" width="13.7109375" style="27" customWidth="1"/>
    <col min="12" max="12" width="8.7109375" style="28" customWidth="1"/>
    <col min="13" max="13" width="8.7109375" style="28" customWidth="1"/>
    <col min="14" max="14" width="8.7109375" style="28" customWidth="1"/>
    <col min="15" max="15" width="8.7109375" style="28" customWidth="1"/>
    <col min="16" max="16" width="10.7109375" style="28" customWidth="1"/>
    <col min="17" max="17" width="15.7109375" style="27" customWidth="1"/>
    <col min="18" max="18" width="10.7109375" style="28" customWidth="1"/>
    <col min="19" max="19" width="9.7109375" style="28" customWidth="1"/>
    <col min="20" max="20" width="9.7109375" style="28" customWidth="1"/>
    <col min="21" max="21" width="15.7109375" style="27" customWidth="1"/>
    <col min="22" max="22" width="15.7109375" style="27" customWidth="1"/>
    <col min="23" max="23" width="7.7109375" style="26" customWidth="1"/>
    <col min="24" max="24" width="13.7109375" style="27" customWidth="1"/>
    <col min="25" max="25" width="10.7109375" style="40" customWidth="1"/>
    <col min="26" max="26" width="8.7109375" style="8" customWidth="1"/>
    <col min="27" max="27" width="70.7109375" style="8" customWidth="1"/>
  </cols>
  <sheetData>
    <row r="1" ht="24" customHeight="1" s="55" customFormat="1"/>
    <row r="2" ht="26" customHeight="1" s="56" customFormat="1"/>
    <row r="3" spans="3:27" ht="34" customHeight="1">
      <c r="C3" s="1" t="s">
        <v>553</v>
      </c>
    </row>
    <row r="4" spans="3:27">
      <c r="C4" s="2" t="s">
        <v>554</v>
      </c>
    </row>
    <row r="6" spans="3:27" ht="42" customHeight="1">
      <c r="C6" s="31" t="s">
        <v>309</v>
      </c>
      <c r="D6" s="31" t="s">
        <v>259</v>
      </c>
      <c r="E6" s="31" t="s">
        <v>177</v>
      </c>
      <c r="F6" s="31" t="s">
        <v>555</v>
      </c>
      <c r="G6" s="31" t="s">
        <v>513</v>
      </c>
      <c r="H6" s="31" t="s">
        <v>542</v>
      </c>
      <c r="I6" s="31" t="s">
        <v>556</v>
      </c>
      <c r="J6" s="31" t="s">
        <v>557</v>
      </c>
      <c r="K6" s="31" t="s">
        <v>558</v>
      </c>
      <c r="L6" s="31" t="s">
        <v>559</v>
      </c>
      <c r="M6" s="31" t="s">
        <v>560</v>
      </c>
      <c r="N6" s="31" t="s">
        <v>561</v>
      </c>
      <c r="O6" s="31" t="s">
        <v>562</v>
      </c>
      <c r="P6" s="31" t="s">
        <v>80</v>
      </c>
      <c r="Q6" s="31" t="s">
        <v>563</v>
      </c>
      <c r="R6" s="31" t="s">
        <v>564</v>
      </c>
      <c r="S6" s="31" t="s">
        <v>565</v>
      </c>
      <c r="T6" s="31" t="s">
        <v>566</v>
      </c>
      <c r="U6" s="31" t="s">
        <v>544</v>
      </c>
      <c r="V6" s="31" t="s">
        <v>545</v>
      </c>
      <c r="W6" s="31" t="s">
        <v>567</v>
      </c>
      <c r="X6" s="31" t="s">
        <v>568</v>
      </c>
      <c r="Y6" s="31" t="s">
        <v>569</v>
      </c>
      <c r="Z6" s="31" t="s">
        <v>165</v>
      </c>
      <c r="AA6" s="31" t="s">
        <v>570</v>
      </c>
    </row>
    <row r="7" spans="3:27">
      <c r="C7" s="8"/>
      <c r="D7" s="8"/>
      <c r="E7" s="8"/>
      <c r="F7" s="8"/>
      <c r="G7" s="8"/>
      <c r="H7" s="8"/>
      <c r="I7" s="38"/>
      <c r="J7" s="27"/>
      <c r="K7" s="27"/>
      <c r="L7" s="28"/>
      <c r="M7" s="28"/>
      <c r="N7" s="28"/>
      <c r="P7" s="28"/>
      <c r="Q7" s="27"/>
      <c r="R7" s="28"/>
      <c r="S7" s="28"/>
      <c r="U7" s="27"/>
      <c r="W7" s="26"/>
      <c r="X7" s="27"/>
      <c r="Z7" s="8"/>
    </row>
    <row r="8" spans="3:27">
      <c r="C8" s="8"/>
      <c r="D8" s="8"/>
      <c r="E8" s="8"/>
      <c r="F8" s="8"/>
      <c r="G8" s="8"/>
      <c r="H8" s="8"/>
      <c r="I8" s="38"/>
      <c r="J8" s="27"/>
      <c r="K8" s="27"/>
      <c r="L8" s="28"/>
      <c r="M8" s="28"/>
      <c r="N8" s="28"/>
      <c r="P8" s="28"/>
      <c r="Q8" s="27"/>
      <c r="R8" s="28"/>
      <c r="S8" s="28"/>
      <c r="U8" s="27"/>
      <c r="W8" s="26"/>
      <c r="X8" s="27"/>
      <c r="Z8" s="8"/>
    </row>
    <row r="9" spans="3:27">
      <c r="C9" s="8"/>
      <c r="D9" s="8"/>
      <c r="E9" s="8"/>
      <c r="F9" s="8"/>
      <c r="G9" s="8"/>
      <c r="H9" s="8"/>
      <c r="I9" s="38"/>
      <c r="J9" s="27"/>
      <c r="K9" s="27"/>
      <c r="L9" s="28"/>
      <c r="M9" s="28"/>
      <c r="N9" s="28"/>
      <c r="O9" s="28"/>
      <c r="P9" s="28"/>
      <c r="Q9" s="27"/>
      <c r="R9" s="28"/>
      <c r="S9" s="28"/>
      <c r="U9" s="27"/>
      <c r="W9" s="26"/>
      <c r="X9" s="27"/>
      <c r="Y9" s="40"/>
      <c r="Z9" s="8"/>
    </row>
    <row r="10" spans="3:27">
      <c r="C10" s="8"/>
      <c r="D10" s="8"/>
      <c r="E10" s="8"/>
      <c r="F10" s="8"/>
      <c r="G10" s="8"/>
      <c r="H10" s="8"/>
      <c r="I10" s="38"/>
      <c r="J10" s="27"/>
      <c r="K10" s="27"/>
      <c r="L10" s="28"/>
      <c r="M10" s="28"/>
      <c r="N10" s="28"/>
      <c r="P10" s="28"/>
      <c r="Q10" s="27"/>
      <c r="R10" s="28"/>
      <c r="S10" s="28"/>
      <c r="U10" s="27"/>
      <c r="X10" s="27"/>
      <c r="Z10" s="8"/>
    </row>
    <row r="11" spans="3:27">
      <c r="C11" s="8"/>
      <c r="D11" s="8"/>
      <c r="E11" s="8"/>
      <c r="F11" s="8"/>
      <c r="G11" s="8"/>
      <c r="H11" s="8"/>
      <c r="I11" s="38"/>
      <c r="J11" s="27"/>
      <c r="K11" s="27"/>
      <c r="L11" s="28"/>
      <c r="M11" s="28"/>
      <c r="N11" s="28"/>
      <c r="P11" s="28"/>
      <c r="Q11" s="27"/>
      <c r="R11" s="28"/>
      <c r="S11" s="28"/>
      <c r="U11" s="27"/>
      <c r="X11" s="27"/>
      <c r="Z11" s="8"/>
    </row>
    <row r="12" spans="3:27">
      <c r="C12" s="8"/>
      <c r="D12" s="8"/>
      <c r="E12" s="8"/>
      <c r="F12" s="8"/>
      <c r="G12" s="8"/>
      <c r="H12" s="8"/>
      <c r="I12" s="38"/>
      <c r="J12" s="27"/>
      <c r="K12" s="27"/>
      <c r="L12" s="28"/>
      <c r="M12" s="28"/>
      <c r="N12" s="28"/>
      <c r="P12" s="28"/>
      <c r="Q12" s="27"/>
      <c r="R12" s="28"/>
      <c r="S12" s="28"/>
      <c r="U12" s="27"/>
      <c r="X12" s="27"/>
      <c r="Z12" s="8"/>
    </row>
    <row r="13" spans="3:27">
      <c r="C13" s="8"/>
      <c r="D13" s="8"/>
      <c r="E13" s="8"/>
      <c r="F13" s="8"/>
      <c r="G13" s="8"/>
      <c r="H13" s="8"/>
      <c r="I13" s="38"/>
      <c r="J13" s="27"/>
      <c r="K13" s="27"/>
      <c r="L13" s="28"/>
      <c r="M13" s="28"/>
      <c r="N13" s="28"/>
      <c r="Q13" s="27"/>
      <c r="R13" s="28"/>
      <c r="S13" s="28"/>
      <c r="U13" s="27"/>
      <c r="X13" s="27"/>
      <c r="Z13" s="8"/>
    </row>
    <row r="14" spans="3:27">
      <c r="C14" s="8"/>
      <c r="D14" s="8"/>
      <c r="E14" s="8"/>
      <c r="F14" s="8"/>
      <c r="G14" s="8"/>
      <c r="H14" s="8"/>
      <c r="I14" s="38"/>
      <c r="J14" s="27"/>
      <c r="K14" s="27"/>
      <c r="L14" s="28"/>
      <c r="M14" s="28"/>
      <c r="N14" s="28"/>
      <c r="Q14" s="27"/>
      <c r="R14" s="28"/>
      <c r="S14" s="28"/>
      <c r="U14" s="27"/>
      <c r="X14" s="27"/>
      <c r="Z14" s="8"/>
    </row>
    <row r="15" spans="3:27">
      <c r="C15" s="8"/>
      <c r="D15" s="8"/>
      <c r="E15" s="8"/>
      <c r="F15" s="8"/>
      <c r="G15" s="8"/>
      <c r="H15" s="8"/>
      <c r="I15" s="38"/>
      <c r="J15" s="27"/>
      <c r="K15" s="27"/>
      <c r="L15" s="28"/>
      <c r="M15" s="28"/>
      <c r="N15" s="28"/>
      <c r="Q15" s="27"/>
      <c r="R15" s="28"/>
      <c r="S15" s="28"/>
      <c r="U15" s="27"/>
      <c r="X15" s="27"/>
      <c r="Z15" s="8"/>
    </row>
    <row r="16" spans="3:27">
      <c r="C16" s="8"/>
      <c r="D16" s="8"/>
      <c r="E16" s="8"/>
      <c r="F16" s="8"/>
      <c r="G16" s="8"/>
      <c r="H16" s="8"/>
      <c r="I16" s="38"/>
      <c r="J16" s="27"/>
      <c r="K16" s="27"/>
      <c r="L16" s="28"/>
      <c r="M16" s="28"/>
      <c r="N16" s="28"/>
      <c r="P16" s="28"/>
      <c r="Q16" s="27"/>
      <c r="R16" s="28"/>
      <c r="S16" s="28"/>
      <c r="U16" s="27"/>
      <c r="W16" s="26"/>
      <c r="X16" s="27"/>
      <c r="Z16" s="8"/>
    </row>
    <row r="17" spans="3:27">
      <c r="C17" s="8"/>
      <c r="D17" s="8"/>
      <c r="E17" s="8"/>
      <c r="F17" s="8"/>
      <c r="G17" s="8"/>
      <c r="H17" s="8"/>
      <c r="I17" s="38"/>
      <c r="J17" s="27"/>
      <c r="K17" s="27"/>
      <c r="L17" s="28"/>
      <c r="M17" s="28"/>
      <c r="N17" s="28"/>
      <c r="P17" s="28"/>
      <c r="Q17" s="27"/>
      <c r="R17" s="28"/>
      <c r="S17" s="28"/>
      <c r="U17" s="27"/>
      <c r="W17" s="26"/>
      <c r="X17" s="27"/>
      <c r="Z17" s="8"/>
    </row>
    <row r="18" spans="3:27">
      <c r="C18" s="8"/>
      <c r="D18" s="8"/>
      <c r="E18" s="8"/>
      <c r="F18" s="8"/>
      <c r="G18" s="8"/>
      <c r="H18" s="8"/>
      <c r="I18" s="38"/>
      <c r="J18" s="27"/>
      <c r="K18" s="27"/>
      <c r="L18" s="28"/>
      <c r="M18" s="28"/>
      <c r="N18" s="28"/>
      <c r="O18" s="28"/>
      <c r="P18" s="28"/>
      <c r="Q18" s="27"/>
      <c r="R18" s="28"/>
      <c r="S18" s="28"/>
      <c r="U18" s="27"/>
      <c r="W18" s="26"/>
      <c r="X18" s="27"/>
      <c r="Y18" s="40"/>
      <c r="Z18" s="8"/>
    </row>
    <row r="19" spans="3:26">
      <c r="C19" s="8"/>
      <c r="D19" s="8"/>
      <c r="E19" s="8"/>
      <c r="F19" s="8"/>
      <c r="G19" s="8"/>
      <c r="H19" s="8"/>
      <c r="I19" s="38"/>
      <c r="J19" s="27"/>
      <c r="K19" s="27"/>
      <c r="L19" s="28"/>
      <c r="M19" s="28"/>
      <c r="N19" s="28"/>
      <c r="P19" s="28"/>
      <c r="Q19" s="27"/>
      <c r="R19" s="28"/>
      <c r="S19" s="28"/>
      <c r="U19" s="27"/>
      <c r="X19" s="27"/>
      <c r="Z19" s="8"/>
    </row>
    <row r="20" spans="3:26">
      <c r="C20" s="8"/>
      <c r="D20" s="8"/>
      <c r="E20" s="8"/>
      <c r="F20" s="8"/>
      <c r="G20" s="8"/>
      <c r="H20" s="8"/>
      <c r="I20" s="38"/>
      <c r="J20" s="27"/>
      <c r="K20" s="27"/>
      <c r="L20" s="28"/>
      <c r="M20" s="28"/>
      <c r="N20" s="28"/>
      <c r="P20" s="28"/>
      <c r="Q20" s="27"/>
      <c r="R20" s="28"/>
      <c r="S20" s="28"/>
      <c r="U20" s="27"/>
      <c r="X20" s="27"/>
      <c r="Z20" s="8"/>
    </row>
    <row r="21" spans="3:26">
      <c r="C21" s="8"/>
      <c r="D21" s="8"/>
      <c r="E21" s="8"/>
      <c r="F21" s="8"/>
      <c r="G21" s="8"/>
      <c r="H21" s="8"/>
      <c r="I21" s="38"/>
      <c r="J21" s="27"/>
      <c r="K21" s="27"/>
      <c r="L21" s="28"/>
      <c r="M21" s="28"/>
      <c r="N21" s="28"/>
      <c r="P21" s="28"/>
      <c r="Q21" s="27"/>
      <c r="R21" s="28"/>
      <c r="S21" s="28"/>
      <c r="U21" s="27"/>
      <c r="X21" s="27"/>
      <c r="Z21" s="8"/>
    </row>
    <row r="22" spans="3:26">
      <c r="C22" s="8"/>
      <c r="D22" s="8"/>
      <c r="E22" s="8"/>
      <c r="F22" s="8"/>
      <c r="G22" s="8"/>
      <c r="H22" s="8"/>
      <c r="I22" s="38"/>
      <c r="J22" s="27"/>
      <c r="K22" s="27"/>
      <c r="L22" s="28"/>
      <c r="M22" s="28"/>
      <c r="N22" s="28"/>
      <c r="P22" s="28"/>
      <c r="Q22" s="27"/>
      <c r="R22" s="28"/>
      <c r="S22" s="28"/>
      <c r="T22" s="28"/>
      <c r="U22" s="27"/>
      <c r="V22" s="27"/>
      <c r="W22" s="26"/>
      <c r="X22" s="27"/>
      <c r="Z22" s="8"/>
    </row>
    <row r="23" spans="3:26">
      <c r="C23" s="8"/>
      <c r="D23" s="8"/>
      <c r="E23" s="8"/>
      <c r="F23" s="8"/>
      <c r="G23" s="8"/>
      <c r="H23" s="8"/>
      <c r="I23" s="38"/>
      <c r="J23" s="27"/>
      <c r="K23" s="27"/>
      <c r="L23" s="28"/>
      <c r="M23" s="28"/>
      <c r="N23" s="28"/>
      <c r="P23" s="28"/>
      <c r="Q23" s="27"/>
      <c r="R23" s="28"/>
      <c r="S23" s="28"/>
      <c r="T23" s="28"/>
      <c r="U23" s="27"/>
      <c r="V23" s="27"/>
      <c r="W23" s="26"/>
      <c r="X23" s="27"/>
      <c r="Z23" s="8"/>
    </row>
    <row r="24" spans="3:26">
      <c r="C24" s="8"/>
      <c r="D24" s="8"/>
      <c r="E24" s="8"/>
      <c r="F24" s="8"/>
      <c r="G24" s="8"/>
      <c r="H24" s="8"/>
      <c r="I24" s="38"/>
      <c r="J24" s="27"/>
      <c r="K24" s="27"/>
      <c r="L24" s="28"/>
      <c r="M24" s="28"/>
      <c r="N24" s="28"/>
      <c r="O24" s="28"/>
      <c r="P24" s="28"/>
      <c r="Q24" s="27"/>
      <c r="R24" s="28"/>
      <c r="S24" s="28"/>
      <c r="T24" s="28"/>
      <c r="U24" s="27"/>
      <c r="V24" s="27"/>
      <c r="W24" s="26"/>
      <c r="X24" s="27"/>
      <c r="Y24" s="40"/>
      <c r="Z24" s="8"/>
    </row>
    <row r="25" spans="3:26">
      <c r="C25" s="8"/>
      <c r="D25" s="8"/>
      <c r="E25" s="8"/>
      <c r="F25" s="8"/>
      <c r="G25" s="8"/>
      <c r="H25" s="8"/>
      <c r="I25" s="38"/>
      <c r="J25" s="27"/>
      <c r="K25" s="27"/>
      <c r="L25" s="28"/>
      <c r="M25" s="28"/>
      <c r="N25" s="28"/>
      <c r="Q25" s="27"/>
      <c r="R25" s="28"/>
      <c r="S25" s="28"/>
      <c r="T25" s="28"/>
      <c r="U25" s="27"/>
      <c r="V25" s="27"/>
      <c r="X25" s="27"/>
      <c r="Z25" s="8"/>
    </row>
    <row r="26" spans="3:26">
      <c r="C26" s="8"/>
      <c r="D26" s="8"/>
      <c r="E26" s="8"/>
      <c r="F26" s="8"/>
      <c r="G26" s="8"/>
      <c r="H26" s="8"/>
      <c r="I26" s="38"/>
      <c r="J26" s="27"/>
      <c r="K26" s="27"/>
      <c r="L26" s="28"/>
      <c r="M26" s="28"/>
      <c r="N26" s="28"/>
      <c r="Q26" s="27"/>
      <c r="R26" s="28"/>
      <c r="S26" s="28"/>
      <c r="T26" s="28"/>
      <c r="U26" s="27"/>
      <c r="V26" s="27"/>
      <c r="X26" s="27"/>
      <c r="Z26" s="8"/>
    </row>
    <row r="27" spans="3:26">
      <c r="C27" s="8"/>
      <c r="D27" s="8"/>
      <c r="E27" s="8"/>
      <c r="F27" s="8"/>
      <c r="G27" s="8"/>
      <c r="H27" s="8"/>
      <c r="I27" s="38"/>
      <c r="J27" s="27"/>
      <c r="K27" s="27"/>
      <c r="L27" s="28"/>
      <c r="M27" s="28"/>
      <c r="N27" s="28"/>
      <c r="Q27" s="27"/>
      <c r="R27" s="28"/>
      <c r="S27" s="28"/>
      <c r="T27" s="28"/>
      <c r="U27" s="27"/>
      <c r="V27" s="27"/>
      <c r="X27" s="27"/>
      <c r="Z27" s="8"/>
    </row>
    <row r="28" spans="3:26">
      <c r="C28" s="8"/>
      <c r="D28" s="8"/>
      <c r="E28" s="8"/>
      <c r="F28" s="8"/>
      <c r="G28" s="8"/>
      <c r="H28" s="8"/>
      <c r="I28" s="38"/>
      <c r="J28" s="27"/>
      <c r="K28" s="27"/>
      <c r="L28" s="28"/>
      <c r="M28" s="28"/>
      <c r="N28" s="28"/>
      <c r="P28" s="28"/>
      <c r="Q28" s="27"/>
      <c r="R28" s="28"/>
      <c r="S28" s="28"/>
      <c r="T28" s="28"/>
      <c r="U28" s="27"/>
      <c r="V28" s="27"/>
      <c r="W28" s="26"/>
      <c r="X28" s="27"/>
      <c r="Z28" s="8"/>
    </row>
    <row r="29" spans="3:26">
      <c r="C29" s="8"/>
      <c r="D29" s="8"/>
      <c r="E29" s="8"/>
      <c r="F29" s="8"/>
      <c r="G29" s="8"/>
      <c r="H29" s="8"/>
      <c r="I29" s="38"/>
      <c r="J29" s="27"/>
      <c r="K29" s="27"/>
      <c r="L29" s="28"/>
      <c r="M29" s="28"/>
      <c r="N29" s="28"/>
      <c r="P29" s="28"/>
      <c r="Q29" s="27"/>
      <c r="R29" s="28"/>
      <c r="S29" s="28"/>
      <c r="T29" s="28"/>
      <c r="U29" s="27"/>
      <c r="V29" s="27"/>
      <c r="W29" s="26"/>
      <c r="X29" s="27"/>
      <c r="Z29" s="8"/>
    </row>
    <row r="30" spans="3:26">
      <c r="C30" s="8"/>
      <c r="D30" s="8"/>
      <c r="E30" s="8"/>
      <c r="F30" s="8"/>
      <c r="G30" s="8"/>
      <c r="H30" s="8"/>
      <c r="I30" s="38"/>
      <c r="J30" s="27"/>
      <c r="K30" s="27"/>
      <c r="L30" s="28"/>
      <c r="M30" s="28"/>
      <c r="N30" s="28"/>
      <c r="O30" s="28"/>
      <c r="P30" s="28"/>
      <c r="Q30" s="27"/>
      <c r="R30" s="28"/>
      <c r="S30" s="28"/>
      <c r="T30" s="28"/>
      <c r="U30" s="27"/>
      <c r="V30" s="27"/>
      <c r="W30" s="26"/>
      <c r="X30" s="27"/>
      <c r="Y30" s="40"/>
      <c r="Z30" s="8"/>
    </row>
    <row r="31" spans="3:26">
      <c r="C31" s="8"/>
      <c r="D31" s="8"/>
      <c r="E31" s="8"/>
      <c r="F31" s="8"/>
      <c r="G31" s="8"/>
      <c r="H31" s="8"/>
      <c r="I31" s="38"/>
      <c r="J31" s="27"/>
      <c r="K31" s="27"/>
      <c r="L31" s="28"/>
      <c r="M31" s="28"/>
      <c r="N31" s="28"/>
      <c r="Q31" s="27"/>
      <c r="R31" s="28"/>
      <c r="S31" s="28"/>
      <c r="T31" s="28"/>
      <c r="U31" s="27"/>
      <c r="V31" s="27"/>
      <c r="X31" s="27"/>
      <c r="Z31" s="8"/>
    </row>
    <row r="32" spans="3:26">
      <c r="C32" s="8"/>
      <c r="D32" s="8"/>
      <c r="E32" s="8"/>
      <c r="F32" s="8"/>
      <c r="G32" s="8"/>
      <c r="H32" s="8"/>
      <c r="I32" s="38"/>
      <c r="J32" s="27"/>
      <c r="K32" s="27"/>
      <c r="L32" s="28"/>
      <c r="M32" s="28"/>
      <c r="N32" s="28"/>
      <c r="Q32" s="27"/>
      <c r="R32" s="28"/>
      <c r="S32" s="28"/>
      <c r="T32" s="28"/>
      <c r="U32" s="27"/>
      <c r="V32" s="27"/>
      <c r="X32" s="27"/>
      <c r="Z32" s="8"/>
    </row>
    <row r="33" spans="3:26">
      <c r="C33" s="8"/>
      <c r="D33" s="8"/>
      <c r="E33" s="8"/>
      <c r="F33" s="8"/>
      <c r="G33" s="8"/>
      <c r="H33" s="8"/>
      <c r="I33" s="38"/>
      <c r="J33" s="27"/>
      <c r="K33" s="27"/>
      <c r="L33" s="28"/>
      <c r="M33" s="28"/>
      <c r="N33" s="28"/>
      <c r="Q33" s="27"/>
      <c r="R33" s="28"/>
      <c r="S33" s="28"/>
      <c r="T33" s="28"/>
      <c r="U33" s="27"/>
      <c r="V33" s="27"/>
      <c r="X33" s="27"/>
      <c r="Z33" s="8"/>
    </row>
    <row r="34" spans="3:26">
      <c r="C34" s="8"/>
      <c r="D34" s="8"/>
      <c r="E34" s="8"/>
      <c r="F34" s="8"/>
      <c r="G34" s="8"/>
      <c r="H34" s="8"/>
      <c r="I34" s="38"/>
      <c r="J34" s="27"/>
      <c r="K34" s="27"/>
      <c r="L34" s="28"/>
      <c r="M34" s="28"/>
      <c r="N34" s="28"/>
      <c r="P34" s="28"/>
      <c r="Q34" s="27"/>
      <c r="R34" s="28"/>
      <c r="S34" s="28"/>
      <c r="U34" s="27"/>
      <c r="W34" s="26"/>
      <c r="X34" s="27"/>
      <c r="Z34" s="8"/>
    </row>
    <row r="35" spans="3:27">
      <c r="C35" s="8"/>
      <c r="D35" s="8"/>
      <c r="E35" s="8"/>
      <c r="F35" s="8"/>
      <c r="G35" s="8"/>
      <c r="H35" s="8"/>
      <c r="I35" s="38"/>
      <c r="J35" s="27"/>
      <c r="K35" s="27"/>
      <c r="L35" s="28"/>
      <c r="M35" s="28"/>
      <c r="N35" s="28"/>
      <c r="P35" s="28"/>
      <c r="Q35" s="27"/>
      <c r="R35" s="28"/>
      <c r="S35" s="28"/>
      <c r="U35" s="27"/>
      <c r="W35" s="26"/>
      <c r="X35" s="27"/>
      <c r="Z35" s="8"/>
    </row>
    <row r="36" spans="3:27">
      <c r="C36" s="8"/>
      <c r="D36" s="8"/>
      <c r="E36" s="8"/>
      <c r="F36" s="8"/>
      <c r="G36" s="8"/>
      <c r="H36" s="8"/>
      <c r="I36" s="38"/>
      <c r="J36" s="27"/>
      <c r="K36" s="27"/>
      <c r="L36" s="28"/>
      <c r="M36" s="28"/>
      <c r="N36" s="28"/>
      <c r="O36" s="28"/>
      <c r="P36" s="28"/>
      <c r="Q36" s="27"/>
      <c r="R36" s="28"/>
      <c r="S36" s="28"/>
      <c r="U36" s="27"/>
      <c r="W36" s="26"/>
      <c r="X36" s="27"/>
      <c r="Y36" s="40"/>
      <c r="Z36" s="8"/>
    </row>
    <row r="37" spans="3:27">
      <c r="C37" s="8"/>
      <c r="D37" s="8"/>
      <c r="E37" s="8"/>
      <c r="F37" s="8"/>
      <c r="G37" s="8"/>
      <c r="H37" s="8"/>
      <c r="I37" s="38"/>
      <c r="J37" s="27"/>
      <c r="K37" s="27"/>
      <c r="L37" s="28"/>
      <c r="M37" s="28"/>
      <c r="N37" s="28"/>
      <c r="P37" s="28"/>
      <c r="Q37" s="27"/>
      <c r="R37" s="28"/>
      <c r="S37" s="28"/>
      <c r="T37" s="28"/>
      <c r="U37" s="27"/>
      <c r="V37" s="27"/>
      <c r="W37" s="26"/>
      <c r="X37" s="27"/>
      <c r="Z37" s="8"/>
    </row>
    <row r="38" spans="3:27">
      <c r="C38" s="8"/>
      <c r="D38" s="8"/>
      <c r="E38" s="8"/>
      <c r="F38" s="8"/>
      <c r="G38" s="8"/>
      <c r="H38" s="8"/>
      <c r="I38" s="38"/>
      <c r="J38" s="27"/>
      <c r="K38" s="27"/>
      <c r="L38" s="28"/>
      <c r="M38" s="28"/>
      <c r="N38" s="28"/>
      <c r="P38" s="28"/>
      <c r="Q38" s="27"/>
      <c r="R38" s="28"/>
      <c r="S38" s="28"/>
      <c r="T38" s="28"/>
      <c r="U38" s="27"/>
      <c r="V38" s="27"/>
      <c r="W38" s="26"/>
      <c r="X38" s="27"/>
      <c r="Z38" s="8"/>
    </row>
    <row r="39" spans="3:27">
      <c r="C39" s="8"/>
      <c r="D39" s="8"/>
      <c r="E39" s="8"/>
      <c r="F39" s="8"/>
      <c r="G39" s="8"/>
      <c r="H39" s="8"/>
      <c r="I39" s="38"/>
      <c r="J39" s="27"/>
      <c r="K39" s="27"/>
      <c r="L39" s="28"/>
      <c r="M39" s="28"/>
      <c r="N39" s="28"/>
      <c r="O39" s="28"/>
      <c r="P39" s="28"/>
      <c r="Q39" s="27"/>
      <c r="R39" s="28"/>
      <c r="S39" s="28"/>
      <c r="U39" s="27"/>
      <c r="W39" s="26"/>
      <c r="X39" s="27"/>
      <c r="Y39" s="40"/>
      <c r="Z39" s="8"/>
    </row>
    <row r="40" spans="3:27">
      <c r="C40" s="8"/>
      <c r="D40" s="8"/>
      <c r="E40" s="8"/>
      <c r="F40" s="8"/>
      <c r="Z40" s="8"/>
      <c r="AA40" s="8"/>
    </row>
    <row r="41" spans="3:27">
      <c r="C41" s="8"/>
      <c r="D41" s="8"/>
      <c r="E41" s="8"/>
      <c r="F41" s="8"/>
      <c r="G41" s="8"/>
      <c r="H41" s="8"/>
      <c r="I41" s="38"/>
      <c r="J41" s="27"/>
      <c r="K41" s="27"/>
      <c r="L41" s="28"/>
      <c r="M41" s="28"/>
      <c r="N41" s="28"/>
      <c r="O41" s="28"/>
      <c r="Q41" s="27"/>
      <c r="R41" s="28"/>
      <c r="S41" s="28"/>
      <c r="U41" s="27"/>
      <c r="X41" s="27"/>
      <c r="Y41" s="40"/>
      <c r="Z41" s="8"/>
    </row>
    <row r="42" spans="3:27">
      <c r="C42" s="8"/>
      <c r="D42" s="8"/>
      <c r="E42" s="8"/>
      <c r="F42" s="8"/>
      <c r="G42" s="8"/>
      <c r="H42" s="8"/>
      <c r="I42" s="38"/>
      <c r="J42" s="27"/>
      <c r="K42" s="27"/>
      <c r="L42" s="28"/>
      <c r="M42" s="28"/>
      <c r="N42" s="28"/>
      <c r="Q42" s="27"/>
      <c r="R42" s="28"/>
      <c r="S42" s="28"/>
      <c r="U42" s="27"/>
      <c r="X42" s="27"/>
      <c r="Z42" s="8"/>
    </row>
    <row r="43" spans="3:27">
      <c r="C43" s="8"/>
      <c r="D43" s="8"/>
      <c r="E43" s="8"/>
      <c r="F43" s="8"/>
      <c r="G43" s="8"/>
      <c r="H43" s="8"/>
      <c r="I43" s="38"/>
      <c r="J43" s="27"/>
      <c r="K43" s="27"/>
      <c r="L43" s="28"/>
      <c r="M43" s="28"/>
      <c r="N43" s="28"/>
      <c r="Q43" s="27"/>
      <c r="R43" s="28"/>
      <c r="S43" s="28"/>
      <c r="U43" s="27"/>
      <c r="X43" s="27"/>
      <c r="Z43" s="8"/>
    </row>
    <row r="44" spans="3:27">
      <c r="C44" s="8"/>
      <c r="D44" s="8"/>
      <c r="E44" s="8"/>
      <c r="F44" s="8"/>
      <c r="G44" s="8"/>
      <c r="H44" s="8"/>
      <c r="I44" s="38"/>
      <c r="J44" s="27"/>
      <c r="K44" s="27"/>
      <c r="L44" s="28"/>
      <c r="M44" s="28"/>
      <c r="N44" s="28"/>
      <c r="Q44" s="27"/>
      <c r="R44" s="28"/>
      <c r="S44" s="28"/>
      <c r="U44" s="27"/>
      <c r="X44" s="27"/>
      <c r="Z44" s="8"/>
    </row>
    <row r="45" spans="3:27">
      <c r="C45" s="8"/>
      <c r="D45" s="8"/>
      <c r="E45" s="8"/>
      <c r="F45" s="8"/>
      <c r="Z45" s="8"/>
      <c r="AA45" s="8"/>
    </row>
    <row r="46" spans="3:27">
      <c r="C46" s="8"/>
      <c r="D46" s="8"/>
      <c r="E46" s="8"/>
      <c r="F46" s="8"/>
      <c r="G46" s="8"/>
      <c r="H46" s="8"/>
      <c r="I46" s="38"/>
      <c r="J46" s="27"/>
      <c r="K46" s="27"/>
      <c r="L46" s="28"/>
      <c r="M46" s="28"/>
      <c r="N46" s="28"/>
      <c r="Q46" s="27"/>
      <c r="R46" s="28"/>
      <c r="S46" s="28"/>
      <c r="U46" s="27"/>
      <c r="X46" s="27"/>
      <c r="Z46" s="8"/>
    </row>
    <row r="47" spans="3:27">
      <c r="C47" s="8"/>
      <c r="D47" s="8"/>
      <c r="E47" s="8"/>
      <c r="F47" s="8"/>
      <c r="G47" s="8"/>
      <c r="H47" s="8"/>
      <c r="I47" s="38"/>
      <c r="J47" s="27"/>
      <c r="K47" s="27"/>
      <c r="L47" s="28"/>
      <c r="M47" s="28"/>
      <c r="N47" s="28"/>
      <c r="P47" s="28"/>
      <c r="Q47" s="27"/>
      <c r="R47" s="28"/>
      <c r="S47" s="28"/>
      <c r="U47" s="27"/>
      <c r="W47" s="26"/>
      <c r="X47" s="27"/>
      <c r="Z47" s="8"/>
    </row>
    <row r="48" spans="3:27">
      <c r="C48" s="8"/>
      <c r="D48" s="8"/>
      <c r="E48" s="8"/>
      <c r="F48" s="8"/>
      <c r="G48" s="8"/>
      <c r="H48" s="8"/>
      <c r="I48" s="38"/>
      <c r="J48" s="27"/>
      <c r="K48" s="27"/>
      <c r="L48" s="28"/>
      <c r="M48" s="28"/>
      <c r="N48" s="28"/>
      <c r="P48" s="28"/>
      <c r="Q48" s="27"/>
      <c r="R48" s="28"/>
      <c r="S48" s="28"/>
      <c r="U48" s="27"/>
      <c r="W48" s="26"/>
      <c r="X48" s="27"/>
      <c r="Z48" s="8"/>
    </row>
    <row r="49" spans="3:27">
      <c r="C49" s="8"/>
      <c r="D49" s="8"/>
      <c r="E49" s="8"/>
      <c r="F49" s="8"/>
      <c r="G49" s="8"/>
      <c r="H49" s="8"/>
      <c r="I49" s="38"/>
      <c r="J49" s="27"/>
      <c r="K49" s="27"/>
      <c r="L49" s="28"/>
      <c r="M49" s="28"/>
      <c r="N49" s="28"/>
      <c r="P49" s="28"/>
      <c r="Q49" s="27"/>
      <c r="R49" s="28"/>
      <c r="S49" s="28"/>
      <c r="U49" s="27"/>
      <c r="W49" s="26"/>
      <c r="X49" s="27"/>
      <c r="Z49" s="8"/>
    </row>
    <row r="50" spans="3:27">
      <c r="C50" s="8"/>
      <c r="D50" s="8"/>
      <c r="E50" s="8"/>
      <c r="F50" s="8"/>
      <c r="G50" s="8"/>
      <c r="H50" s="8"/>
      <c r="I50" s="38"/>
      <c r="J50" s="27"/>
      <c r="K50" s="27"/>
      <c r="L50" s="28"/>
      <c r="M50" s="28"/>
      <c r="N50" s="28"/>
      <c r="P50" s="28"/>
      <c r="Q50" s="27"/>
      <c r="R50" s="28"/>
      <c r="S50" s="28"/>
      <c r="U50" s="27"/>
      <c r="W50" s="26"/>
      <c r="X50" s="27"/>
      <c r="Z50" s="8"/>
    </row>
    <row r="51" spans="3:27">
      <c r="C51" s="8"/>
      <c r="D51" s="8"/>
      <c r="E51" s="8"/>
      <c r="F51" s="8"/>
      <c r="G51" s="8"/>
      <c r="H51" s="8"/>
      <c r="I51" s="38"/>
      <c r="J51" s="27"/>
      <c r="K51" s="27"/>
      <c r="L51" s="28"/>
      <c r="M51" s="28"/>
      <c r="N51" s="28"/>
      <c r="O51" s="28"/>
      <c r="P51" s="28"/>
      <c r="Q51" s="27"/>
      <c r="R51" s="28"/>
      <c r="S51" s="28"/>
      <c r="U51" s="27"/>
      <c r="W51" s="26"/>
      <c r="X51" s="27"/>
      <c r="Y51" s="40"/>
      <c r="Z51" s="8"/>
    </row>
    <row r="52" spans="3:27">
      <c r="C52" s="8"/>
      <c r="D52" s="8"/>
      <c r="E52" s="8"/>
      <c r="F52" s="8"/>
      <c r="G52" s="8"/>
      <c r="H52" s="8"/>
      <c r="I52" s="38"/>
      <c r="J52" s="27"/>
      <c r="K52" s="27"/>
      <c r="L52" s="28"/>
      <c r="M52" s="28"/>
      <c r="N52" s="28"/>
      <c r="P52" s="28"/>
      <c r="Q52" s="27"/>
      <c r="R52" s="28"/>
      <c r="S52" s="28"/>
      <c r="U52" s="27"/>
      <c r="W52" s="26"/>
      <c r="X52" s="27"/>
      <c r="Z52" s="8"/>
    </row>
    <row r="53" spans="3:27">
      <c r="C53" s="8"/>
      <c r="D53" s="8"/>
      <c r="E53" s="8"/>
      <c r="F53" s="8"/>
      <c r="G53" s="8"/>
      <c r="H53" s="8"/>
      <c r="I53" s="38"/>
      <c r="J53" s="27"/>
      <c r="K53" s="27"/>
      <c r="L53" s="28"/>
      <c r="M53" s="28"/>
      <c r="N53" s="28"/>
      <c r="Q53" s="27"/>
      <c r="R53" s="28"/>
      <c r="S53" s="28"/>
      <c r="U53" s="27"/>
      <c r="X53" s="27"/>
      <c r="Z53" s="8"/>
    </row>
    <row r="54" spans="3:27">
      <c r="C54" s="8"/>
      <c r="D54" s="8"/>
      <c r="E54" s="8"/>
      <c r="F54" s="8"/>
      <c r="G54" s="8"/>
      <c r="H54" s="8"/>
      <c r="I54" s="38"/>
      <c r="J54" s="27"/>
      <c r="K54" s="27"/>
      <c r="L54" s="28"/>
      <c r="M54" s="28"/>
      <c r="N54" s="28"/>
      <c r="O54" s="28"/>
      <c r="Q54" s="27"/>
      <c r="R54" s="28"/>
      <c r="S54" s="28"/>
      <c r="U54" s="27"/>
      <c r="X54" s="27"/>
      <c r="Y54" s="40"/>
      <c r="Z54" s="8"/>
    </row>
    <row r="55" spans="3:27">
      <c r="C55" s="8"/>
      <c r="D55" s="8"/>
      <c r="E55" s="8"/>
      <c r="F55" s="8"/>
      <c r="G55" s="8"/>
      <c r="H55" s="8"/>
      <c r="I55" s="38"/>
      <c r="J55" s="27"/>
      <c r="K55" s="27"/>
      <c r="L55" s="28"/>
      <c r="M55" s="28"/>
      <c r="N55" s="28"/>
      <c r="Q55" s="27"/>
      <c r="R55" s="28"/>
      <c r="S55" s="28"/>
      <c r="U55" s="27"/>
      <c r="X55" s="27"/>
      <c r="Z55" s="8"/>
    </row>
    <row r="56" spans="3:27">
      <c r="C56" s="8"/>
      <c r="D56" s="8"/>
      <c r="E56" s="8"/>
      <c r="F56" s="8"/>
      <c r="G56" s="8"/>
      <c r="H56" s="8"/>
      <c r="I56" s="38"/>
      <c r="J56" s="27"/>
      <c r="K56" s="27"/>
      <c r="L56" s="28"/>
      <c r="M56" s="28"/>
      <c r="N56" s="28"/>
      <c r="P56" s="28"/>
      <c r="Q56" s="27"/>
      <c r="R56" s="28"/>
      <c r="S56" s="28"/>
      <c r="U56" s="27"/>
      <c r="W56" s="26"/>
      <c r="X56" s="27"/>
      <c r="Z56" s="8"/>
    </row>
    <row r="57" spans="3:27">
      <c r="C57" s="8"/>
      <c r="D57" s="8"/>
      <c r="E57" s="8"/>
      <c r="F57" s="8"/>
      <c r="Z57" s="8"/>
      <c r="AA57" s="8"/>
    </row>
    <row r="58" spans="3:27">
      <c r="C58" s="8"/>
      <c r="D58" s="8"/>
      <c r="E58" s="8"/>
      <c r="F58" s="8"/>
      <c r="G58" s="8"/>
      <c r="H58" s="8"/>
      <c r="I58" s="38"/>
      <c r="J58" s="27"/>
      <c r="K58" s="27"/>
      <c r="L58" s="28"/>
      <c r="M58" s="28"/>
      <c r="N58" s="28"/>
      <c r="P58" s="28"/>
      <c r="Q58" s="27"/>
      <c r="R58" s="28"/>
      <c r="S58" s="28"/>
      <c r="T58" s="28"/>
      <c r="U58" s="27"/>
      <c r="V58" s="27"/>
      <c r="X58" s="27"/>
      <c r="Z58" s="8"/>
    </row>
    <row r="59" spans="3:27">
      <c r="C59" s="8"/>
      <c r="D59" s="8"/>
      <c r="E59" s="8"/>
      <c r="F59" s="8"/>
      <c r="G59" s="8"/>
      <c r="H59" s="8"/>
      <c r="I59" s="38"/>
      <c r="J59" s="27"/>
      <c r="K59" s="27"/>
      <c r="L59" s="28"/>
      <c r="M59" s="28"/>
      <c r="N59" s="28"/>
      <c r="P59" s="28"/>
      <c r="Q59" s="27"/>
      <c r="R59" s="28"/>
      <c r="S59" s="28"/>
      <c r="T59" s="28"/>
      <c r="U59" s="27"/>
      <c r="V59" s="27"/>
      <c r="X59" s="27"/>
      <c r="Z59" s="8"/>
    </row>
    <row r="60" spans="3:27">
      <c r="C60" s="8"/>
      <c r="D60" s="8"/>
      <c r="E60" s="8"/>
      <c r="F60" s="8"/>
      <c r="G60" s="8"/>
      <c r="H60" s="8"/>
      <c r="I60" s="38"/>
      <c r="J60" s="27"/>
      <c r="K60" s="27"/>
      <c r="L60" s="28"/>
      <c r="M60" s="28"/>
      <c r="N60" s="28"/>
      <c r="P60" s="28"/>
      <c r="Q60" s="27"/>
      <c r="R60" s="28"/>
      <c r="S60" s="28"/>
      <c r="T60" s="28"/>
      <c r="U60" s="27"/>
      <c r="V60" s="27"/>
      <c r="X60" s="27"/>
      <c r="Z60" s="8"/>
    </row>
    <row r="61" spans="3:27">
      <c r="C61" s="8"/>
      <c r="D61" s="8"/>
      <c r="E61" s="8"/>
      <c r="F61" s="8"/>
      <c r="G61" s="8"/>
      <c r="H61" s="8"/>
      <c r="I61" s="38"/>
      <c r="J61" s="27"/>
      <c r="K61" s="27"/>
      <c r="L61" s="28"/>
      <c r="M61" s="28"/>
      <c r="N61" s="28"/>
      <c r="P61" s="28"/>
      <c r="Q61" s="27"/>
      <c r="R61" s="28"/>
      <c r="S61" s="28"/>
      <c r="T61" s="28"/>
      <c r="U61" s="27"/>
      <c r="V61" s="27"/>
      <c r="X61" s="27"/>
      <c r="Z61" s="8"/>
    </row>
    <row r="62" spans="3:27">
      <c r="C62" s="8"/>
      <c r="D62" s="8"/>
      <c r="E62" s="8"/>
      <c r="F62" s="8"/>
      <c r="G62" s="8"/>
      <c r="H62" s="8"/>
      <c r="I62" s="38"/>
      <c r="J62" s="27"/>
      <c r="K62" s="27"/>
      <c r="L62" s="28"/>
      <c r="M62" s="28"/>
      <c r="N62" s="28"/>
      <c r="P62" s="28"/>
      <c r="Q62" s="27"/>
      <c r="R62" s="28"/>
      <c r="S62" s="28"/>
      <c r="T62" s="28"/>
      <c r="U62" s="27"/>
      <c r="V62" s="27"/>
      <c r="X62" s="27"/>
      <c r="Z62" s="8"/>
    </row>
    <row r="63" spans="3:27">
      <c r="C63" s="8"/>
      <c r="D63" s="8"/>
      <c r="E63" s="8"/>
      <c r="F63" s="8"/>
      <c r="G63" s="8"/>
      <c r="H63" s="8"/>
      <c r="I63" s="38"/>
      <c r="J63" s="27"/>
      <c r="K63" s="27"/>
      <c r="L63" s="28"/>
      <c r="M63" s="28"/>
      <c r="N63" s="28"/>
      <c r="Q63" s="27"/>
      <c r="R63" s="28"/>
      <c r="S63" s="28"/>
      <c r="T63" s="28"/>
      <c r="U63" s="27"/>
      <c r="V63" s="27"/>
      <c r="X63" s="27"/>
      <c r="Z63" s="8"/>
    </row>
    <row r="64" spans="3:27">
      <c r="C64" s="8"/>
      <c r="D64" s="8"/>
      <c r="E64" s="8"/>
      <c r="F64" s="8"/>
      <c r="G64" s="8"/>
      <c r="H64" s="8"/>
      <c r="I64" s="38"/>
      <c r="J64" s="27"/>
      <c r="K64" s="27"/>
      <c r="L64" s="28"/>
      <c r="M64" s="28"/>
      <c r="N64" s="28"/>
      <c r="O64" s="28"/>
      <c r="Q64" s="27"/>
      <c r="R64" s="28"/>
      <c r="S64" s="28"/>
      <c r="T64" s="28"/>
      <c r="U64" s="27"/>
      <c r="V64" s="27"/>
      <c r="X64" s="27"/>
      <c r="Y64" s="40"/>
      <c r="Z64" s="8"/>
    </row>
    <row r="65" spans="3:27">
      <c r="C65" s="8"/>
      <c r="D65" s="8"/>
      <c r="E65" s="8"/>
      <c r="F65" s="8"/>
      <c r="G65" s="8"/>
      <c r="H65" s="8"/>
      <c r="I65" s="38"/>
      <c r="J65" s="27"/>
      <c r="K65" s="27"/>
      <c r="L65" s="28"/>
      <c r="M65" s="28"/>
      <c r="N65" s="28"/>
      <c r="Q65" s="27"/>
      <c r="R65" s="28"/>
      <c r="S65" s="28"/>
      <c r="T65" s="28"/>
      <c r="U65" s="27"/>
      <c r="V65" s="27"/>
      <c r="X65" s="27"/>
      <c r="Z65" s="8"/>
    </row>
    <row r="66" spans="3:27">
      <c r="C66" s="8"/>
      <c r="D66" s="8"/>
      <c r="E66" s="8"/>
      <c r="F66" s="8"/>
      <c r="G66" s="8"/>
      <c r="H66" s="8"/>
      <c r="I66" s="38"/>
      <c r="J66" s="27"/>
      <c r="K66" s="27"/>
      <c r="L66" s="28"/>
      <c r="M66" s="28"/>
      <c r="N66" s="28"/>
      <c r="Q66" s="27"/>
      <c r="R66" s="28"/>
      <c r="S66" s="28"/>
      <c r="T66" s="28"/>
      <c r="U66" s="27"/>
      <c r="V66" s="27"/>
      <c r="X66" s="27"/>
      <c r="Z66" s="8"/>
    </row>
    <row r="67" spans="3:26">
      <c r="C67" s="8"/>
      <c r="D67" s="8"/>
      <c r="E67" s="8"/>
      <c r="F67" s="8"/>
      <c r="G67" s="8"/>
      <c r="H67" s="8"/>
      <c r="I67" s="38"/>
      <c r="J67" s="27"/>
      <c r="K67" s="27"/>
      <c r="L67" s="28"/>
      <c r="M67" s="28"/>
      <c r="N67" s="28"/>
      <c r="Q67" s="27"/>
      <c r="R67" s="28"/>
      <c r="S67" s="28"/>
      <c r="T67" s="28"/>
      <c r="U67" s="27"/>
      <c r="V67" s="27"/>
      <c r="X67" s="27"/>
      <c r="Z67" s="8"/>
    </row>
    <row r="68" spans="3:26">
      <c r="C68" s="8"/>
      <c r="D68" s="8"/>
      <c r="E68" s="8"/>
      <c r="F68" s="8"/>
      <c r="G68" s="8"/>
      <c r="H68" s="8"/>
      <c r="I68" s="38"/>
      <c r="J68" s="27"/>
      <c r="K68" s="27"/>
      <c r="L68" s="28"/>
      <c r="M68" s="28"/>
      <c r="N68" s="28"/>
      <c r="Q68" s="27"/>
      <c r="R68" s="28"/>
      <c r="S68" s="28"/>
      <c r="T68" s="28"/>
      <c r="U68" s="27"/>
      <c r="V68" s="27"/>
      <c r="X68" s="27"/>
      <c r="Z68" s="8"/>
    </row>
    <row r="69" spans="3:26">
      <c r="C69" s="8"/>
      <c r="D69" s="8"/>
      <c r="E69" s="8"/>
      <c r="F69" s="8"/>
      <c r="G69" s="8"/>
      <c r="H69" s="8"/>
      <c r="I69" s="38"/>
      <c r="J69" s="27"/>
      <c r="K69" s="27"/>
      <c r="L69" s="28"/>
      <c r="M69" s="28"/>
      <c r="N69" s="28"/>
      <c r="Q69" s="27"/>
      <c r="R69" s="28"/>
      <c r="S69" s="28"/>
      <c r="T69" s="28"/>
      <c r="U69" s="27"/>
      <c r="V69" s="27"/>
      <c r="X69" s="27"/>
      <c r="Z69" s="8"/>
    </row>
    <row r="70" spans="3:26">
      <c r="C70" s="8"/>
      <c r="D70" s="8"/>
      <c r="E70" s="8"/>
      <c r="F70" s="8"/>
      <c r="G70" s="8"/>
      <c r="H70" s="8"/>
      <c r="I70" s="38"/>
      <c r="J70" s="27"/>
      <c r="K70" s="27"/>
      <c r="L70" s="28"/>
      <c r="M70" s="28"/>
      <c r="N70" s="28"/>
      <c r="Q70" s="27"/>
      <c r="R70" s="28"/>
      <c r="S70" s="28"/>
      <c r="T70" s="28"/>
      <c r="U70" s="27"/>
      <c r="V70" s="27"/>
      <c r="X70" s="27"/>
      <c r="Z70" s="8"/>
    </row>
    <row r="71" spans="3:26">
      <c r="C71" s="8"/>
      <c r="D71" s="8"/>
      <c r="E71" s="8"/>
      <c r="F71" s="8"/>
      <c r="G71" s="8"/>
      <c r="H71" s="8"/>
      <c r="I71" s="38"/>
      <c r="J71" s="27"/>
      <c r="K71" s="27"/>
      <c r="L71" s="28"/>
      <c r="M71" s="28"/>
      <c r="N71" s="28"/>
      <c r="Q71" s="27"/>
      <c r="R71" s="28"/>
      <c r="S71" s="28"/>
      <c r="T71" s="28"/>
      <c r="U71" s="27"/>
      <c r="V71" s="27"/>
      <c r="X71" s="27"/>
      <c r="Z71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C3:G1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6.7109375" style="26" customWidth="1"/>
    <col min="6" max="6" width="22.7109375" style="8" customWidth="1"/>
    <col min="7" max="7" width="110.7109375" style="8" customWidth="1"/>
  </cols>
  <sheetData>
    <row r="1" ht="24" customHeight="1" s="55" customFormat="1"/>
    <row r="2" ht="26" customHeight="1" s="56" customFormat="1"/>
    <row r="3" spans="3:7" ht="34" customHeight="1">
      <c r="C3" s="1" t="s">
        <v>70</v>
      </c>
    </row>
    <row r="4" spans="3:7">
      <c r="C4" s="2" t="s">
        <v>576</v>
      </c>
    </row>
    <row r="6" spans="3:7" ht="42" customHeight="1">
      <c r="C6" s="31" t="s">
        <v>577</v>
      </c>
      <c r="D6" s="31" t="s">
        <v>578</v>
      </c>
      <c r="E6" s="31" t="s">
        <v>579</v>
      </c>
      <c r="F6" s="31" t="s">
        <v>118</v>
      </c>
      <c r="G6" s="31" t="s">
        <v>580</v>
      </c>
    </row>
    <row r="7" spans="3:7">
      <c r="C7" s="8"/>
      <c r="D7" s="8"/>
      <c r="E7" s="26"/>
      <c r="F7" s="8"/>
      <c r="G7" s="8"/>
    </row>
    <row r="8" spans="3:7">
      <c r="C8" s="8"/>
      <c r="D8" s="8"/>
      <c r="E8" s="26"/>
      <c r="F8" s="8"/>
      <c r="G8" s="8"/>
    </row>
    <row r="9" spans="3:7">
      <c r="C9" s="8"/>
      <c r="D9" s="8"/>
      <c r="E9" s="26"/>
      <c r="F9" s="8"/>
      <c r="G9" s="8"/>
    </row>
    <row r="10" spans="3:7">
      <c r="C10" s="8"/>
      <c r="D10" s="8"/>
      <c r="F10" s="8"/>
      <c r="G10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C3:R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6.7109375" customWidth="1"/>
    <col min="4" max="4" width="16.7109375" customWidth="1"/>
    <col min="5" max="5" width="46.7109375" customWidth="1"/>
    <col min="6" max="6" width="30.7109375" customWidth="1"/>
    <col min="7" max="7" width="26.7109375" customWidth="1"/>
    <col min="8" max="8" width="8.7109375" customWidth="1"/>
    <col min="9" max="9" width="10.7109375" customWidth="1"/>
    <col min="10" max="10" width="14.7109375" customWidth="1"/>
    <col min="11" max="11" width="20.7109375" customWidth="1"/>
    <col min="12" max="12" width="18.7109375" customWidth="1"/>
    <col min="13" max="14" width="9.7109375" customWidth="1"/>
    <col min="15" max="15" width="18.7109375" customWidth="1"/>
    <col min="16" max="16" width="10.7109375" customWidth="1"/>
    <col min="17" max="17" width="8.7109375" customWidth="1"/>
    <col min="18" max="18" width="50.7109375" customWidth="1"/>
  </cols>
  <sheetData>
    <row r="1" ht="24" customHeight="1" s="55" customFormat="1"/>
    <row r="2" ht="26" customHeight="1" s="56" customFormat="1"/>
    <row r="3" spans="3:18" ht="34" customHeight="1">
      <c r="C3" s="1" t="s">
        <v>639</v>
      </c>
    </row>
    <row r="4" spans="3:18">
      <c r="C4" s="2" t="s">
        <v>640</v>
      </c>
    </row>
    <row r="6" spans="3:18" ht="42" customHeight="1">
      <c r="C6" s="6" t="s">
        <v>589</v>
      </c>
      <c r="D6" s="6" t="s">
        <v>641</v>
      </c>
      <c r="E6" s="6" t="s">
        <v>116</v>
      </c>
      <c r="F6" s="6" t="s">
        <v>642</v>
      </c>
      <c r="G6" s="6" t="s">
        <v>643</v>
      </c>
      <c r="H6" s="6" t="s">
        <v>165</v>
      </c>
      <c r="I6" s="6" t="s">
        <v>578</v>
      </c>
      <c r="J6" s="6" t="s">
        <v>118</v>
      </c>
      <c r="K6" s="6" t="s">
        <v>644</v>
      </c>
      <c r="L6" s="6" t="s">
        <v>591</v>
      </c>
      <c r="M6" s="6" t="s">
        <v>645</v>
      </c>
      <c r="N6" s="6" t="s">
        <v>646</v>
      </c>
      <c r="O6" s="6" t="s">
        <v>647</v>
      </c>
      <c r="P6" s="6" t="s">
        <v>648</v>
      </c>
      <c r="Q6" s="6" t="s">
        <v>594</v>
      </c>
      <c r="R6" s="6" t="s">
        <v>649</v>
      </c>
    </row>
    <row r="7" spans="3:18">
      <c r="C7" s="4" t="s">
        <v>650</v>
      </c>
      <c r="D7" s="5" t="s">
        <v>651</v>
      </c>
      <c r="E7" s="5" t="s">
        <v>652</v>
      </c>
      <c r="F7" s="5" t="s">
        <v>653</v>
      </c>
      <c r="G7" s="5" t="s">
        <v>654</v>
      </c>
      <c r="H7" s="5" t="s">
        <v>276</v>
      </c>
      <c r="I7" s="5" t="s">
        <v>68</v>
      </c>
      <c r="J7" s="5" t="s">
        <v>346</v>
      </c>
      <c r="K7" s="5" t="s">
        <v>563</v>
      </c>
      <c r="L7" s="41">
        <v>78694</v>
      </c>
      <c r="M7" s="5" t="s">
        <v>655</v>
      </c>
      <c r="N7" s="42">
        <v>0.5</v>
      </c>
      <c r="O7" s="43">
        <f>IFERROR(INDEX(TradeCalc!$C$7:$AA$3002,MATCH($J7,TradeCalc!$C$7:$C$3002,0),MATCH($K7,TradeCalc!$C$6:$AA$6,0)),"n/a")</f>
        <v>78693.86805747332</v>
      </c>
      <c r="P7" s="42">
        <f>IF(AND(ISNUMBER(O7),ISNUMBER(L7)),O7-L7,"")</f>
        <v>-0.13194252668472473</v>
      </c>
      <c r="Q7" s="44" t="str">
        <f>IF(M7="text",IF(O7&amp;""=L7&amp;"","PASS","FAIL"),IF(NOT(ISNUMBER(O7)),"FAIL",IF(M7="rel",IF(ABS(P7)&lt;=N7*MAX(1,ABS(L7)),"PASS","FAIL"),IF(ABS(P7)&lt;=N7,"PASS","FAIL"))))</f>
        <v>PASS</v>
      </c>
      <c r="R7" s="5" t="s">
        <v>656</v>
      </c>
    </row>
    <row r="8" spans="3:18">
      <c r="C8" s="4" t="s">
        <v>657</v>
      </c>
      <c r="D8" s="5" t="s">
        <v>651</v>
      </c>
      <c r="E8" s="5" t="s">
        <v>658</v>
      </c>
      <c r="F8" s="5" t="s">
        <v>659</v>
      </c>
      <c r="G8" s="5" t="s">
        <v>654</v>
      </c>
      <c r="H8" s="5" t="s">
        <v>276</v>
      </c>
      <c r="I8" s="5" t="s">
        <v>68</v>
      </c>
      <c r="J8" s="5" t="s">
        <v>354</v>
      </c>
      <c r="K8" s="5" t="s">
        <v>564</v>
      </c>
      <c r="L8" s="41">
        <v>-0.27</v>
      </c>
      <c r="M8" s="5" t="s">
        <v>655</v>
      </c>
      <c r="N8" s="42">
        <v>0.005</v>
      </c>
      <c r="O8" s="43">
        <f>IFERROR(INDEX(TradeCalc!$C$7:$AA$3002,MATCH($J8,TradeCalc!$C$7:$C$3002,0),MATCH($K8,TradeCalc!$C$6:$AA$6,0)),"n/a")</f>
        <v>-0.2693952177105327</v>
      </c>
      <c r="P8" s="42">
        <f>IF(AND(ISNUMBER(O8),ISNUMBER(L8)),O8-L8,"")</f>
        <v>0.0006047822894673094</v>
      </c>
      <c r="Q8" s="44" t="str">
        <f>IF(M8="text",IF(O8&amp;""=L8&amp;"","PASS","FAIL"),IF(NOT(ISNUMBER(O8)),"FAIL",IF(M8="rel",IF(ABS(P8)&lt;=N8*MAX(1,ABS(L8)),"PASS","FAIL"),IF(ABS(P8)&lt;=N8,"PASS","FAIL"))))</f>
        <v>PASS</v>
      </c>
      <c r="R8" s="5" t="s">
        <v>656</v>
      </c>
    </row>
    <row r="9" spans="3:18">
      <c r="C9" s="4" t="s">
        <v>660</v>
      </c>
      <c r="D9" s="5" t="s">
        <v>651</v>
      </c>
      <c r="E9" s="5" t="s">
        <v>661</v>
      </c>
      <c r="F9" s="5" t="s">
        <v>659</v>
      </c>
      <c r="G9" s="5" t="s">
        <v>654</v>
      </c>
      <c r="H9" s="5" t="s">
        <v>276</v>
      </c>
      <c r="I9" s="5" t="s">
        <v>62</v>
      </c>
      <c r="J9" s="5" t="s">
        <v>273</v>
      </c>
      <c r="K9" s="5" t="s">
        <v>494</v>
      </c>
      <c r="L9" s="41">
        <v>347</v>
      </c>
      <c r="M9" s="5" t="s">
        <v>655</v>
      </c>
      <c r="N9" s="42">
        <v>0.5</v>
      </c>
      <c r="O9" s="43">
        <f>IFERROR(INDEX(Results!$C$7:$AC$3002,MATCH($J9,Results!$C$7:$C$3002,0),MATCH($K9,Results!$C$6:$AC$6,0)),"n/a")</f>
        <v>346.7643863838184</v>
      </c>
      <c r="P9" s="42">
        <f>IF(AND(ISNUMBER(O9),ISNUMBER(L9)),O9-L9,"")</f>
        <v>-0.23561361618158116</v>
      </c>
      <c r="Q9" s="44" t="str">
        <f>IF(M9="text",IF(O9&amp;""=L9&amp;"","PASS","FAIL"),IF(NOT(ISNUMBER(O9)),"FAIL",IF(M9="rel",IF(ABS(P9)&lt;=N9*MAX(1,ABS(L9)),"PASS","FAIL"),IF(ABS(P9)&lt;=N9,"PASS","FAIL"))))</f>
        <v>PASS</v>
      </c>
      <c r="R9" s="5" t="s">
        <v>656</v>
      </c>
    </row>
    <row r="10" spans="3:18">
      <c r="C10" s="4" t="s">
        <v>662</v>
      </c>
      <c r="D10" s="5" t="s">
        <v>651</v>
      </c>
      <c r="E10" s="5" t="s">
        <v>663</v>
      </c>
      <c r="F10" s="5" t="s">
        <v>659</v>
      </c>
      <c r="G10" s="5" t="s">
        <v>654</v>
      </c>
      <c r="H10" s="5" t="s">
        <v>276</v>
      </c>
      <c r="I10" s="5" t="s">
        <v>62</v>
      </c>
      <c r="J10" s="5" t="s">
        <v>273</v>
      </c>
      <c r="K10" s="5" t="s">
        <v>33</v>
      </c>
      <c r="L10" s="41">
        <v>569</v>
      </c>
      <c r="M10" s="5" t="s">
        <v>655</v>
      </c>
      <c r="N10" s="42">
        <v>0.5</v>
      </c>
      <c r="O10" s="43">
        <f>IFERROR(INDEX(Results!$C$7:$AC$3002,MATCH($J10,Results!$C$7:$C$3002,0),MATCH($K10,Results!$C$6:$AC$6,0)),"n/a")</f>
        <v>569.4701409373457</v>
      </c>
      <c r="P10" s="42">
        <f>IF(AND(ISNUMBER(O10),ISNUMBER(L10)),O10-L10,"")</f>
        <v>0.47014093734571816</v>
      </c>
      <c r="Q10" s="44" t="str">
        <f>IF(M10="text",IF(O10&amp;""=L10&amp;"","PASS","FAIL"),IF(NOT(ISNUMBER(O10)),"FAIL",IF(M10="rel",IF(ABS(P10)&lt;=N10*MAX(1,ABS(L10)),"PASS","FAIL"),IF(ABS(P10)&lt;=N10,"PASS","FAIL"))))</f>
        <v>PASS</v>
      </c>
      <c r="R10" s="5" t="s">
        <v>656</v>
      </c>
    </row>
    <row r="11" spans="3:18">
      <c r="C11" s="4" t="s">
        <v>664</v>
      </c>
      <c r="D11" s="5" t="s">
        <v>665</v>
      </c>
      <c r="E11" s="5" t="s">
        <v>666</v>
      </c>
      <c r="F11" s="5" t="s">
        <v>667</v>
      </c>
      <c r="G11" s="5" t="s">
        <v>654</v>
      </c>
      <c r="H11" s="5" t="s">
        <v>276</v>
      </c>
      <c r="I11" s="5" t="s">
        <v>62</v>
      </c>
      <c r="J11" s="5" t="s">
        <v>277</v>
      </c>
      <c r="K11" s="5" t="s">
        <v>501</v>
      </c>
      <c r="L11" s="41">
        <v>0.965</v>
      </c>
      <c r="M11" s="5" t="s">
        <v>655</v>
      </c>
      <c r="N11" s="42">
        <v>0.0005</v>
      </c>
      <c r="O11" s="43">
        <f>IFERROR(INDEX(Results!$C$7:$AC$3002,MATCH($J11,Results!$C$7:$C$3002,0),MATCH($K11,Results!$C$6:$AC$6,0)),"n/a")</f>
        <v>0.965208280997999</v>
      </c>
      <c r="P11" s="42">
        <f>IF(AND(ISNUMBER(O11),ISNUMBER(L11)),O11-L11,"")</f>
        <v>0.0002082809979990774</v>
      </c>
      <c r="Q11" s="44" t="str">
        <f>IF(M11="text",IF(O11&amp;""=L11&amp;"","PASS","FAIL"),IF(NOT(ISNUMBER(O11)),"FAIL",IF(M11="rel",IF(ABS(P11)&lt;=N11*MAX(1,ABS(L11)),"PASS","FAIL"),IF(ABS(P11)&lt;=N11,"PASS","FAIL"))))</f>
        <v>PASS</v>
      </c>
      <c r="R11" s="5" t="s">
        <v>656</v>
      </c>
    </row>
    <row r="12" spans="3:18">
      <c r="C12" s="4" t="s">
        <v>668</v>
      </c>
      <c r="D12" s="5" t="s">
        <v>665</v>
      </c>
      <c r="E12" s="5" t="s">
        <v>669</v>
      </c>
      <c r="F12" s="5" t="s">
        <v>667</v>
      </c>
      <c r="G12" s="5" t="s">
        <v>654</v>
      </c>
      <c r="H12" s="5" t="s">
        <v>276</v>
      </c>
      <c r="I12" s="5" t="s">
        <v>62</v>
      </c>
      <c r="J12" s="5" t="s">
        <v>277</v>
      </c>
      <c r="K12" s="5" t="s">
        <v>33</v>
      </c>
      <c r="L12" s="41">
        <v>381</v>
      </c>
      <c r="M12" s="5" t="s">
        <v>655</v>
      </c>
      <c r="N12" s="42">
        <v>0.5</v>
      </c>
      <c r="O12" s="43">
        <f>IFERROR(INDEX(Results!$C$7:$AC$3002,MATCH($J12,Results!$C$7:$C$3002,0),MATCH($K12,Results!$C$6:$AC$6,0)),"n/a")</f>
        <v>381.2383187469392</v>
      </c>
      <c r="P12" s="42">
        <f>IF(AND(ISNUMBER(O12),ISNUMBER(L12)),O12-L12,"")</f>
        <v>0.23831874693922828</v>
      </c>
      <c r="Q12" s="44" t="str">
        <f>IF(M12="text",IF(O12&amp;""=L12&amp;"","PASS","FAIL"),IF(NOT(ISNUMBER(O12)),"FAIL",IF(M12="rel",IF(ABS(P12)&lt;=N12*MAX(1,ABS(L12)),"PASS","FAIL"),IF(ABS(P12)&lt;=N12,"PASS","FAIL"))))</f>
        <v>PASS</v>
      </c>
      <c r="R12" s="5" t="s">
        <v>656</v>
      </c>
    </row>
    <row r="13" spans="3:18">
      <c r="C13" s="4" t="s">
        <v>670</v>
      </c>
      <c r="D13" s="5" t="s">
        <v>671</v>
      </c>
      <c r="E13" s="5" t="s">
        <v>672</v>
      </c>
      <c r="F13" s="5" t="s">
        <v>673</v>
      </c>
      <c r="G13" s="5" t="s">
        <v>654</v>
      </c>
      <c r="H13" s="5" t="s">
        <v>276</v>
      </c>
      <c r="I13" s="5" t="s">
        <v>62</v>
      </c>
      <c r="J13" s="5" t="s">
        <v>279</v>
      </c>
      <c r="K13" s="5" t="s">
        <v>33</v>
      </c>
      <c r="L13" s="41">
        <v>5406</v>
      </c>
      <c r="M13" s="5" t="s">
        <v>655</v>
      </c>
      <c r="N13" s="42">
        <v>2</v>
      </c>
      <c r="O13" s="43">
        <f>IFERROR(INDEX(Results!$C$7:$AC$3002,MATCH($J13,Results!$C$7:$C$3002,0),MATCH($K13,Results!$C$6:$AC$6,0)),"n/a")</f>
        <v>5404.619687493473</v>
      </c>
      <c r="P13" s="42">
        <f>IF(AND(ISNUMBER(O13),ISNUMBER(L13)),O13-L13,"")</f>
        <v>-1.3803125065269342</v>
      </c>
      <c r="Q13" s="44" t="str">
        <f>IF(M13="text",IF(O13&amp;""=L13&amp;"","PASS","FAIL"),IF(NOT(ISNUMBER(O13)),"FAIL",IF(M13="rel",IF(ABS(P13)&lt;=N13*MAX(1,ABS(L13)),"PASS","FAIL"),IF(ABS(P13)&lt;=N13,"PASS","FAIL"))))</f>
        <v>PASS</v>
      </c>
      <c r="R13" s="5" t="s">
        <v>674</v>
      </c>
    </row>
    <row r="14" spans="3:18">
      <c r="C14" s="4" t="s">
        <v>675</v>
      </c>
      <c r="D14" s="5" t="s">
        <v>676</v>
      </c>
      <c r="E14" s="5" t="s">
        <v>677</v>
      </c>
      <c r="F14" s="5" t="s">
        <v>678</v>
      </c>
      <c r="G14" s="5" t="s">
        <v>654</v>
      </c>
      <c r="H14" s="5" t="s">
        <v>276</v>
      </c>
      <c r="I14" s="5" t="s">
        <v>62</v>
      </c>
      <c r="J14" s="5" t="s">
        <v>281</v>
      </c>
      <c r="K14" s="5" t="s">
        <v>35</v>
      </c>
      <c r="L14" s="41">
        <v>40</v>
      </c>
      <c r="M14" s="5" t="s">
        <v>655</v>
      </c>
      <c r="N14" s="42">
        <v>0.5</v>
      </c>
      <c r="O14" s="43">
        <f>IFERROR(INDEX(Results!$C$7:$AC$3002,MATCH($J14,Results!$C$7:$C$3002,0),MATCH($K14,Results!$C$6:$AC$6,0)),"n/a")</f>
        <v>40.0</v>
      </c>
      <c r="P14" s="42">
        <f>IF(AND(ISNUMBER(O14),ISNUMBER(L14)),O14-L14,"")</f>
        <v>0.0</v>
      </c>
      <c r="Q14" s="44" t="str">
        <f>IF(M14="text",IF(O14&amp;""=L14&amp;"","PASS","FAIL"),IF(NOT(ISNUMBER(O14)),"FAIL",IF(M14="rel",IF(ABS(P14)&lt;=N14*MAX(1,ABS(L14)),"PASS","FAIL"),IF(ABS(P14)&lt;=N14,"PASS","FAIL"))))</f>
        <v>PASS</v>
      </c>
      <c r="R14" s="5" t="s">
        <v>656</v>
      </c>
    </row>
    <row r="15" spans="3:18">
      <c r="C15" s="4" t="s">
        <v>679</v>
      </c>
      <c r="D15" s="5" t="s">
        <v>676</v>
      </c>
      <c r="E15" s="5" t="s">
        <v>680</v>
      </c>
      <c r="F15" s="5" t="s">
        <v>678</v>
      </c>
      <c r="G15" s="5" t="s">
        <v>654</v>
      </c>
      <c r="H15" s="5" t="s">
        <v>276</v>
      </c>
      <c r="I15" s="5" t="s">
        <v>62</v>
      </c>
      <c r="J15" s="5" t="s">
        <v>281</v>
      </c>
      <c r="K15" s="5" t="s">
        <v>500</v>
      </c>
      <c r="L15" s="41">
        <v>629</v>
      </c>
      <c r="M15" s="5" t="s">
        <v>655</v>
      </c>
      <c r="N15" s="42">
        <v>0.5</v>
      </c>
      <c r="O15" s="43">
        <f>IFERROR(INDEX(Results!$C$7:$AC$3002,MATCH($J15,Results!$C$7:$C$3002,0),MATCH($K15,Results!$C$6:$AC$6,0)),"n/a")</f>
        <v>628.8932182434851</v>
      </c>
      <c r="P15" s="42">
        <f>IF(AND(ISNUMBER(O15),ISNUMBER(L15)),O15-L15,"")</f>
        <v>-0.10678175651491983</v>
      </c>
      <c r="Q15" s="44" t="str">
        <f>IF(M15="text",IF(O15&amp;""=L15&amp;"","PASS","FAIL"),IF(NOT(ISNUMBER(O15)),"FAIL",IF(M15="rel",IF(ABS(P15)&lt;=N15*MAX(1,ABS(L15)),"PASS","FAIL"),IF(ABS(P15)&lt;=N15,"PASS","FAIL"))))</f>
        <v>PASS</v>
      </c>
      <c r="R15" s="5" t="s">
        <v>656</v>
      </c>
    </row>
    <row r="16" spans="3:18">
      <c r="C16" s="4" t="s">
        <v>681</v>
      </c>
      <c r="D16" s="5" t="s">
        <v>676</v>
      </c>
      <c r="E16" s="5" t="s">
        <v>682</v>
      </c>
      <c r="F16" s="5" t="s">
        <v>678</v>
      </c>
      <c r="G16" s="5" t="s">
        <v>654</v>
      </c>
      <c r="H16" s="5" t="s">
        <v>276</v>
      </c>
      <c r="I16" s="5" t="s">
        <v>62</v>
      </c>
      <c r="J16" s="5" t="s">
        <v>281</v>
      </c>
      <c r="K16" s="5" t="s">
        <v>33</v>
      </c>
      <c r="L16" s="41">
        <v>936</v>
      </c>
      <c r="M16" s="5" t="s">
        <v>655</v>
      </c>
      <c r="N16" s="42">
        <v>0.6</v>
      </c>
      <c r="O16" s="43">
        <f>IFERROR(INDEX(Results!$C$7:$AC$3002,MATCH($J16,Results!$C$7:$C$3002,0),MATCH($K16,Results!$C$6:$AC$6,0)),"n/a")</f>
        <v>936.450505540879</v>
      </c>
      <c r="P16" s="42">
        <f>IF(AND(ISNUMBER(O16),ISNUMBER(L16)),O16-L16,"")</f>
        <v>0.4505055408790213</v>
      </c>
      <c r="Q16" s="44" t="str">
        <f>IF(M16="text",IF(O16&amp;""=L16&amp;"","PASS","FAIL"),IF(NOT(ISNUMBER(O16)),"FAIL",IF(M16="rel",IF(ABS(P16)&lt;=N16*MAX(1,ABS(L16)),"PASS","FAIL"),IF(ABS(P16)&lt;=N16,"PASS","FAIL"))))</f>
        <v>PASS</v>
      </c>
      <c r="R16" s="5" t="s">
        <v>683</v>
      </c>
    </row>
    <row r="17" spans="3:18">
      <c r="C17" s="4" t="s">
        <v>684</v>
      </c>
      <c r="D17" s="5" t="s">
        <v>685</v>
      </c>
      <c r="E17" s="5" t="s">
        <v>686</v>
      </c>
      <c r="F17" s="5" t="s">
        <v>687</v>
      </c>
      <c r="G17" s="5" t="s">
        <v>654</v>
      </c>
      <c r="H17" s="5" t="s">
        <v>276</v>
      </c>
      <c r="I17" s="5" t="s">
        <v>62</v>
      </c>
      <c r="J17" s="5" t="s">
        <v>283</v>
      </c>
      <c r="K17" s="5" t="s">
        <v>491</v>
      </c>
      <c r="L17" s="41">
        <v>14</v>
      </c>
      <c r="M17" s="5" t="s">
        <v>655</v>
      </c>
      <c r="N17" s="42">
        <v>0</v>
      </c>
      <c r="O17" s="43">
        <f>IFERROR(INDEX(Results!$C$7:$AC$3002,MATCH($J17,Results!$C$7:$C$3002,0),MATCH($K17,Results!$C$6:$AC$6,0)),"n/a")</f>
        <v>14</v>
      </c>
      <c r="P17" s="42">
        <f>IF(AND(ISNUMBER(O17),ISNUMBER(L17)),O17-L17,"")</f>
        <v>0</v>
      </c>
      <c r="Q17" s="44" t="str">
        <f>IF(M17="text",IF(O17&amp;""=L17&amp;"","PASS","FAIL"),IF(NOT(ISNUMBER(O17)),"FAIL",IF(M17="rel",IF(ABS(P17)&lt;=N17*MAX(1,ABS(L17)),"PASS","FAIL"),IF(ABS(P17)&lt;=N17,"PASS","FAIL"))))</f>
        <v>PASS</v>
      </c>
      <c r="R17" s="5" t="s">
        <v>656</v>
      </c>
    </row>
    <row r="18" spans="3:18">
      <c r="C18" s="4" t="s">
        <v>688</v>
      </c>
      <c r="D18" s="5" t="s">
        <v>685</v>
      </c>
      <c r="E18" s="5" t="s">
        <v>689</v>
      </c>
      <c r="F18" s="5" t="s">
        <v>687</v>
      </c>
      <c r="G18" s="5" t="s">
        <v>654</v>
      </c>
      <c r="H18" s="5" t="s">
        <v>276</v>
      </c>
      <c r="I18" s="5" t="s">
        <v>62</v>
      </c>
      <c r="J18" s="5" t="s">
        <v>283</v>
      </c>
      <c r="K18" s="5" t="s">
        <v>500</v>
      </c>
      <c r="L18" s="41">
        <v>1401</v>
      </c>
      <c r="M18" s="5" t="s">
        <v>655</v>
      </c>
      <c r="N18" s="42">
        <v>0.5</v>
      </c>
      <c r="O18" s="43">
        <f>IFERROR(INDEX(Results!$C$7:$AC$3002,MATCH($J18,Results!$C$7:$C$3002,0),MATCH($K18,Results!$C$6:$AC$6,0)),"n/a")</f>
        <v>1400.9623796965723</v>
      </c>
      <c r="P18" s="42">
        <f>IF(AND(ISNUMBER(O18),ISNUMBER(L18)),O18-L18,"")</f>
        <v>-0.037620303427729596</v>
      </c>
      <c r="Q18" s="44" t="str">
        <f>IF(M18="text",IF(O18&amp;""=L18&amp;"","PASS","FAIL"),IF(NOT(ISNUMBER(O18)),"FAIL",IF(M18="rel",IF(ABS(P18)&lt;=N18*MAX(1,ABS(L18)),"PASS","FAIL"),IF(ABS(P18)&lt;=N18,"PASS","FAIL"))))</f>
        <v>PASS</v>
      </c>
      <c r="R18" s="5" t="s">
        <v>656</v>
      </c>
    </row>
    <row r="19" spans="3:18">
      <c r="C19" s="4" t="s">
        <v>690</v>
      </c>
      <c r="D19" s="5" t="s">
        <v>685</v>
      </c>
      <c r="E19" s="5" t="s">
        <v>691</v>
      </c>
      <c r="F19" s="5" t="s">
        <v>687</v>
      </c>
      <c r="G19" s="5" t="s">
        <v>654</v>
      </c>
      <c r="H19" s="5" t="s">
        <v>276</v>
      </c>
      <c r="I19" s="5" t="s">
        <v>62</v>
      </c>
      <c r="J19" s="5" t="s">
        <v>283</v>
      </c>
      <c r="K19" s="5" t="s">
        <v>501</v>
      </c>
      <c r="L19" s="41">
        <v>0.958</v>
      </c>
      <c r="M19" s="5" t="s">
        <v>655</v>
      </c>
      <c r="N19" s="42">
        <v>0.0005</v>
      </c>
      <c r="O19" s="43">
        <f>IFERROR(INDEX(Results!$C$7:$AC$3002,MATCH($J19,Results!$C$7:$C$3002,0),MATCH($K19,Results!$C$6:$AC$6,0)),"n/a")</f>
        <v>0.958123327392663</v>
      </c>
      <c r="P19" s="42">
        <f>IF(AND(ISNUMBER(O19),ISNUMBER(L19)),O19-L19,"")</f>
        <v>0.00012332739266307513</v>
      </c>
      <c r="Q19" s="44" t="str">
        <f>IF(M19="text",IF(O19&amp;""=L19&amp;"","PASS","FAIL"),IF(NOT(ISNUMBER(O19)),"FAIL",IF(M19="rel",IF(ABS(P19)&lt;=N19*MAX(1,ABS(L19)),"PASS","FAIL"),IF(ABS(P19)&lt;=N19,"PASS","FAIL"))))</f>
        <v>PASS</v>
      </c>
      <c r="R19" s="5" t="s">
        <v>656</v>
      </c>
    </row>
    <row r="20" spans="3:18">
      <c r="C20" s="4" t="s">
        <v>692</v>
      </c>
      <c r="D20" s="5" t="s">
        <v>685</v>
      </c>
      <c r="E20" s="5" t="s">
        <v>693</v>
      </c>
      <c r="F20" s="5" t="s">
        <v>687</v>
      </c>
      <c r="G20" s="5" t="s">
        <v>654</v>
      </c>
      <c r="H20" s="5" t="s">
        <v>276</v>
      </c>
      <c r="I20" s="5" t="s">
        <v>62</v>
      </c>
      <c r="J20" s="5" t="s">
        <v>283</v>
      </c>
      <c r="K20" s="5" t="s">
        <v>33</v>
      </c>
      <c r="L20" s="41">
        <v>1879</v>
      </c>
      <c r="M20" s="5" t="s">
        <v>655</v>
      </c>
      <c r="N20" s="42">
        <v>0.5</v>
      </c>
      <c r="O20" s="43">
        <f>IFERROR(INDEX(Results!$C$7:$AC$3002,MATCH($J20,Results!$C$7:$C$3002,0),MATCH($K20,Results!$C$6:$AC$6,0)),"n/a")</f>
        <v>1879.2126315015523</v>
      </c>
      <c r="P20" s="42">
        <f>IF(AND(ISNUMBER(O20),ISNUMBER(L20)),O20-L20,"")</f>
        <v>0.21263150155232324</v>
      </c>
      <c r="Q20" s="44" t="str">
        <f>IF(M20="text",IF(O20&amp;""=L20&amp;"","PASS","FAIL"),IF(NOT(ISNUMBER(O20)),"FAIL",IF(M20="rel",IF(ABS(P20)&lt;=N20*MAX(1,ABS(L20)),"PASS","FAIL"),IF(ABS(P20)&lt;=N20,"PASS","FAIL"))))</f>
        <v>PASS</v>
      </c>
      <c r="R20" s="5" t="s">
        <v>656</v>
      </c>
    </row>
    <row r="21" spans="3:18">
      <c r="C21" s="4" t="s">
        <v>694</v>
      </c>
      <c r="D21" s="5" t="s">
        <v>695</v>
      </c>
      <c r="E21" s="5" t="s">
        <v>696</v>
      </c>
      <c r="F21" s="5" t="s">
        <v>697</v>
      </c>
      <c r="G21" s="5" t="s">
        <v>698</v>
      </c>
      <c r="H21" s="5" t="s">
        <v>167</v>
      </c>
      <c r="I21" s="5" t="s">
        <v>62</v>
      </c>
      <c r="J21" s="5" t="s">
        <v>286</v>
      </c>
      <c r="K21" s="5" t="s">
        <v>33</v>
      </c>
      <c r="L21" s="41">
        <v>1879</v>
      </c>
      <c r="M21" s="5" t="s">
        <v>655</v>
      </c>
      <c r="N21" s="42">
        <v>0.5</v>
      </c>
      <c r="O21" s="43">
        <f>IFERROR(INDEX(Results!$C$7:$AC$3002,MATCH($J21,Results!$C$7:$C$3002,0),MATCH($K21,Results!$C$6:$AC$6,0)),"n/a")</f>
        <v>1879.2126315015523</v>
      </c>
      <c r="P21" s="42">
        <f>IF(AND(ISNUMBER(O21),ISNUMBER(L21)),O21-L21,"")</f>
        <v>0.21263150155232324</v>
      </c>
      <c r="Q21" s="44" t="str">
        <f>IF(M21="text",IF(O21&amp;""=L21&amp;"","PASS","FAIL"),IF(NOT(ISNUMBER(O21)),"FAIL",IF(M21="rel",IF(ABS(P21)&lt;=N21*MAX(1,ABS(L21)),"PASS","FAIL"),IF(ABS(P21)&lt;=N21,"PASS","FAIL"))))</f>
        <v>PASS</v>
      </c>
      <c r="R21" s="5" t="s">
        <v>699</v>
      </c>
    </row>
    <row r="22" spans="3:18">
      <c r="C22" s="4" t="s">
        <v>700</v>
      </c>
      <c r="D22" s="5" t="s">
        <v>695</v>
      </c>
      <c r="E22" s="5" t="s">
        <v>924</v>
      </c>
      <c r="F22" s="5" t="s">
        <v>925</v>
      </c>
      <c r="G22" s="5" t="s">
        <v>703</v>
      </c>
      <c r="H22" s="5" t="s">
        <v>276</v>
      </c>
      <c r="I22" s="5" t="s">
        <v>62</v>
      </c>
      <c r="J22" s="5" t="s">
        <v>288</v>
      </c>
      <c r="K22" s="5" t="s">
        <v>33</v>
      </c>
      <c r="L22" s="41">
        <v>40774849.34860364</v>
      </c>
      <c r="M22" s="5" t="s">
        <v>704</v>
      </c>
      <c r="N22" s="42">
        <v>1E-09</v>
      </c>
      <c r="O22" s="43">
        <f>IFERROR(INDEX(Results!$C$7:$AC$3002,MATCH($J22,Results!$C$7:$C$3002,0),MATCH($K22,Results!$C$6:$AC$6,0)),"n/a")</f>
        <v>40774849.348603636</v>
      </c>
      <c r="P22" s="42">
        <f>IF(AND(ISNUMBER(O22),ISNUMBER(L22)),O22-L22,"")</f>
        <v>0.0</v>
      </c>
      <c r="Q22" s="44" t="str">
        <f>IF(M22="text",IF(O22&amp;""=L22&amp;"","PASS","FAIL"),IF(NOT(ISNUMBER(O22)),"FAIL",IF(M22="rel",IF(ABS(P22)&lt;=N22*MAX(1,ABS(L22)),"PASS","FAIL"),IF(ABS(P22)&lt;=N22,"PASS","FAIL"))))</f>
        <v>PASS</v>
      </c>
      <c r="R22" s="5" t="s">
        <v>926</v>
      </c>
    </row>
    <row r="23" spans="3:18">
      <c r="C23" s="4" t="s">
        <v>706</v>
      </c>
      <c r="D23" s="5" t="s">
        <v>695</v>
      </c>
      <c r="E23" s="5" t="s">
        <v>707</v>
      </c>
      <c r="F23" s="5" t="s">
        <v>708</v>
      </c>
      <c r="G23" s="5" t="s">
        <v>703</v>
      </c>
      <c r="H23" s="5" t="s">
        <v>167</v>
      </c>
      <c r="I23" s="5" t="s">
        <v>62</v>
      </c>
      <c r="J23" s="5" t="s">
        <v>290</v>
      </c>
      <c r="K23" s="5" t="s">
        <v>33</v>
      </c>
      <c r="L23" s="41">
        <v>40774849.34860364</v>
      </c>
      <c r="M23" s="5" t="s">
        <v>704</v>
      </c>
      <c r="N23" s="42">
        <v>1E-09</v>
      </c>
      <c r="O23" s="43">
        <f>IFERROR(INDEX(Results!$C$7:$AC$3002,MATCH($J23,Results!$C$7:$C$3002,0),MATCH($K23,Results!$C$6:$AC$6,0)),"n/a")</f>
        <v>40774849.348603636</v>
      </c>
      <c r="P23" s="42">
        <f>IF(AND(ISNUMBER(O23),ISNUMBER(L23)),O23-L23,"")</f>
        <v>0.0</v>
      </c>
      <c r="Q23" s="44" t="str">
        <f>IF(M23="text",IF(O23&amp;""=L23&amp;"","PASS","FAIL"),IF(NOT(ISNUMBER(O23)),"FAIL",IF(M23="rel",IF(ABS(P23)&lt;=N23*MAX(1,ABS(L23)),"PASS","FAIL"),IF(ABS(P23)&lt;=N23,"PASS","FAIL"))))</f>
        <v>PASS</v>
      </c>
      <c r="R23" s="5" t="s">
        <v>709</v>
      </c>
    </row>
    <row r="24" spans="3:18">
      <c r="C24" s="4" t="s">
        <v>710</v>
      </c>
      <c r="D24" s="5" t="s">
        <v>695</v>
      </c>
      <c r="E24" s="5" t="s">
        <v>711</v>
      </c>
      <c r="F24" s="5" t="s">
        <v>712</v>
      </c>
      <c r="G24" s="5" t="s">
        <v>703</v>
      </c>
      <c r="H24" s="5" t="s">
        <v>167</v>
      </c>
      <c r="I24" s="5" t="s">
        <v>62</v>
      </c>
      <c r="J24" s="5" t="s">
        <v>290</v>
      </c>
      <c r="K24" s="5" t="s">
        <v>504</v>
      </c>
      <c r="L24" s="45" t="s">
        <v>285</v>
      </c>
      <c r="M24" s="5" t="s">
        <v>713</v>
      </c>
      <c r="N24" s="42">
        <v>0</v>
      </c>
      <c r="O24" s="43" t="str">
        <f>IFERROR(INDEX(Results!$C$7:$AC$3002,MATCH($J24,Results!$C$7:$C$3002,0),MATCH($K24,Results!$C$6:$AC$6,0)),"n/a")</f>
        <v>Y</v>
      </c>
      <c r="P24" s="42">
        <f>IF(AND(ISNUMBER(O24),ISNUMBER(L24)),O24-L24,"")</f>
        <v/>
      </c>
      <c r="Q24" s="44" t="str">
        <f>IF(M24="text",IF(O24&amp;""=L24&amp;"","PASS","FAIL"),IF(NOT(ISNUMBER(O24)),"FAIL",IF(M24="rel",IF(ABS(P24)&lt;=N24*MAX(1,ABS(L24)),"PASS","FAIL"),IF(ABS(P24)&lt;=N24,"PASS","FAIL"))))</f>
        <v>PASS</v>
      </c>
      <c r="R24" s="5" t="s">
        <v>656</v>
      </c>
    </row>
    <row r="25" spans="3:18">
      <c r="C25" s="4" t="s">
        <v>714</v>
      </c>
      <c r="D25" s="5" t="s">
        <v>715</v>
      </c>
      <c r="E25" s="5" t="s">
        <v>716</v>
      </c>
      <c r="F25" s="5" t="s">
        <v>717</v>
      </c>
      <c r="G25" s="5" t="s">
        <v>698</v>
      </c>
      <c r="H25" s="5" t="s">
        <v>167</v>
      </c>
      <c r="I25" s="5" t="s">
        <v>62</v>
      </c>
      <c r="J25" s="5" t="s">
        <v>292</v>
      </c>
      <c r="K25" s="5" t="s">
        <v>33</v>
      </c>
      <c r="L25" s="41">
        <v>760.4939328393385</v>
      </c>
      <c r="M25" s="5" t="s">
        <v>704</v>
      </c>
      <c r="N25" s="42">
        <v>1E-09</v>
      </c>
      <c r="O25" s="43">
        <f>IFERROR(INDEX(Results!$C$7:$AC$3002,MATCH($J25,Results!$C$7:$C$3002,0),MATCH($K25,Results!$C$6:$AC$6,0)),"n/a")</f>
        <v>760.4939328393385</v>
      </c>
      <c r="P25" s="42">
        <f>IF(AND(ISNUMBER(O25),ISNUMBER(L25)),O25-L25,"")</f>
        <v>0.0</v>
      </c>
      <c r="Q25" s="44" t="str">
        <f>IF(M25="text",IF(O25&amp;""=L25&amp;"","PASS","FAIL"),IF(NOT(ISNUMBER(O25)),"FAIL",IF(M25="rel",IF(ABS(P25)&lt;=N25*MAX(1,ABS(L25)),"PASS","FAIL"),IF(ABS(P25)&lt;=N25,"PASS","FAIL"))))</f>
        <v>PASS</v>
      </c>
      <c r="R25" s="5" t="s">
        <v>718</v>
      </c>
    </row>
    <row r="26" spans="3:18">
      <c r="C26" s="4" t="s">
        <v>719</v>
      </c>
      <c r="D26" s="5" t="s">
        <v>715</v>
      </c>
      <c r="E26" s="5" t="s">
        <v>720</v>
      </c>
      <c r="F26" s="5" t="s">
        <v>171</v>
      </c>
      <c r="G26" s="5" t="s">
        <v>721</v>
      </c>
      <c r="H26" s="5" t="s">
        <v>167</v>
      </c>
      <c r="I26" s="5" t="s">
        <v>68</v>
      </c>
      <c r="J26" s="5" t="s">
        <v>400</v>
      </c>
      <c r="K26" s="5" t="s">
        <v>569</v>
      </c>
      <c r="L26" s="41">
        <v>0.003</v>
      </c>
      <c r="M26" s="5" t="s">
        <v>655</v>
      </c>
      <c r="N26" s="42">
        <v>1E-12</v>
      </c>
      <c r="O26" s="43">
        <f>IFERROR(INDEX(TradeCalc!$C$7:$AA$3002,MATCH($J26,TradeCalc!$C$7:$C$3002,0),MATCH($K26,TradeCalc!$C$6:$AA$6,0)),"n/a")</f>
        <v>0.003</v>
      </c>
      <c r="P26" s="42">
        <f>IF(AND(ISNUMBER(O26),ISNUMBER(L26)),O26-L26,"")</f>
        <v>0.0</v>
      </c>
      <c r="Q26" s="44" t="str">
        <f>IF(M26="text",IF(O26&amp;""=L26&amp;"","PASS","FAIL"),IF(NOT(ISNUMBER(O26)),"FAIL",IF(M26="rel",IF(ABS(P26)&lt;=N26*MAX(1,ABS(L26)),"PASS","FAIL"),IF(ABS(P26)&lt;=N26,"PASS","FAIL"))))</f>
        <v>PASS</v>
      </c>
      <c r="R26" s="5" t="s">
        <v>656</v>
      </c>
    </row>
    <row r="27" spans="3:18">
      <c r="C27" s="4" t="s">
        <v>722</v>
      </c>
      <c r="D27" s="5" t="s">
        <v>715</v>
      </c>
      <c r="E27" s="5" t="s">
        <v>723</v>
      </c>
      <c r="F27" s="5" t="s">
        <v>724</v>
      </c>
      <c r="G27" s="5" t="s">
        <v>698</v>
      </c>
      <c r="H27" s="5" t="s">
        <v>167</v>
      </c>
      <c r="I27" s="5" t="s">
        <v>68</v>
      </c>
      <c r="J27" s="5" t="s">
        <v>400</v>
      </c>
      <c r="K27" s="5" t="s">
        <v>564</v>
      </c>
      <c r="L27" s="41">
        <v>-0.9941752720429311</v>
      </c>
      <c r="M27" s="5" t="s">
        <v>704</v>
      </c>
      <c r="N27" s="42">
        <v>1E-09</v>
      </c>
      <c r="O27" s="43">
        <f>IFERROR(INDEX(TradeCalc!$C$7:$AA$3002,MATCH($J27,TradeCalc!$C$7:$C$3002,0),MATCH($K27,TradeCalc!$C$6:$AA$6,0)),"n/a")</f>
        <v>-0.9941752720429311</v>
      </c>
      <c r="P27" s="42">
        <f>IF(AND(ISNUMBER(O27),ISNUMBER(L27)),O27-L27,"")</f>
        <v>0.0</v>
      </c>
      <c r="Q27" s="44" t="str">
        <f>IF(M27="text",IF(O27&amp;""=L27&amp;"","PASS","FAIL"),IF(NOT(ISNUMBER(O27)),"FAIL",IF(M27="rel",IF(ABS(P27)&lt;=N27*MAX(1,ABS(L27)),"PASS","FAIL"),IF(ABS(P27)&lt;=N27,"PASS","FAIL"))))</f>
        <v>PASS</v>
      </c>
      <c r="R27" s="5" t="s">
        <v>656</v>
      </c>
    </row>
    <row r="28" spans="3:18">
      <c r="C28" s="4" t="s">
        <v>725</v>
      </c>
      <c r="D28" s="5" t="s">
        <v>726</v>
      </c>
      <c r="E28" s="5" t="s">
        <v>727</v>
      </c>
      <c r="F28" s="5" t="s">
        <v>728</v>
      </c>
      <c r="G28" s="5" t="s">
        <v>721</v>
      </c>
      <c r="H28" s="5" t="s">
        <v>276</v>
      </c>
      <c r="I28" s="5" t="s">
        <v>68</v>
      </c>
      <c r="J28" s="5" t="s">
        <v>402</v>
      </c>
      <c r="K28" s="5" t="s">
        <v>555</v>
      </c>
      <c r="L28" s="45" t="s">
        <v>572</v>
      </c>
      <c r="M28" s="5" t="s">
        <v>713</v>
      </c>
      <c r="N28" s="42">
        <v>0</v>
      </c>
      <c r="O28" s="43" t="str">
        <f>IFERROR(INDEX(TradeCalc!$C$7:$AA$3002,MATCH($J28,TradeCalc!$C$7:$C$3002,0),MATCH($K28,TradeCalc!$C$6:$AA$6,0)),"n/a")</f>
        <v>EXCLUDED</v>
      </c>
      <c r="P28" s="42">
        <f>IF(AND(ISNUMBER(O28),ISNUMBER(L28)),O28-L28,"")</f>
        <v/>
      </c>
      <c r="Q28" s="44" t="str">
        <f>IF(M28="text",IF(O28&amp;""=L28&amp;"","PASS","FAIL"),IF(NOT(ISNUMBER(O28)),"FAIL",IF(M28="rel",IF(ABS(P28)&lt;=N28*MAX(1,ABS(L28)),"PASS","FAIL"),IF(ABS(P28)&lt;=N28,"PASS","FAIL"))))</f>
        <v>PASS</v>
      </c>
      <c r="R28" s="5" t="s">
        <v>729</v>
      </c>
    </row>
    <row r="29" spans="3:18">
      <c r="C29" s="4" t="s">
        <v>730</v>
      </c>
      <c r="D29" s="5" t="s">
        <v>715</v>
      </c>
      <c r="E29" s="5" t="s">
        <v>731</v>
      </c>
      <c r="F29" s="5" t="s">
        <v>171</v>
      </c>
      <c r="G29" s="5" t="s">
        <v>721</v>
      </c>
      <c r="H29" s="5" t="s">
        <v>167</v>
      </c>
      <c r="I29" s="5" t="s">
        <v>68</v>
      </c>
      <c r="J29" s="5" t="s">
        <v>403</v>
      </c>
      <c r="K29" s="5" t="s">
        <v>569</v>
      </c>
      <c r="L29" s="41">
        <v>5.5</v>
      </c>
      <c r="M29" s="5" t="s">
        <v>655</v>
      </c>
      <c r="N29" s="42">
        <v>1E-12</v>
      </c>
      <c r="O29" s="43">
        <f>IFERROR(INDEX(TradeCalc!$C$7:$AA$3002,MATCH($J29,TradeCalc!$C$7:$C$3002,0),MATCH($K29,TradeCalc!$C$6:$AA$6,0)),"n/a")</f>
        <v>5.5</v>
      </c>
      <c r="P29" s="42">
        <f>IF(AND(ISNUMBER(O29),ISNUMBER(L29)),O29-L29,"")</f>
        <v>0.0</v>
      </c>
      <c r="Q29" s="44" t="str">
        <f>IF(M29="text",IF(O29&amp;""=L29&amp;"","PASS","FAIL"),IF(NOT(ISNUMBER(O29)),"FAIL",IF(M29="rel",IF(ABS(P29)&lt;=N29*MAX(1,ABS(L29)),"PASS","FAIL"),IF(ABS(P29)&lt;=N29,"PASS","FAIL"))))</f>
        <v>PASS</v>
      </c>
      <c r="R29" s="5" t="s">
        <v>656</v>
      </c>
    </row>
    <row r="30" spans="3:18">
      <c r="C30" s="4" t="s">
        <v>732</v>
      </c>
      <c r="D30" s="5" t="s">
        <v>733</v>
      </c>
      <c r="E30" s="5" t="s">
        <v>734</v>
      </c>
      <c r="F30" s="5" t="s">
        <v>735</v>
      </c>
      <c r="G30" s="5" t="s">
        <v>721</v>
      </c>
      <c r="H30" s="5" t="s">
        <v>167</v>
      </c>
      <c r="I30" s="5" t="s">
        <v>62</v>
      </c>
      <c r="J30" s="5" t="s">
        <v>300</v>
      </c>
      <c r="K30" s="5" t="s">
        <v>499</v>
      </c>
      <c r="L30" s="41">
        <v>880</v>
      </c>
      <c r="M30" s="5" t="s">
        <v>655</v>
      </c>
      <c r="N30" s="42">
        <v>1E-09</v>
      </c>
      <c r="O30" s="43">
        <f>IFERROR(INDEX(Results!$C$7:$AC$3002,MATCH($J30,Results!$C$7:$C$3002,0),MATCH($K30,Results!$C$6:$AC$6,0)),"n/a")</f>
        <v>880.0</v>
      </c>
      <c r="P30" s="42">
        <f>IF(AND(ISNUMBER(O30),ISNUMBER(L30)),O30-L30,"")</f>
        <v>0.0</v>
      </c>
      <c r="Q30" s="44" t="str">
        <f>IF(M30="text",IF(O30&amp;""=L30&amp;"","PASS","FAIL"),IF(NOT(ISNUMBER(O30)),"FAIL",IF(M30="rel",IF(ABS(P30)&lt;=N30*MAX(1,ABS(L30)),"PASS","FAIL"),IF(ABS(P30)&lt;=N30,"PASS","FAIL"))))</f>
        <v>PASS</v>
      </c>
      <c r="R30" s="5" t="s">
        <v>656</v>
      </c>
    </row>
    <row r="31" spans="3:18">
      <c r="C31" s="4" t="s">
        <v>736</v>
      </c>
      <c r="D31" s="5" t="s">
        <v>733</v>
      </c>
      <c r="E31" s="5" t="s">
        <v>737</v>
      </c>
      <c r="F31" s="5" t="s">
        <v>738</v>
      </c>
      <c r="G31" s="5" t="s">
        <v>721</v>
      </c>
      <c r="H31" s="5" t="s">
        <v>167</v>
      </c>
      <c r="I31" s="5" t="s">
        <v>62</v>
      </c>
      <c r="J31" s="5" t="s">
        <v>300</v>
      </c>
      <c r="K31" s="5" t="s">
        <v>33</v>
      </c>
      <c r="L31" s="41">
        <v>1232</v>
      </c>
      <c r="M31" s="5" t="s">
        <v>655</v>
      </c>
      <c r="N31" s="42">
        <v>1E-09</v>
      </c>
      <c r="O31" s="43">
        <f>IFERROR(INDEX(Results!$C$7:$AC$3002,MATCH($J31,Results!$C$7:$C$3002,0),MATCH($K31,Results!$C$6:$AC$6,0)),"n/a")</f>
        <v>1232.0</v>
      </c>
      <c r="P31" s="42">
        <f>IF(AND(ISNUMBER(O31),ISNUMBER(L31)),O31-L31,"")</f>
        <v>0.0</v>
      </c>
      <c r="Q31" s="44" t="str">
        <f>IF(M31="text",IF(O31&amp;""=L31&amp;"","PASS","FAIL"),IF(NOT(ISNUMBER(O31)),"FAIL",IF(M31="rel",IF(ABS(P31)&lt;=N31*MAX(1,ABS(L31)),"PASS","FAIL"),IF(ABS(P31)&lt;=N31,"PASS","FAIL"))))</f>
        <v>PASS</v>
      </c>
      <c r="R31" s="5" t="s">
        <v>656</v>
      </c>
    </row>
    <row r="32" spans="3:18">
      <c r="C32" s="4" t="s">
        <v>739</v>
      </c>
      <c r="D32" s="5" t="s">
        <v>740</v>
      </c>
      <c r="E32" s="5" t="s">
        <v>741</v>
      </c>
      <c r="F32" s="5" t="s">
        <v>742</v>
      </c>
      <c r="G32" s="5" t="s">
        <v>721</v>
      </c>
      <c r="H32" s="5" t="s">
        <v>276</v>
      </c>
      <c r="I32" s="5" t="s">
        <v>68</v>
      </c>
      <c r="J32" s="5" t="s">
        <v>415</v>
      </c>
      <c r="K32" s="5" t="s">
        <v>555</v>
      </c>
      <c r="L32" s="45" t="s">
        <v>572</v>
      </c>
      <c r="M32" s="5" t="s">
        <v>713</v>
      </c>
      <c r="N32" s="42">
        <v>0</v>
      </c>
      <c r="O32" s="43" t="str">
        <f>IFERROR(INDEX(TradeCalc!$C$7:$AA$3002,MATCH($J32,TradeCalc!$C$7:$C$3002,0),MATCH($K32,TradeCalc!$C$6:$AA$6,0)),"n/a")</f>
        <v>EXCLUDED</v>
      </c>
      <c r="P32" s="42">
        <f>IF(AND(ISNUMBER(O32),ISNUMBER(L32)),O32-L32,"")</f>
        <v/>
      </c>
      <c r="Q32" s="44" t="str">
        <f>IF(M32="text",IF(O32&amp;""=L32&amp;"","PASS","FAIL"),IF(NOT(ISNUMBER(O32)),"FAIL",IF(M32="rel",IF(ABS(P32)&lt;=N32*MAX(1,ABS(L32)),"PASS","FAIL"),IF(ABS(P32)&lt;=N32,"PASS","FAIL"))))</f>
        <v>PASS</v>
      </c>
      <c r="R32" s="5" t="s">
        <v>656</v>
      </c>
    </row>
    <row r="33" spans="3:18">
      <c r="C33" s="4" t="s">
        <v>743</v>
      </c>
      <c r="D33" s="5" t="s">
        <v>744</v>
      </c>
      <c r="E33" s="5" t="s">
        <v>745</v>
      </c>
      <c r="F33" s="5" t="s">
        <v>746</v>
      </c>
      <c r="G33" s="5" t="s">
        <v>721</v>
      </c>
      <c r="H33" s="5" t="s">
        <v>167</v>
      </c>
      <c r="I33" s="5" t="s">
        <v>68</v>
      </c>
      <c r="J33" s="5" t="s">
        <v>417</v>
      </c>
      <c r="K33" s="5" t="s">
        <v>513</v>
      </c>
      <c r="L33" s="45" t="s">
        <v>531</v>
      </c>
      <c r="M33" s="5" t="s">
        <v>713</v>
      </c>
      <c r="N33" s="42">
        <v>0</v>
      </c>
      <c r="O33" s="43" t="str">
        <f>IFERROR(INDEX(TradeCalc!$C$7:$AA$3002,MATCH($J33,TradeCalc!$C$7:$C$3002,0),MATCH($K33,TradeCalc!$C$6:$AA$6,0)),"n/a")</f>
        <v>CO|CLIMATIC|STD</v>
      </c>
      <c r="P33" s="42">
        <f>IF(AND(ISNUMBER(O33),ISNUMBER(L33)),O33-L33,"")</f>
        <v/>
      </c>
      <c r="Q33" s="44" t="str">
        <f>IF(M33="text",IF(O33&amp;""=L33&amp;"","PASS","FAIL"),IF(NOT(ISNUMBER(O33)),"FAIL",IF(M33="rel",IF(ABS(P33)&lt;=N33*MAX(1,ABS(L33)),"PASS","FAIL"),IF(ABS(P33)&lt;=N33,"PASS","FAIL"))))</f>
        <v>PASS</v>
      </c>
      <c r="R33" s="5" t="s">
        <v>747</v>
      </c>
    </row>
    <row r="34" spans="3:18">
      <c r="C34" s="4" t="s">
        <v>748</v>
      </c>
      <c r="D34" s="5" t="s">
        <v>744</v>
      </c>
      <c r="E34" s="5" t="s">
        <v>749</v>
      </c>
      <c r="F34" s="5" t="s">
        <v>205</v>
      </c>
      <c r="G34" s="5" t="s">
        <v>721</v>
      </c>
      <c r="H34" s="5" t="s">
        <v>167</v>
      </c>
      <c r="I34" s="5" t="s">
        <v>68</v>
      </c>
      <c r="J34" s="5" t="s">
        <v>452</v>
      </c>
      <c r="K34" s="5" t="s">
        <v>556</v>
      </c>
      <c r="L34" s="41">
        <v>0.0042</v>
      </c>
      <c r="M34" s="5" t="s">
        <v>655</v>
      </c>
      <c r="N34" s="42">
        <v>1E-12</v>
      </c>
      <c r="O34" s="43">
        <f>IFERROR(INDEX(TradeCalc!$C$7:$AA$3002,MATCH($J34,TradeCalc!$C$7:$C$3002,0),MATCH($K34,TradeCalc!$C$6:$AA$6,0)),"n/a")</f>
        <v>0.0042</v>
      </c>
      <c r="P34" s="42">
        <f>IF(AND(ISNUMBER(O34),ISNUMBER(L34)),O34-L34,"")</f>
        <v>0.0</v>
      </c>
      <c r="Q34" s="44" t="str">
        <f>IF(M34="text",IF(O34&amp;""=L34&amp;"","PASS","FAIL"),IF(NOT(ISNUMBER(O34)),"FAIL",IF(M34="rel",IF(ABS(P34)&lt;=N34*MAX(1,ABS(L34)),"PASS","FAIL"),IF(ABS(P34)&lt;=N34,"PASS","FAIL"))))</f>
        <v>PASS</v>
      </c>
      <c r="R34" s="5" t="s">
        <v>656</v>
      </c>
    </row>
    <row r="36" spans="4:18">
      <c r="D36" s="7" t="s">
        <v>750</v>
      </c>
      <c r="E36" s="7" t="str">
        <f>COUNTIF(Q7:Q34,"PASS")&amp;" passed, "&amp;COUNTIF(Q7:Q34,"FAIL")&amp;" failed of "&amp;COUNTA(C7:C34)</f>
        <v>28 passed, 0 failed of 28</v>
      </c>
    </row>
    <row r="38" spans="4:18" ht="30" customHeight="1">
      <c r="D38" s="5" t="s">
        <v>751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4:18" ht="30" customHeight="1">
      <c r="D39" s="5" t="s">
        <v>752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4:18" ht="30" customHeight="1">
      <c r="D40" s="5" t="s">
        <v>927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</sheetData>
  <mergeCells count="3">
    <mergeCell ref="D38:R38"/>
    <mergeCell ref="D39:R39"/>
    <mergeCell ref="D40:R40"/>
  </mergeCells>
  <conditionalFormatting sqref="Q7:Q34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C3:H29"/>
  <sheetViews>
    <sheetView showGridLines="0" zoomScale="90" zoomScaleNormal="90" workbookViewId="0">
      <pane xSplit="3" topLeftCell="D1" activePane="topRight" state="frozen"/>
      <selection pane="topRight"/>
    </sheetView>
  </sheetViews>
  <sheetFormatPr defaultRowHeight="15"/>
  <cols>
    <col min="1" max="2" width="4" customWidth="1"/>
    <col min="3" max="3" width="40.7109375" customWidth="1"/>
    <col min="4" max="4" width="46.7109375" customWidth="1"/>
    <col min="5" max="12" width="14.7109375" customWidth="1"/>
  </cols>
  <sheetData>
    <row r="1" ht="24" customHeight="1" s="55" customFormat="1"/>
    <row r="2" ht="26" customHeight="1" s="56" customFormat="1"/>
    <row r="3" spans="3:8">
      <c r="C3" s="1" t="s">
        <v>74</v>
      </c>
    </row>
    <row r="4" spans="3:8">
      <c r="C4" s="2" t="s">
        <v>587</v>
      </c>
    </row>
    <row r="6" spans="3:8">
      <c r="C6" s="3" t="s">
        <v>588</v>
      </c>
    </row>
    <row r="7" spans="3:8">
      <c r="C7" s="6" t="s">
        <v>589</v>
      </c>
      <c r="D7" s="6" t="s">
        <v>590</v>
      </c>
      <c r="E7" s="6" t="s">
        <v>591</v>
      </c>
      <c r="F7" s="6" t="s">
        <v>592</v>
      </c>
      <c r="G7" s="6" t="s">
        <v>593</v>
      </c>
      <c r="H7" s="6" t="s">
        <v>594</v>
      </c>
    </row>
    <row r="8" spans="3:8">
      <c r="C8" s="8" t="s">
        <v>595</v>
      </c>
      <c r="D8" s="46" t="s">
        <v>596</v>
      </c>
      <c r="E8" s="47">
        <v>7.869386805747332</v>
      </c>
      <c r="F8" s="47">
        <f>SACCR_SupervisoryDuration(0,10)</f>
        <v>7.8693868057473315</v>
      </c>
      <c r="G8" s="48">
        <f>IFERROR(ABS(F8-E8),"")</f>
        <v>0</v>
      </c>
      <c r="H8" s="49" t="str">
        <f>IF(ISNUMBER(G8),IF(G8&lt;=1E-9*MAX(1,ABS(E8)),"PASS","FAIL"),"FAIL")</f>
        <v>PASS</v>
      </c>
    </row>
    <row r="9" spans="3:8">
      <c r="C9" s="8" t="s">
        <v>597</v>
      </c>
      <c r="D9" s="46" t="s">
        <v>598</v>
      </c>
      <c r="E9" s="47">
        <v>7.485592282404547</v>
      </c>
      <c r="F9" s="47">
        <f>SACCR_SupervisoryDuration(1,11)</f>
        <v>7.485592282404547</v>
      </c>
      <c r="G9" s="48">
        <f>IFERROR(ABS(F9-E9),"")</f>
        <v>0</v>
      </c>
      <c r="H9" s="49" t="str">
        <f>IF(ISNUMBER(G9),IF(G9&lt;=1E-9*MAX(1,ABS(E9)),"PASS","FAIL"),"FAIL")</f>
        <v>PASS</v>
      </c>
    </row>
    <row r="10" spans="3:8">
      <c r="C10" s="8" t="s">
        <v>599</v>
      </c>
      <c r="D10" s="46" t="s">
        <v>600</v>
      </c>
      <c r="E10" s="47">
        <v>0.04</v>
      </c>
      <c r="F10" s="47">
        <f>SACCR_SupervisoryDuration(0,0.01,10/250)</f>
        <v>0.04</v>
      </c>
      <c r="G10" s="48">
        <f>IFERROR(ABS(F10-E10),"")</f>
        <v>0</v>
      </c>
      <c r="H10" s="49" t="str">
        <f>IF(ISNUMBER(G10),IF(G10&lt;=1E-9*MAX(1,ABS(E10)),"PASS","FAIL"),"FAIL")</f>
        <v>PASS</v>
      </c>
    </row>
    <row r="11" spans="3:8">
      <c r="C11" s="8" t="s">
        <v>601</v>
      </c>
      <c r="D11" s="46" t="s">
        <v>602</v>
      </c>
      <c r="E11" s="47">
        <v>0.8660254037844386</v>
      </c>
      <c r="F11" s="47">
        <f>SACCR_MaturityFactor(0.75)</f>
        <v>0.8660254037844386</v>
      </c>
      <c r="G11" s="48">
        <f>IFERROR(ABS(F11-E11),"")</f>
        <v>0</v>
      </c>
      <c r="H11" s="49" t="str">
        <f>IF(ISNUMBER(G11),IF(G11&lt;=1E-9*MAX(1,ABS(E11)),"PASS","FAIL"),"FAIL")</f>
        <v>PASS</v>
      </c>
    </row>
    <row r="12" spans="3:8">
      <c r="C12" s="8" t="s">
        <v>603</v>
      </c>
      <c r="D12" s="46" t="s">
        <v>604</v>
      </c>
      <c r="E12" s="47">
        <v>0.2</v>
      </c>
      <c r="F12" s="47">
        <f>SACCR_MaturityFactor(3/365)</f>
        <v>0.2</v>
      </c>
      <c r="G12" s="48">
        <f>IFERROR(ABS(F12-E12),"")</f>
        <v>0</v>
      </c>
      <c r="H12" s="49" t="str">
        <f>IF(ISNUMBER(G12),IF(G12&lt;=1E-9*MAX(1,ABS(E12)),"PASS","FAIL"),"FAIL")</f>
        <v>PASS</v>
      </c>
    </row>
    <row r="13" spans="3:8">
      <c r="C13" s="8" t="s">
        <v>605</v>
      </c>
      <c r="D13" s="46" t="s">
        <v>606</v>
      </c>
      <c r="E13" s="47">
        <v>0.3</v>
      </c>
      <c r="F13" s="47">
        <f>SACCR_MaturityFactor(0,TRUE,10)</f>
        <v>0.3</v>
      </c>
      <c r="G13" s="48">
        <f>IFERROR(ABS(F13-E13),"")</f>
        <v>0</v>
      </c>
      <c r="H13" s="49" t="str">
        <f>IF(ISNUMBER(G13),IF(G13&lt;=1E-9*MAX(1,ABS(E13)),"PASS","FAIL"),"FAIL")</f>
        <v>PASS</v>
      </c>
    </row>
    <row r="14" spans="3:8">
      <c r="C14" s="8" t="s">
        <v>607</v>
      </c>
      <c r="D14" s="46" t="s">
        <v>608</v>
      </c>
      <c r="E14" s="47">
        <v>-0.2693952177105327</v>
      </c>
      <c r="F14" s="47">
        <f>SACCR_OptionDelta(0.06,0.05,1,0.5,FALSE,TRUE)</f>
        <v>-0.2693952177105327</v>
      </c>
      <c r="G14" s="48">
        <f>IFERROR(ABS(F14-E14),"")</f>
        <v>0</v>
      </c>
      <c r="H14" s="49" t="str">
        <f>IF(ISNUMBER(G14),IF(G14&lt;=1E-9*MAX(1,ABS(E14)),"PASS","FAIL"),"FAIL")</f>
        <v>PASS</v>
      </c>
    </row>
    <row r="15" spans="3:8">
      <c r="C15" s="8" t="s">
        <v>609</v>
      </c>
      <c r="D15" s="46" t="s">
        <v>610</v>
      </c>
      <c r="E15" s="47">
        <v>-0.3790113458278029</v>
      </c>
      <c r="F15" s="47">
        <f>SACCR_OptionDelta(100,110,0.5,0.32,TRUE,FALSE)</f>
        <v>-0.37901134582780294</v>
      </c>
      <c r="G15" s="48">
        <f>IFERROR(ABS(F15-E15),"")</f>
        <v>0</v>
      </c>
      <c r="H15" s="49" t="str">
        <f>IF(ISNUMBER(G15),IF(G15&lt;=1E-9*MAX(1,ABS(E15)),"PASS","FAIL"),"FAIL")</f>
        <v>PASS</v>
      </c>
    </row>
    <row r="16" spans="3:8">
      <c r="C16" s="8" t="s">
        <v>611</v>
      </c>
      <c r="D16" s="46" t="s">
        <v>612</v>
      </c>
      <c r="E16" s="47">
        <v>0.4614393579412491</v>
      </c>
      <c r="F16" s="47">
        <f>SACCR_OptionDelta(-0.002,0.001,2,0.5,TRUE,TRUE,0.01)</f>
        <v>0.46143935794124913</v>
      </c>
      <c r="G16" s="48">
        <f>IFERROR(ABS(F16-E16),"")</f>
        <v>0</v>
      </c>
      <c r="H16" s="49" t="str">
        <f>IF(ISNUMBER(G16),IF(G16&lt;=1E-9*MAX(1,ABS(E16)),"PASS","FAIL"),"FAIL")</f>
        <v>PASS</v>
      </c>
    </row>
    <row r="17" spans="3:8">
      <c r="C17" s="8" t="s">
        <v>613</v>
      </c>
      <c r="D17" s="46" t="s">
        <v>614</v>
      </c>
      <c r="E17" s="47">
        <v>5.740967544396816</v>
      </c>
      <c r="F17" s="47">
        <f>SACCR_CDODelta(0.03,0.06,TRUE)</f>
        <v>5.740967544396816</v>
      </c>
      <c r="G17" s="48">
        <f>IFERROR(ABS(F17-E17),"")</f>
        <v>0</v>
      </c>
      <c r="H17" s="49" t="str">
        <f>IF(ISNUMBER(G17),IF(G17&lt;=1E-9*MAX(1,ABS(E17)),"PASS","FAIL"),"FAIL")</f>
        <v>PASS</v>
      </c>
    </row>
    <row r="18" spans="3:8">
      <c r="C18" s="8" t="s">
        <v>615</v>
      </c>
      <c r="D18" s="46" t="s">
        <v>616</v>
      </c>
      <c r="E18" s="47">
        <v>59269.9634637104</v>
      </c>
      <c r="F18" s="47">
        <f>SACCR_IREffectiveNotional(0.0,-36253.849384403635,78693.86805747332)</f>
        <v>59269.9634637104</v>
      </c>
      <c r="G18" s="48">
        <f>IFERROR(ABS(F18-E18),"")</f>
        <v>0</v>
      </c>
      <c r="H18" s="49" t="str">
        <f>IF(ISNUMBER(G18),IF(G18&lt;=1E-9*MAX(1,ABS(E18)),"PASS","FAIL"),"FAIL")</f>
        <v>PASS</v>
      </c>
    </row>
    <row r="19" spans="3:8">
      <c r="C19" s="8" t="s">
        <v>617</v>
      </c>
      <c r="D19" s="46" t="s">
        <v>618</v>
      </c>
      <c r="E19" s="47">
        <v>282.1288318596666</v>
      </c>
      <c r="F19" s="47">
        <f>SACCR_FactorAggregation({105.86193791695607,-279.91632166374467,168.11140486573228},{0.5,0.5,0.8})</f>
        <v>282.1288318596666</v>
      </c>
      <c r="G19" s="48">
        <f>IFERROR(ABS(F19-E19),"")</f>
        <v>0</v>
      </c>
      <c r="H19" s="49" t="str">
        <f>IF(ISNUMBER(G19),IF(G19&lt;=1E-9*MAX(1,ABS(E19)),"PASS","FAIL"),"FAIL")</f>
        <v>PASS</v>
      </c>
    </row>
    <row r="20" spans="3:8">
      <c r="C20" s="8" t="s">
        <v>619</v>
      </c>
      <c r="D20" s="46" t="s">
        <v>620</v>
      </c>
      <c r="E20" s="47">
        <v>0.9651926811871945</v>
      </c>
      <c r="F20" s="47">
        <f>SACCR_Multiplier(-20,282)</f>
        <v>0.9651926811871945</v>
      </c>
      <c r="G20" s="48">
        <f>IFERROR(ABS(F20-E20),"")</f>
        <v>0</v>
      </c>
      <c r="H20" s="49" t="str">
        <f>IF(ISNUMBER(G20),IF(G20&lt;=1E-9*MAX(1,ABS(E20)),"PASS","FAIL"),"FAIL")</f>
        <v>PASS</v>
      </c>
    </row>
    <row r="21" spans="3:8">
      <c r="C21" s="8" t="s">
        <v>621</v>
      </c>
      <c r="D21" s="46" t="s">
        <v>622</v>
      </c>
      <c r="E21" s="47">
        <v>1</v>
      </c>
      <c r="F21" s="47">
        <f>SACCR_Multiplier(10,282)</f>
        <v>1.0</v>
      </c>
      <c r="G21" s="48">
        <f>IFERROR(ABS(F21-E21),"")</f>
        <v>0</v>
      </c>
      <c r="H21" s="49" t="str">
        <f>IF(ISNUMBER(G21),IF(G21&lt;=1E-9*MAX(1,ABS(E21)),"PASS","FAIL"),"FAIL")</f>
        <v>PASS</v>
      </c>
    </row>
    <row r="22" spans="3:8">
      <c r="C22" s="8" t="s">
        <v>623</v>
      </c>
      <c r="D22" s="46" t="s">
        <v>624</v>
      </c>
      <c r="E22" s="47">
        <v>8</v>
      </c>
      <c r="F22" s="47">
        <f>SACCR_ReplacementCost(5,10,TRUE,0,10,2)</f>
        <v>8.0</v>
      </c>
      <c r="G22" s="48">
        <f>IFERROR(ABS(F22-E22),"")</f>
        <v>0</v>
      </c>
      <c r="H22" s="49" t="str">
        <f>IF(ISNUMBER(G22),IF(G22&lt;=1E-9*MAX(1,ABS(E22)),"PASS","FAIL"),"FAIL")</f>
        <v>PASS</v>
      </c>
    </row>
    <row r="23" spans="3:8">
      <c r="C23" s="8" t="s">
        <v>625</v>
      </c>
      <c r="D23" s="46" t="s">
        <v>626</v>
      </c>
      <c r="E23" s="47">
        <v>0.9750021048517795</v>
      </c>
      <c r="F23" s="47">
        <f>SACCR_NormCDF(1.96)</f>
        <v>0.9750021048517795</v>
      </c>
      <c r="G23" s="48">
        <f>IFERROR(ABS(F23-E23),"")</f>
        <v>0</v>
      </c>
      <c r="H23" s="49" t="str">
        <f>IF(ISNUMBER(G23),IF(G23&lt;=1E-9*MAX(1,ABS(E23)),"PASS","FAIL"),"FAIL")</f>
        <v>PASS</v>
      </c>
    </row>
    <row r="24" spans="3:8">
      <c r="C24" s="8" t="s">
        <v>627</v>
      </c>
      <c r="D24" s="46" t="s">
        <v>628</v>
      </c>
      <c r="E24" s="47">
        <v>6.220960574271819E-16</v>
      </c>
      <c r="F24" s="47">
        <f>SACCR_NormCDF(-8)</f>
        <v>6.220960574271819e-16</v>
      </c>
      <c r="G24" s="48">
        <f>IFERROR(ABS(F24-E24),"")</f>
        <v>0</v>
      </c>
      <c r="H24" s="49" t="str">
        <f>IF(ISNUMBER(G24),IF(G24&lt;=1E-9*MAX(1,ABS(E24)),"PASS","FAIL"),"FAIL")</f>
        <v>PASS</v>
      </c>
    </row>
    <row r="25" spans="3:8">
      <c r="C25" s="8" t="s">
        <v>629</v>
      </c>
      <c r="D25" s="46" t="s">
        <v>630</v>
      </c>
      <c r="E25" s="47">
        <v>0.003</v>
      </c>
      <c r="F25" s="47">
        <f>SACCR_LambdaCRR(-0.002,0.001,TRUE)</f>
        <v>0.003</v>
      </c>
      <c r="G25" s="48">
        <f>IFERROR(ABS(F25-E25),"")</f>
        <v>0</v>
      </c>
      <c r="H25" s="49" t="str">
        <f>IF(ISNUMBER(G25),IF(G25&lt;=1E-9*MAX(1,ABS(E25)),"PASS","FAIL"),"FAIL")</f>
        <v>PASS</v>
      </c>
    </row>
    <row r="26" spans="3:8">
      <c r="C26" s="8" t="s">
        <v>631</v>
      </c>
      <c r="D26" s="46" t="s">
        <v>632</v>
      </c>
      <c r="E26" s="47">
        <v>0</v>
      </c>
      <c r="F26" s="47">
        <f>SACCR_LambdaCRR(0.02,0.03,TRUE)</f>
        <v>0.0</v>
      </c>
      <c r="G26" s="48">
        <f>IFERROR(ABS(F26-E26),"")</f>
        <v>0</v>
      </c>
      <c r="H26" s="49" t="str">
        <f>IF(ISNUMBER(G26),IF(G26&lt;=1E-9*MAX(1,ABS(E26)),"PASS","FAIL"),"FAIL")</f>
        <v>PASS</v>
      </c>
    </row>
    <row r="27" spans="3:8">
      <c r="C27" s="8" t="s">
        <v>633</v>
      </c>
      <c r="D27" s="46" t="s">
        <v>634</v>
      </c>
      <c r="E27" s="47">
        <v>0.0005</v>
      </c>
      <c r="F27" s="47">
        <f>SACCR_LambdaCRR(0.0005,0.01,TRUE)</f>
        <v>0.0005</v>
      </c>
      <c r="G27" s="48">
        <f>IFERROR(ABS(F27-E27),"")</f>
        <v>0</v>
      </c>
      <c r="H27" s="49" t="str">
        <f>IF(ISNUMBER(G27),IF(G27&lt;=1E-9*MAX(1,ABS(E27)),"PASS","FAIL"),"FAIL")</f>
        <v>PASS</v>
      </c>
    </row>
    <row r="28" spans="3:8">
      <c r="C28" s="8" t="s">
        <v>635</v>
      </c>
      <c r="D28" s="46" t="s">
        <v>636</v>
      </c>
      <c r="E28" s="47">
        <v>5.5</v>
      </c>
      <c r="F28" s="47">
        <f>SACCR_LambdaCRR(-5,-4,FALSE)</f>
        <v>5.5</v>
      </c>
      <c r="G28" s="48">
        <f>IFERROR(ABS(F28-E28),"")</f>
        <v>0</v>
      </c>
      <c r="H28" s="49" t="str">
        <f>IF(ISNUMBER(G28),IF(G28&lt;=1E-9*MAX(1,ABS(E28)),"PASS","FAIL"),"FAIL")</f>
        <v>PASS</v>
      </c>
    </row>
    <row r="29" spans="3:8">
      <c r="C29" s="8" t="s">
        <v>637</v>
      </c>
      <c r="D29" s="46" t="s">
        <v>638</v>
      </c>
      <c r="E29" s="47">
        <v>0</v>
      </c>
      <c r="F29" s="47">
        <f>SACCR_LambdaCRR(40,35,FALSE)</f>
        <v>0.0</v>
      </c>
      <c r="G29" s="48">
        <f>IFERROR(ABS(F29-E29),"")</f>
        <v>0</v>
      </c>
      <c r="H29" s="49" t="str">
        <f>IF(ISNUMBER(G29),IF(G29&lt;=1E-9*MAX(1,ABS(E29)),"PASS","FAIL"),"FAIL")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C3:K3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4.7109375" customWidth="1"/>
    <col min="4" max="4" width="22.7109375" customWidth="1"/>
    <col min="5" max="5" width="44.7109375" customWidth="1"/>
    <col min="6" max="6" width="52.7109375" customWidth="1"/>
    <col min="7" max="7" width="13.7109375" customWidth="1"/>
    <col min="8" max="8" width="22.7109375" customWidth="1"/>
    <col min="9" max="9" width="44.7109375" customWidth="1"/>
    <col min="10" max="10" width="9.7109375" customWidth="1"/>
    <col min="11" max="11" width="20.7109375" customWidth="1"/>
  </cols>
  <sheetData>
    <row r="1" ht="24" customHeight="1" s="55" customFormat="1"/>
    <row r="2" ht="26" customHeight="1" s="56" customFormat="1"/>
    <row r="3" spans="3:11" ht="30" customHeight="1">
      <c r="C3" s="1" t="s">
        <v>754</v>
      </c>
    </row>
    <row r="4" spans="3:11">
      <c r="C4" s="2" t="s">
        <v>755</v>
      </c>
    </row>
    <row r="6" spans="3:11" ht="42" customHeight="1">
      <c r="C6" s="6" t="s">
        <v>756</v>
      </c>
      <c r="D6" s="6" t="s">
        <v>641</v>
      </c>
      <c r="E6" s="6" t="s">
        <v>757</v>
      </c>
      <c r="F6" s="6" t="s">
        <v>758</v>
      </c>
      <c r="G6" s="6" t="s">
        <v>759</v>
      </c>
      <c r="H6" s="6" t="s">
        <v>760</v>
      </c>
      <c r="I6" s="6" t="s">
        <v>761</v>
      </c>
      <c r="J6" s="6" t="s">
        <v>74</v>
      </c>
      <c r="K6" s="6" t="s">
        <v>762</v>
      </c>
    </row>
    <row r="7" spans="3:11" ht="39" customHeight="1">
      <c r="C7" s="50">
        <v>1</v>
      </c>
      <c r="D7" s="51" t="s">
        <v>763</v>
      </c>
      <c r="E7" s="5" t="s">
        <v>764</v>
      </c>
      <c r="F7" s="5" t="s">
        <v>765</v>
      </c>
      <c r="G7" s="52" t="s">
        <v>766</v>
      </c>
      <c r="H7" s="5" t="s">
        <v>767</v>
      </c>
      <c r="I7" s="5" t="s">
        <v>768</v>
      </c>
      <c r="J7" s="5" t="s">
        <v>769</v>
      </c>
      <c r="K7" s="5" t="s">
        <v>770</v>
      </c>
    </row>
    <row r="8" spans="3:11" ht="30" customHeight="1">
      <c r="C8" s="50">
        <v>2</v>
      </c>
      <c r="D8" s="51" t="s">
        <v>771</v>
      </c>
      <c r="E8" s="5" t="s">
        <v>772</v>
      </c>
      <c r="F8" s="5" t="s">
        <v>773</v>
      </c>
      <c r="G8" s="53" t="s">
        <v>774</v>
      </c>
      <c r="H8" s="5" t="s">
        <v>775</v>
      </c>
      <c r="I8" s="5" t="s">
        <v>776</v>
      </c>
      <c r="J8" s="5" t="s">
        <v>662</v>
      </c>
      <c r="K8" s="5" t="s">
        <v>770</v>
      </c>
    </row>
    <row r="9" spans="3:11" ht="52" customHeight="1">
      <c r="C9" s="50">
        <v>3</v>
      </c>
      <c r="D9" s="51" t="s">
        <v>777</v>
      </c>
      <c r="E9" s="5" t="s">
        <v>928</v>
      </c>
      <c r="F9" s="5" t="s">
        <v>779</v>
      </c>
      <c r="G9" s="52" t="s">
        <v>774</v>
      </c>
      <c r="H9" s="5" t="s">
        <v>929</v>
      </c>
      <c r="I9" s="5" t="s">
        <v>930</v>
      </c>
      <c r="J9" s="5" t="s">
        <v>782</v>
      </c>
      <c r="K9" s="54" t="s">
        <v>931</v>
      </c>
    </row>
    <row r="10" spans="3:11" ht="30" customHeight="1">
      <c r="C10" s="50">
        <v>4</v>
      </c>
      <c r="D10" s="51" t="s">
        <v>784</v>
      </c>
      <c r="E10" s="5" t="s">
        <v>932</v>
      </c>
      <c r="F10" s="5" t="s">
        <v>933</v>
      </c>
      <c r="G10" s="53" t="s">
        <v>934</v>
      </c>
      <c r="H10" s="5" t="s">
        <v>935</v>
      </c>
      <c r="I10" s="5" t="s">
        <v>936</v>
      </c>
      <c r="J10" s="5" t="s">
        <v>675</v>
      </c>
      <c r="K10" s="5" t="s">
        <v>770</v>
      </c>
    </row>
    <row r="11" spans="3:11" ht="30" customHeight="1">
      <c r="C11" s="50">
        <v>5</v>
      </c>
      <c r="D11" s="51" t="s">
        <v>790</v>
      </c>
      <c r="E11" s="5" t="s">
        <v>791</v>
      </c>
      <c r="F11" s="5" t="s">
        <v>792</v>
      </c>
      <c r="G11" s="53" t="s">
        <v>774</v>
      </c>
      <c r="H11" s="5" t="s">
        <v>775</v>
      </c>
      <c r="I11" s="5" t="s">
        <v>793</v>
      </c>
      <c r="J11" s="5" t="s">
        <v>692</v>
      </c>
      <c r="K11" s="5" t="s">
        <v>770</v>
      </c>
    </row>
    <row r="12" spans="3:11" ht="30" customHeight="1">
      <c r="C12" s="50">
        <v>6</v>
      </c>
      <c r="D12" s="51" t="s">
        <v>501</v>
      </c>
      <c r="E12" s="5" t="s">
        <v>794</v>
      </c>
      <c r="F12" s="5" t="s">
        <v>795</v>
      </c>
      <c r="G12" s="53" t="s">
        <v>774</v>
      </c>
      <c r="H12" s="5" t="s">
        <v>775</v>
      </c>
      <c r="I12" s="5" t="s">
        <v>793</v>
      </c>
      <c r="J12" s="5" t="s">
        <v>796</v>
      </c>
      <c r="K12" s="5" t="s">
        <v>770</v>
      </c>
    </row>
    <row r="13" spans="3:11" ht="30" customHeight="1">
      <c r="C13" s="50">
        <v>7</v>
      </c>
      <c r="D13" s="51" t="s">
        <v>797</v>
      </c>
      <c r="E13" s="5" t="s">
        <v>798</v>
      </c>
      <c r="F13" s="5" t="s">
        <v>799</v>
      </c>
      <c r="G13" s="52" t="s">
        <v>766</v>
      </c>
      <c r="H13" s="5" t="s">
        <v>800</v>
      </c>
      <c r="I13" s="5" t="s">
        <v>801</v>
      </c>
      <c r="J13" s="5" t="s">
        <v>802</v>
      </c>
      <c r="K13" s="5" t="s">
        <v>770</v>
      </c>
    </row>
    <row r="14" spans="3:11" ht="39" customHeight="1">
      <c r="C14" s="50">
        <v>8</v>
      </c>
      <c r="D14" s="51" t="s">
        <v>803</v>
      </c>
      <c r="E14" s="5" t="s">
        <v>804</v>
      </c>
      <c r="F14" s="5" t="s">
        <v>805</v>
      </c>
      <c r="G14" s="52" t="s">
        <v>806</v>
      </c>
      <c r="H14" s="5" t="s">
        <v>807</v>
      </c>
      <c r="I14" s="5" t="s">
        <v>808</v>
      </c>
      <c r="J14" s="5" t="s">
        <v>809</v>
      </c>
      <c r="K14" s="54" t="s">
        <v>810</v>
      </c>
    </row>
    <row r="15" spans="3:11" ht="39" customHeight="1">
      <c r="C15" s="50">
        <v>9</v>
      </c>
      <c r="D15" s="51" t="s">
        <v>811</v>
      </c>
      <c r="E15" s="5" t="s">
        <v>812</v>
      </c>
      <c r="F15" s="5" t="s">
        <v>813</v>
      </c>
      <c r="G15" s="52" t="s">
        <v>814</v>
      </c>
      <c r="H15" s="5" t="s">
        <v>815</v>
      </c>
      <c r="I15" s="5" t="s">
        <v>816</v>
      </c>
      <c r="J15" s="5" t="s">
        <v>769</v>
      </c>
      <c r="K15" s="5" t="s">
        <v>770</v>
      </c>
    </row>
    <row r="16" spans="3:11" ht="39" customHeight="1">
      <c r="C16" s="50">
        <v>10</v>
      </c>
      <c r="D16" s="51" t="s">
        <v>817</v>
      </c>
      <c r="E16" s="5" t="s">
        <v>818</v>
      </c>
      <c r="F16" s="5" t="s">
        <v>819</v>
      </c>
      <c r="G16" s="52" t="s">
        <v>766</v>
      </c>
      <c r="H16" s="5" t="s">
        <v>820</v>
      </c>
      <c r="I16" s="5" t="s">
        <v>821</v>
      </c>
      <c r="J16" s="5" t="s">
        <v>743</v>
      </c>
      <c r="K16" s="54" t="s">
        <v>910</v>
      </c>
    </row>
    <row r="17" spans="3:11" ht="30" customHeight="1">
      <c r="C17" s="50">
        <v>11</v>
      </c>
      <c r="D17" s="51" t="s">
        <v>823</v>
      </c>
      <c r="E17" s="5" t="s">
        <v>824</v>
      </c>
      <c r="F17" s="5" t="s">
        <v>825</v>
      </c>
      <c r="G17" s="53" t="s">
        <v>826</v>
      </c>
      <c r="H17" s="5" t="s">
        <v>827</v>
      </c>
      <c r="I17" s="5" t="s">
        <v>828</v>
      </c>
      <c r="J17" s="5" t="s">
        <v>769</v>
      </c>
      <c r="K17" s="54" t="s">
        <v>911</v>
      </c>
    </row>
    <row r="18" spans="3:11" ht="39" customHeight="1">
      <c r="C18" s="50">
        <v>12</v>
      </c>
      <c r="D18" s="51" t="s">
        <v>830</v>
      </c>
      <c r="E18" s="5" t="s">
        <v>831</v>
      </c>
      <c r="F18" s="5" t="s">
        <v>832</v>
      </c>
      <c r="G18" s="52" t="s">
        <v>766</v>
      </c>
      <c r="H18" s="5" t="s">
        <v>833</v>
      </c>
      <c r="I18" s="5" t="s">
        <v>834</v>
      </c>
      <c r="J18" s="5" t="s">
        <v>835</v>
      </c>
      <c r="K18" s="5" t="s">
        <v>836</v>
      </c>
    </row>
    <row r="19" spans="3:11" ht="39" customHeight="1">
      <c r="C19" s="50">
        <v>13</v>
      </c>
      <c r="D19" s="51" t="s">
        <v>837</v>
      </c>
      <c r="E19" s="5" t="s">
        <v>838</v>
      </c>
      <c r="F19" s="5" t="s">
        <v>839</v>
      </c>
      <c r="G19" s="53" t="s">
        <v>840</v>
      </c>
      <c r="H19" s="5" t="s">
        <v>775</v>
      </c>
      <c r="I19" s="5" t="s">
        <v>841</v>
      </c>
      <c r="J19" s="5" t="s">
        <v>842</v>
      </c>
      <c r="K19" s="5" t="s">
        <v>770</v>
      </c>
    </row>
    <row r="20" spans="3:11" ht="39" customHeight="1">
      <c r="C20" s="50">
        <v>14</v>
      </c>
      <c r="D20" s="51" t="s">
        <v>843</v>
      </c>
      <c r="E20" s="5" t="s">
        <v>844</v>
      </c>
      <c r="F20" s="5" t="s">
        <v>845</v>
      </c>
      <c r="G20" s="53" t="s">
        <v>846</v>
      </c>
      <c r="H20" s="5" t="s">
        <v>847</v>
      </c>
      <c r="I20" s="5" t="s">
        <v>912</v>
      </c>
      <c r="J20" s="5" t="s">
        <v>748</v>
      </c>
      <c r="K20" s="54" t="s">
        <v>770</v>
      </c>
    </row>
    <row r="21" spans="3:11" ht="30" customHeight="1">
      <c r="C21" s="50">
        <v>15</v>
      </c>
      <c r="D21" s="51" t="s">
        <v>80</v>
      </c>
      <c r="E21" s="5" t="s">
        <v>850</v>
      </c>
      <c r="F21" s="5" t="s">
        <v>851</v>
      </c>
      <c r="G21" s="53" t="s">
        <v>774</v>
      </c>
      <c r="H21" s="5" t="s">
        <v>852</v>
      </c>
      <c r="I21" s="5" t="s">
        <v>853</v>
      </c>
      <c r="J21" s="5" t="s">
        <v>650</v>
      </c>
      <c r="K21" s="5" t="s">
        <v>770</v>
      </c>
    </row>
    <row r="22" spans="3:11" ht="30" customHeight="1">
      <c r="C22" s="50">
        <v>16</v>
      </c>
      <c r="D22" s="51" t="s">
        <v>854</v>
      </c>
      <c r="E22" s="5" t="s">
        <v>855</v>
      </c>
      <c r="F22" s="5" t="s">
        <v>856</v>
      </c>
      <c r="G22" s="53" t="s">
        <v>937</v>
      </c>
      <c r="H22" s="5" t="s">
        <v>938</v>
      </c>
      <c r="I22" s="5" t="s">
        <v>939</v>
      </c>
      <c r="J22" s="5" t="s">
        <v>684</v>
      </c>
      <c r="K22" s="5" t="s">
        <v>770</v>
      </c>
    </row>
    <row r="23" spans="3:11" ht="30" customHeight="1">
      <c r="C23" s="50">
        <v>17</v>
      </c>
      <c r="D23" s="51" t="s">
        <v>858</v>
      </c>
      <c r="E23" s="5" t="s">
        <v>859</v>
      </c>
      <c r="F23" s="5" t="s">
        <v>860</v>
      </c>
      <c r="G23" s="53" t="s">
        <v>774</v>
      </c>
      <c r="H23" s="5" t="s">
        <v>775</v>
      </c>
      <c r="I23" s="5" t="s">
        <v>861</v>
      </c>
      <c r="J23" s="5" t="s">
        <v>769</v>
      </c>
      <c r="K23" s="5" t="s">
        <v>770</v>
      </c>
    </row>
    <row r="24" spans="3:11" ht="30" customHeight="1">
      <c r="C24" s="50">
        <v>18</v>
      </c>
      <c r="D24" s="51" t="s">
        <v>862</v>
      </c>
      <c r="E24" s="5" t="s">
        <v>863</v>
      </c>
      <c r="F24" s="5" t="s">
        <v>913</v>
      </c>
      <c r="G24" s="53" t="s">
        <v>766</v>
      </c>
      <c r="H24" s="5" t="s">
        <v>914</v>
      </c>
      <c r="I24" s="5" t="s">
        <v>915</v>
      </c>
      <c r="J24" s="5" t="s">
        <v>660</v>
      </c>
      <c r="K24" s="5" t="s">
        <v>770</v>
      </c>
    </row>
    <row r="25" spans="3:11" ht="30" customHeight="1">
      <c r="C25" s="50">
        <v>19</v>
      </c>
      <c r="D25" s="51" t="s">
        <v>867</v>
      </c>
      <c r="E25" s="5" t="s">
        <v>868</v>
      </c>
      <c r="F25" s="5" t="s">
        <v>869</v>
      </c>
      <c r="G25" s="53" t="s">
        <v>774</v>
      </c>
      <c r="H25" s="5" t="s">
        <v>775</v>
      </c>
      <c r="I25" s="5" t="s">
        <v>870</v>
      </c>
      <c r="J25" s="5" t="s">
        <v>769</v>
      </c>
      <c r="K25" s="5" t="s">
        <v>770</v>
      </c>
    </row>
    <row r="26" spans="3:11" ht="39" customHeight="1">
      <c r="C26" s="50">
        <v>20</v>
      </c>
      <c r="D26" s="51" t="s">
        <v>871</v>
      </c>
      <c r="E26" s="5" t="s">
        <v>872</v>
      </c>
      <c r="F26" s="5" t="s">
        <v>873</v>
      </c>
      <c r="G26" s="53" t="s">
        <v>874</v>
      </c>
      <c r="H26" s="5" t="s">
        <v>875</v>
      </c>
      <c r="I26" s="5" t="s">
        <v>916</v>
      </c>
      <c r="J26" s="5" t="s">
        <v>769</v>
      </c>
      <c r="K26" s="5" t="s">
        <v>770</v>
      </c>
    </row>
    <row r="27" spans="3:11" ht="30" customHeight="1">
      <c r="C27" s="50">
        <v>21</v>
      </c>
      <c r="D27" s="51" t="s">
        <v>877</v>
      </c>
      <c r="E27" s="5" t="s">
        <v>878</v>
      </c>
      <c r="F27" s="5" t="s">
        <v>879</v>
      </c>
      <c r="G27" s="52" t="s">
        <v>880</v>
      </c>
      <c r="H27" s="5" t="s">
        <v>881</v>
      </c>
      <c r="I27" s="5" t="s">
        <v>882</v>
      </c>
      <c r="J27" s="5" t="s">
        <v>769</v>
      </c>
      <c r="K27" s="5" t="s">
        <v>883</v>
      </c>
    </row>
    <row r="28" spans="3:11" ht="30" customHeight="1">
      <c r="C28" s="50">
        <v>22</v>
      </c>
      <c r="D28" s="51" t="s">
        <v>884</v>
      </c>
      <c r="E28" s="5" t="s">
        <v>885</v>
      </c>
      <c r="F28" s="5" t="s">
        <v>886</v>
      </c>
      <c r="G28" s="52" t="s">
        <v>887</v>
      </c>
      <c r="H28" s="5" t="s">
        <v>888</v>
      </c>
      <c r="I28" s="5" t="s">
        <v>940</v>
      </c>
      <c r="J28" s="5" t="s">
        <v>769</v>
      </c>
      <c r="K28" s="5" t="s">
        <v>770</v>
      </c>
    </row>
    <row r="29" spans="3:11" ht="30" customHeight="1">
      <c r="C29" s="50">
        <v>23</v>
      </c>
      <c r="D29" s="51" t="s">
        <v>890</v>
      </c>
      <c r="E29" s="5" t="s">
        <v>891</v>
      </c>
      <c r="F29" s="5" t="s">
        <v>941</v>
      </c>
      <c r="G29" s="52" t="s">
        <v>887</v>
      </c>
      <c r="H29" s="5" t="s">
        <v>888</v>
      </c>
      <c r="I29" s="5" t="s">
        <v>942</v>
      </c>
      <c r="J29" s="5" t="s">
        <v>769</v>
      </c>
      <c r="K29" s="5" t="s">
        <v>883</v>
      </c>
    </row>
    <row r="30" spans="3:11" ht="39" customHeight="1">
      <c r="C30" s="50">
        <v>24</v>
      </c>
      <c r="D30" s="51" t="s">
        <v>893</v>
      </c>
      <c r="E30" s="5" t="s">
        <v>894</v>
      </c>
      <c r="F30" s="5" t="s">
        <v>895</v>
      </c>
      <c r="G30" s="52" t="s">
        <v>806</v>
      </c>
      <c r="H30" s="5" t="s">
        <v>896</v>
      </c>
      <c r="I30" s="5" t="s">
        <v>889</v>
      </c>
      <c r="J30" s="5" t="s">
        <v>769</v>
      </c>
      <c r="K30" s="5" t="s">
        <v>770</v>
      </c>
    </row>
    <row r="31" spans="3:11" ht="30" customHeight="1">
      <c r="C31" s="50">
        <v>25</v>
      </c>
      <c r="D31" s="51" t="s">
        <v>897</v>
      </c>
      <c r="E31" s="5" t="s">
        <v>898</v>
      </c>
      <c r="F31" s="5" t="s">
        <v>899</v>
      </c>
      <c r="G31" s="52" t="s">
        <v>900</v>
      </c>
      <c r="H31" s="5" t="s">
        <v>901</v>
      </c>
      <c r="I31" s="5" t="s">
        <v>902</v>
      </c>
      <c r="J31" s="5" t="s">
        <v>769</v>
      </c>
      <c r="K31" s="54" t="s">
        <v>829</v>
      </c>
    </row>
  </sheetData>
  <autoFilter ref="C6:K31"/>
  <pageMargins left="0.4" right="0.4" top="0.5" bottom="0.5" header="0.3" footer="0.3"/>
  <pageSetup paperSize="9" fitToHeight="0" orientation="landscape"/>
</worksheet>
</file>