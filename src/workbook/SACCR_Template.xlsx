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Tests"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<sst xmlns="http://schemas.openxmlformats.org/spreadsheetml/2006/main" uniqueCount="895">
  <si>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</si>
  <si>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</si>
  <si>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</si>
  <si>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</si>
  <si>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</si>
  <si>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</si>
  <si>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</si>
  <si>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</si>
  <si>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</si>
  <si>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</si>
  <si>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</si>
  <si>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</si>
  <si>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</si>
  <si>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</si>
  <si>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Tests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</si>
  <si>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</si>
  <si>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</si>
  <si>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</si>
  <si>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</si>
  <si>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</si>
  <si>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</si>
  <si>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</si>
  <si>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</si>
  <si>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</si>
  <si>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</si>
  <si>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</si>
  <si>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</si>
  <si>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</si>
  <si>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</si>
  <si>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</si>
  <si>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</si>
  <si>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</si>
  <si>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</si>
  <si>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</si>
  <si>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</si>
  <si>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</si>
  <si>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</si>
  <si>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</si>
  <si>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</si>
  <si>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</si>
  <si>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</si>
  <si>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</si>
  <si>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</si>
  <si>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</si>
  <si>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</si>
  <si>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</si>
  <si>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</si>
  <si>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</si>
  <si>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</si>
  <si>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</si>
  <si>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</si>
  <si>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</si>
  <si>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</si>
  <si>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</si>
  <si>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</si>
  <si>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</si>
  <si>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</si>
  <si>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</si>
  <si>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</si>
  <si>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</si>
  <si>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</si>
  <si>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</si>
  <si>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</si>
  <si>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</si>
  <si>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</si>
  <si>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</si>
  <si>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</si>
  <si>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</si>
  <si>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</si>
  <si>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</si>
  <si>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</si>
  <si>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</si>
  <si>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</si>
  <si>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</si>
  <si>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</si>
  <si>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</si>
  <si>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</si>
  <si>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</si>
  <si>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</si>
  <si>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</si>
  <si>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</si>
  <si>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</si>
  <si>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</si>
  <si>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</si>
  <si>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</si>
  <si>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</si>
  <si>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</si>
  <si>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</si>
  <si>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</si>
  <si>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</si>
  <si>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</si>
  <si>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</si>
  <si>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</si>
  <si>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</si>
  <si>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</si>
  <si>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</si>
  <si>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</si>
  <si>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</si>
  <si>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</si>
  <si>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</si>
  <si>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</si>
  <si>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</si>
  <si>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</si>
  <si>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</si>
  <si>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</si>
  <si>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</si>
  <si>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</si>
  <si>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</si>
  <si>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</si>
  <si>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</si>
  <si>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</si>
  <si>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</si>
  <si>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</si>
  <si>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</si>
  <si>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</si>
  <si>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</si>
  <si>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</si>
  <si>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</si>
  <si>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</si>
  <si>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</si>
  <si>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</si>
  <si>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</si>
  <si>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</si>
  <si>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</si>
  <si>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</si>
  <si>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</si>
  <si>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</si>
  <si>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</si>
  <si>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</si>
  <si>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</si>
  <si>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</si>
  <si>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</si>
  <si>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</si>
  <si>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</si>
  <si>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</si>
  <si>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</si>
  <si>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</si>
  <si>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</si>
  <si>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</si>
  <si>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</si>
  <si>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</si>
  <si>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</si>
  <si>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</si>
  <si>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</si>
  <si>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</si>
  <si>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</si>
  <si>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</si>
  <si>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</si>
  <si>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</si>
  <si>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</si>
  <si>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</si>
  <si>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</si>
  <si>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</si>
  <si>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</si>
  <si>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</si>
  <si>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</si>
  <si>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</si>
  <si>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</si>
  <si>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</si>
  <si>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</si>
  <si>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</si>
  <si>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</si>
  <si>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</si>
  <si>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</si>
  <si>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</si>
  <si>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</si>
  <si>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</si>
  <si>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</si>
  <si>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</si>
  <si>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</si>
  <si>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</si>
  <si>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</si>
  <si>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</si>
  <si>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</si>
  <si>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</si>
  <si>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</si>
  <si>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</si>
  <si>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</si>
  <si>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</si>
  <si>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</si>
  <si>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</si>
  <si>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</si>
  <si>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</si>
  <si>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</si>
  <si>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</si>
  <si>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</si>
  <si>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</si>
  <si>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</si>
  <si>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</si>
  <si>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</si>
  <si>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</si>
  <si>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</si>
  <si>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</si>
  <si>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</si>
  <si>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</si>
  <si>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</si>
  <si>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</si>
  <si>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</si>
  <si>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</si>
  <si>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</si>
  <si>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</si>
  <si>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</si>
  <si>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</si>
  <si>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</si>
  <si>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</si>
  <si>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</si>
  <si>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</si>
  <si>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</si>
  <si>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</si>
  <si>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</si>
  <si>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</si>
  <si>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</si>
  <si>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</si>
  <si>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</si>
  <si>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</si>
  <si>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</si>
  <si>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</si>
  <si>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</si>
  <si>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</si>
  <si>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</si>
  <si>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</si>
  <si>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</si>
  <si>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</si>
  <si>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</si>
  <si>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</si>
  <si>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</si>
  <si>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</si>
  <si>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</si>
  <si>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</si>
  <si>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</si>
  <si>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</si>
  <si>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</si>
  <si>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</si>
  <si>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</si>
  <si>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</si>
  <si>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</si>
  <si>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</si>
  <si>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</si>
  <si>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</si>
  <si>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</si>
  <si>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</si>
  <si>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</si>
  <si>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</si>
  <si>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</si>
  <si>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</si>
  <si>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</si>
  <si>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</si>
  <si>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</si>
  <si>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</si>
  <si>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</si>
  <si>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</si>
  <si>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</si>
  <si>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</si>
  <si>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</si>
  <si>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</si>
  <si>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</si>
  <si>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</si>
  <si>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</si>
  <si>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</si>
  <si>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</si>
  <si>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</si>
  <si>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</si>
  <si>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</si>
  <si>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</si>
  <si>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</si>
  <si>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</si>
  <si>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</si>
  <si>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</si>
  <si>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</si>
  <si>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</si>
  <si>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</si>
  <si>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</si>
  <si>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</si>
  <si>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</si>
  <si>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</si>
  <si>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</si>
  <si>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</si>
  <si>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</si>
  <si>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</si>
  <si>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</si>
  <si>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</si>
  <si>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</si>
  <si>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</si>
  <si>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</si>
  <si>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</si>
  <si>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</si>
  <si>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</si>
  <si>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</si>
  <si>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</si>
  <si>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</si>
  <si>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</si>
  <si>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</si>
  <si>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</si>
  <si>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</si>
  <si>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</si>
  <si>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</si>
  <si>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</si>
  <si>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</si>
  <si>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</si>
  <si>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</si>
  <si>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</si>
  <si>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</si>
  <si>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</si>
  <si>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</si>
  <si>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</si>
  <si>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</si>
  <si>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</si>
  <si>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</si>
  <si>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</si>
  <si>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</si>
  <si>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</si>
  <si>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</si>
  <si>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</si>
  <si>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</si>
  <si>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</si>
  <si>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</si>
  <si>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</si>
  <si>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</si>
  <si>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</si>
  <si>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</si>
  <si>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</si>
  <si>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</si>
  <si>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</si>
  <si>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</si>
  <si>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</si>
  <si>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</si>
  <si>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</si>
  <si>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</si>
  <si>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</si>
  <si>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</si>
  <si>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</si>
  <si>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</si>
  <si>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</si>
  <si>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</si>
  <si>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</si>
  <si>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</si>
  <si>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</si>
  <si>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</si>
  <si>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</si>
  <si>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</si>
  <si>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</si>
  <si>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</si>
  <si>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</si>
  <si>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</si>
  <si>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</si>
  <si>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</si>
  <si>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</si>
  <si>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</si>
  <si>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</si>
  <si>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</si>
  <si>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</si>
  <si>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</si>
  <si>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</si>
  <si>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</si>
  <si>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</si>
  <si>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</si>
  <si>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</si>
  <si>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</si>
  <si>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</si>
  <si>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</si>
  <si>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</si>
  <si>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</si>
  <si>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</si>
  <si>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</si>
  <si>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</si>
  <si>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</si>
  <si>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</si>
  <si>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</si>
  <si>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</si>
  <si>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</si>
  <si>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</si>
  <si>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</si>
  <si>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</si>
  <si>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</si>
  <si>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</si>
  <si>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</si>
  <si>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</si>
  <si>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</si>
  <si>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</si>
  <si>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</si>
  <si>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</si>
  <si>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</si>
  <si>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</si>
  <si>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</si>
  <si>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</si>
  <si>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</si>
  <si>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</si>
  <si>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</si>
  <si>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</si>
  <si>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</si>
  <si>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</si>
  <si>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</si>
  <si>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</si>
  <si>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</si>
  <si>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</si>
  <si>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</si>
  <si>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</si>
  <si>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</si>
  <si>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</si>
  <si>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</si>
  <si>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</si>
  <si>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</si>
  <si>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</si>
  <si>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</si>
  <si>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</si>
  <si>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</si>
  <si>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</si>
  <si>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</si>
  <si>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</si>
  <si>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</si>
  <si>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</si>
  <si>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</si>
  <si>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</si>
  <si>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</si>
  <si>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</si>
  <si>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</si>
  <si>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</si>
  <si>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</si>
  <si>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</si>
  <si>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</si>
  <si>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</si>
  <si>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</si>
  <si>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</si>
  <si>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</si>
  <si>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</si>
  <si>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</si>
  <si>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</si>
  <si>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</si>
  <si>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</si>
  <si>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</si>
  <si>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</si>
  <si>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</si>
  <si>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</si>
  <si>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</si>
  <si>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</si>
  <si>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</si>
  <si>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</si>
  <si>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</si>
  <si>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</si>
  <si>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</si>
  <si>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</si>
  <si>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</si>
  <si>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</si>
  <si>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</si>
  <si>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</si>
  <si>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</si>
  <si>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</si>
  <si>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</si>
  <si>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</si>
  <si>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</si>
  <si>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</si>
  <si>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</si>
  <si>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</si>
  <si>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</si>
  <si>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</si>
  <si>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</si>
  <si>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</si>
  <si>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</si>
  <si>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</si>
  <si>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</si>
  <si>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</si>
  <si>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</si>
  <si>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</si>
  <si>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</si>
  <si>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</si>
  <si>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</si>
  <si>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</si>
  <si>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</si>
  <si>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</si>
  <si>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</si>
  <si>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</si>
  <si>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</si>
  <si>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</si>
  <si>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</si>
  <si>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</si>
  <si>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</si>
  <si>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</si>
  <si>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</si>
  <si>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</si>
  <si>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</si>
  <si>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</si>
  <si>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</si>
  <si>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</si>
  <si>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</si>
  <si>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</si>
  <si>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</si>
  <si>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</si>
  <si>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</si>
  <si>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</si>
  <si>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</si>
  <si>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</si>
  <si>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</si>
  <si>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</si>
  <si>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</si>
  <si>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</si>
  <si>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</si>
  <si>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</si>
  <si>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</si>
  <si>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</si>
  <si>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</si>
  <si>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</si>
  <si>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</si>
  <si>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</si>
  <si>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</si>
  <si>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</si>
  <si>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</si>
  <si>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</si>
  <si>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</si>
  <si>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</si>
  <si>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</si>
  <si>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</si>
  <si>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</si>
  <si>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</si>
  <si>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</si>
  <si>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</si>
  <si>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</si>
  <si>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</si>
  <si>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</si>
  <si>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</si>
  <si>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</si>
  <si>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</si>
  <si>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</si>
  <si>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</si>
  <si>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</si>
  <si>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</si>
  <si>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</si>
  <si>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</si>
  <si>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</si>
  <si>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</si>
  <si>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</si>
  <si>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</si>
  <si>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</si>
  <si>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</si>
  <si>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</si>
  <si>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</si>
  <si>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</si>
  <si>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</si>
  <si>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</si>
  <si>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</si>
  <si>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</si>
  <si>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</si>
  <si>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</si>
  <si>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</si>
  <si>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</si>
  <si>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</si>
  <si>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</si>
  <si>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</si>
  <si>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</si>
  <si>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</si>
  <si>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</si>
  <si>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</si>
  <si>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</si>
  <si>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</si>
  <si>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</si>
  <si>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</si>
  <si>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</si>
  <si>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</si>
  <si>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</si>
  <si>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</si>
  <si>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</si>
  <si>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</si>
  <si>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</si>
  <si>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</si>
  <si>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</si>
  <si>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</si>
  <si>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</si>
  <si>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</si>
  <si>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</si>
  <si>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</si>
  <si>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</si>
  <si>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</si>
  <si>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</si>
  <si>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</si>
  <si>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</si>
  <si>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</si>
  <si>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</si>
  <si>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</si>
  <si>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</si>
  <si>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</si>
  <si>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</si>
  <si>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</si>
  <si>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</si>
  <si>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</si>
  <si>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</si>
  <si>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</si>
  <si>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</si>
  <si>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</si>
  <si>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</si>
  <si>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</si>
  <si>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</si>
  <si>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</si>
  <si>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</si>
  <si>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</si>
  <si>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</si>
  <si>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</si>
  <si>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</si>
  <si>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</si>
  <si>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</si>
  <si>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</si>
  <si>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</si>
  <si>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</si>
  <si>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</si>
  <si>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</si>
  <si>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</si>
  <si>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</si>
  <si>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</si>
  <si>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</si>
  <si>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</si>
  <si>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</si>
  <si>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</si>
  <si>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</si>
  <si>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</si>
  <si>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</si>
  <si>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</si>
  <si>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</si>
  <si>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</si>
  <si>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</si>
  <si>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</si>
  <si>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</si>
  <si>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</si>
  <si>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</si>
  <si>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</si>
  <si>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</si>
  <si>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</si>
  <si>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</si>
  <si>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</si>
  <si>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</si>
  <si>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</si>
  <si>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</si>
  <si>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</si>
  <si>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</si>
  <si>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</si>
  <si>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</si>
  <si>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</si>
  <si>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</si>
  <si>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</si>
  <si>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</si>
  <si>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</si>
  <si>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</si>
  <si>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</si>
  <si>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</si>
  <si>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</si>
  <si>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</si>
  <si>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</si>
  <si>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</si>
  <si>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</si>
  <si>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</si>
  <si>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</si>
  <si>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</si>
  <si>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</si>
  <si>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</si>
  <si>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</si>
  <si>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</si>
  <si>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</si>
  <si>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</si>
  <si>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</si>
  <si>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</si>
  <si>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</si>
  <si>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</si>
  <si>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</si>
  <si>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</si>
  <si>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</si>
  <si>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</si>
  <si>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</si>
  <si>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</si>
  <si>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</si>
  <si>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</si>
  <si>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</si>
  <si>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</si>
  <si>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</si>
  <si>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</si>
  <si>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</si>
  <si>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</si>
  <si>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</si>
  <si>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</si>
  <si>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</si>
  <si>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</si>
  <si>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</si>
  <si>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</si>
  <si>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</si>
  <si>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</si>
  <si>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</si>
  <si>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</si>
  <si>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</si>
  <si>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</si>
  <si>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</si>
  <si>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</si>
  <si>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</si>
  <si>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</si>
  <si>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</si>
  <si>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</si>
  <si>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</si>
  <si>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</si>
  <si>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</si>
  <si>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</si>
  <si>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</si>
  <si>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</si>
  <si>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</si>
  <si>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</si>
  <si>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</si>
  <si>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</si>
  <si>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</si>
  <si>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</si>
  <si>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</si>
  <si>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</si>
  <si>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</si>
  <si>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</si>
  <si>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</si>
  <si>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</si>
  <si>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</si>
  <si>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</si>
  <si>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</si>
  <si>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</si>
  <si>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</si>
  <si>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</si>
  <si>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</si>
  <si>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</si>
  <si>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</si>
  <si>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</si>
  <si>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</si>
  <si>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</si>
  <si>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</si>
  <si>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</si>
  <si>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</si>
  <si>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</si>
  <si>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</si>
  <si>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</si>
  <si>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</si>
  <si>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</si>
  <si>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</si>
  <si>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</si>
  <si>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</si>
  <si>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</si>
  <si>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</si>
  <si>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</si>
  <si>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</si>
  <si>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</si>
  <si>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</si>
  <si>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</si>
  <si>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</si>
  <si>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</si>
  <si>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</si>
  <si>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</si>
  <si>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</si>
  <si>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</si>
  <si>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</si>
  <si>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</si>
  <si>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</si>
  <si>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Tests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</si>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</sst>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70</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70</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(EXP(-0.05*$E8)-EXP(-0.05*$F8))/0.05</f>
        <v>7.8693868057473315</v>
      </c>
      <c r="M8" s="125" cm="1">
        <f t="array" ref="M8">SACCR_SupervisoryDuration($E8,$F8)</f>
        <v>7.8693868057473315</v>
      </c>
      <c r="N8" s="126">
        <f>IFERROR(ABS(M8-L8),"")</f>
        <v>0.0</v>
      </c>
      <c r="O8" s="127" t="str">
        <f>IF(ISNUMBER(N8),IF(N8&lt;=0.000000001*MAX(1,ABS(L8)),"PASS","FAIL"),"FAIL")</f>
        <v>PASS</v>
      </c>
      <c r="P8" s="130" t="s">
        <v>860</v>
      </c>
    </row>
    <row r="9" ht="20.100000000000001" customHeight="1" x14ac:dyDescent="0.25">
      <c r="C9" s="128" t="s">
        <v>518</v>
      </c>
      <c r="D9" s="24" t="s">
        <v>859</v>
      </c>
      <c r="E9" s="129">
        <v>1</v>
      </c>
      <c r="F9" s="129">
        <v>11</v>
      </c>
      <c r="L9" s="125">
        <f>(EXP(-0.05*$E9)-EXP(-0.05*$F9))/0.05</f>
        <v>7.485592282404547</v>
      </c>
      <c r="M9" s="125" cm="1">
        <f t="array" ref="M9">SACCR_SupervisoryDuration($E9,$F9)</f>
        <v>7.485592282404547</v>
      </c>
      <c r="N9" s="126">
        <f>IFERROR(ABS(M9-L9),"")</f>
        <v>0.0</v>
      </c>
      <c r="O9" s="127" t="str">
        <f>IF(ISNUMBER(N9),IF(N9&lt;=0.000000001*MAX(1,ABS(L9)),"PASS","FAIL"),"FAIL")</f>
        <v>PASS</v>
      </c>
      <c r="P9" s="130" t="s">
        <v>860</v>
      </c>
    </row>
    <row r="10" ht="20.100000000000001" customHeight="1" x14ac:dyDescent="0.25">
      <c r="C10" s="128" t="s">
        <v>520</v>
      </c>
      <c r="D10" s="24" t="s">
        <v>861</v>
      </c>
      <c r="E10" s="129">
        <v>0</v>
      </c>
      <c r="F10" s="129">
        <v>0.01</v>
      </c>
      <c r="G10" s="129">
        <f>10/250</f>
        <v>0.04</v>
      </c>
      <c r="L10" s="125">
        <f>MAX((EXP(-0.05*$E10)-EXP(-0.05*$F10))/0.05,$G10)</f>
        <v>0.04</v>
      </c>
      <c r="M10" s="125" cm="1">
        <f t="array" ref="M10">SACCR_SupervisoryDuration($E10,$F10,$G10)</f>
        <v>0.04</v>
      </c>
      <c r="N10" s="126">
        <f>IFERROR(ABS(M10-L10),"")</f>
        <v>0.0</v>
      </c>
      <c r="O10" s="127" t="str">
        <f>IF(ISNUMBER(N10),IF(N10&lt;=0.000000001*MAX(1,ABS(L10)),"PASS","FAIL"),"FAIL")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IF(ISNUMBER(N11),IF(N11&lt;=0.000000001*MAX(1,ABS(L11)),"PASS","FAIL"),"FAIL")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IF(ISNUMBER(N12),IF(N12&lt;=0.000000001*MAX(1,ABS(L12)),"PASS","FAIL"),"FAIL")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IF(ISNUMBER(N13),IF(N13&lt;=0.000000001*MAX(1,ABS(L13)),"PASS","FAIL"),"FAIL")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IF(ISNUMBER(N14),IF(N14&lt;=0.000000001*MAX(1,ABS(L14)),"PASS","FAIL"),"FAIL")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IF(ISNUMBER(N15),IF(N15&lt;=0.000000001*MAX(1,ABS(L15)),"PASS","FAIL"),"FAIL")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IF(ISNUMBER(N16),IF(N16&lt;=0.000000001*MAX(1,ABS(L16)),"PASS","FAIL"),"FAIL")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IF(ISNUMBER(N17),IF(N17&lt;=0.000000001*MAX(1,ABS(L17)),"PASS","FAIL"),"FAIL")</f>
        <v>PASS</v>
      </c>
      <c r="P17" s="130" t="s">
        <v>871</v>
      </c>
    </row>
    <row r="18" ht="20.100000000000001" customHeight="1" x14ac:dyDescent="0.25">
      <c r="C18" s="128" t="s">
        <v>536</v>
      </c>
      <c r="D18" s="24" t="s">
        <v>872</v>
      </c>
      <c r="E18" s="129">
        <v>0</v>
      </c>
      <c r="F18" s="129">
        <v>-36253.8493844036</v>
      </c>
      <c r="G18" s="129">
        <v>78693.8680574733</v>
      </c>
      <c r="L18" s="125">
        <f>SQRT($E18^2+$F18^2+$G18^2+1.4*$E18*$F18+1.4*$F18*$G18+0.6*$E18*$G18)</f>
        <v>59269.963463710395</v>
      </c>
      <c r="M18" s="125" cm="1">
        <f t="array" ref="M18">SACCR_IREffectiveNotional($E18,$F18,$G18)</f>
        <v>59269.963463710395</v>
      </c>
      <c r="N18" s="126">
        <f>IFERROR(ABS(M18-L18),"")</f>
        <v>0.0</v>
      </c>
      <c r="O18" s="127" t="str">
        <f>IF(ISNUMBER(N18),IF(N18&lt;=0.000000001*MAX(1,ABS(L18)),"PASS","FAIL"),"FAIL")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IF(ISNUMBER(N19),IF(N19&lt;=0.000000001*MAX(1,ABS(L19)),"PASS","FAIL"),"FAIL")</f>
        <v>PASS</v>
      </c>
      <c r="P19" s="130" t="s">
        <v>875</v>
      </c>
    </row>
    <row r="20" ht="20.100000000000001" customHeight="1" x14ac:dyDescent="0.25">
      <c r="C20" s="128" t="s">
        <v>540</v>
      </c>
      <c r="D20" s="24" t="s">
        <v>876</v>
      </c>
      <c r="E20" s="129">
        <v>-20</v>
      </c>
      <c r="F20" s="129">
        <v>282</v>
      </c>
      <c r="L20" s="125">
        <f>MIN(1,0.05+0.95*EXP($E20/(2*0.95*$F20)))</f>
        <v>0.9651926811871945</v>
      </c>
      <c r="M20" s="125" cm="1">
        <f t="array" ref="M20">SACCR_Multiplier($E20,$F20)</f>
        <v>0.9651926811871945</v>
      </c>
      <c r="N20" s="126">
        <f>IFERROR(ABS(M20-L20),"")</f>
        <v>0.0</v>
      </c>
      <c r="O20" s="127" t="str">
        <f>IF(ISNUMBER(N20),IF(N20&lt;=0.000000001*MAX(1,ABS(L20)),"PASS","FAIL"),"FAIL")</f>
        <v>PASS</v>
      </c>
      <c r="P20" s="130" t="s">
        <v>877</v>
      </c>
    </row>
    <row r="21" ht="20.100000000000001" customHeight="1" x14ac:dyDescent="0.25">
      <c r="C21" s="128" t="s">
        <v>542</v>
      </c>
      <c r="D21" s="24" t="s">
        <v>876</v>
      </c>
      <c r="E21" s="129">
        <v>10</v>
      </c>
      <c r="F21" s="129">
        <v>282</v>
      </c>
      <c r="L21" s="125">
        <f>MIN(1,0.05+0.95*EXP($E21/(2*0.95*$F21)))</f>
        <v>1</v>
      </c>
      <c r="M21" s="125" cm="1">
        <f t="array" ref="M21">SACCR_Multiplier($E21,$F21)</f>
        <v>1.0</v>
      </c>
      <c r="N21" s="126">
        <f>IFERROR(ABS(M21-L21),"")</f>
        <v>0.0</v>
      </c>
      <c r="O21" s="127" t="str">
        <f>IF(ISNUMBER(N21),IF(N21&lt;=0.000000001*MAX(1,ABS(L21)),"PASS","FAIL"),"FAIL")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IF(ISNUMBER(N22),IF(N22&lt;=0.000000001*MAX(1,ABS(L22)),"PASS","FAIL"),"FAIL")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IF(ISNUMBER(N23),IF(N23&lt;=0.000000001*MAX(1,ABS(L23)),"PASS","FAIL"),"FAIL")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IF(ISNUMBER(N24),IF(N24&lt;=0.000000001*MAX(1,ABS(L24)),"PASS","FAIL"),"FAIL")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IF(ISNUMBER(N25),IF(N25&lt;=0.000000001*MAX(1,ABS(L25)),"PASS","FAIL"),"FAIL")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IF(ISNUMBER(N26),IF(N26&lt;=0.000000001*MAX(1,ABS(L26)),"PASS","FAIL"),"FAIL")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IF(ISNUMBER(N27),IF(N27&lt;=0.000000001*MAX(1,ABS(L27)),"PASS","FAIL"),"FAIL")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IF(ISNUMBER(N28),IF(N28&lt;=0.000000001*MAX(1,ABS(L28)),"PASS","FAIL"),"FAIL")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IF(ISNUMBER(N29),IF(N29&lt;=0.000000001*MAX(1,ABS(L29)),"PASS","FAIL"),"FAIL")</f>
        <v>PASS</v>
      </c>
      <c r="P29" s="130" t="s">
        <v>883</v>
      </c>
    </row>
  </sheetData>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