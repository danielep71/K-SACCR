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8" activeTab="15"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5" hidden="1">Basel_vs_CRR!$C$5:$K$33</definedName>
    <definedName name="_xlnm._FilterDatabase" localSheetId="3" hidden="1">Trades!$C$4:$AB$69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<sst xmlns="http://schemas.openxmlformats.org/spreadsheetml/2006/main" count="7951" uniqueCount="954">
  <si>
    <t>K-SACCR</t>
  </si>
  <si>
    <t>Standardised approach for counterparty credit risk under EU CRR (Art. 274-280f), the default, and Basel CRE52, chosen per netting set.</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</si>
  <si>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</si>
  <si>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</si>
  <si>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</si>
  <si>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</si>
  <si>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</si>
  <si>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</si>
  <si>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</si>
  <si>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</si>
  <si>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</si>
  <si>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error (trade excluded, netting set withheld, run stopped), warning and information message.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</si>
  <si>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</si>
  <si>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</si>
  <si>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</si>
  <si>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</si>
  <si>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</si>
  <si>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</si>
  <si>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</si>
  <si>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</si>
  <si>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</si>
  <si>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</si>
  <si>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</si>
  <si>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</si>
  <si>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</si>
  <si>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</si>
  <si>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</si>
  <si>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</si>
  <si>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</si>
  <si>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</si>
  <si>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</si>
  <si>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</si>
  <si>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</si>
  <si>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</si>
  <si>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</si>
  <si>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</si>
  <si>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</si>
  <si>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</si>
  <si>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</si>
  <si>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</si>
  <si>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</si>
  <si>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</si>
  <si>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</si>
  <si>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</si>
  <si>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</si>
  <si>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</si>
  <si>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</si>
  <si>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</si>
  <si>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</si>
  <si>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</si>
  <si>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</si>
  <si>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</si>
  <si>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</si>
  <si>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</si>
  <si>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</si>
  <si>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</si>
  <si>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</si>
  <si>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</si>
  <si>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</si>
  <si>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</si>
  <si>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errors (trade excluded, netting set withheld, run stopped), warnings and information</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</si>
  <si>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</si>
  <si>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</si>
  <si>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</si>
  <si>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</si>
  <si>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</si>
  <si>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</si>
  <si>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</si>
  <si>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</si>
  <si>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</si>
  <si>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</si>
  <si>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</si>
  <si>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</si>
  <si>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</si>
  <si>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</si>
  <si>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</si>
  <si>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</si>
  <si>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</si>
  <si>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</si>
  <si>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</si>
  <si>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</si>
  <si>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</si>
  <si>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</si>
  <si>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</si>
  <si>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</si>
  <si>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</si>
  <si>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</si>
  <si>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</si>
  <si>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BusinessDaysPerYear (250); dates use DaysPerYear.</t>
  </si>
  <si>
    <t>Sample data</t>
  </si>
  <si>
    <t>Code</t>
  </si>
  <si>
    <t>Modules</t>
  </si>
  <si>
    <t>Parameters</t>
  </si>
  <si>
    <t>Each value is read through the workbook name equal to its code in column C;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</si>
  <si>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</si>
  <si>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</si>
  <si>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</si>
  <si>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</si>
  <si>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</si>
  <si>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</si>
  <si>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</si>
  <si>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</si>
  <si>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</si>
  <si>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</si>
  <si>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</si>
  <si>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</si>
  <si>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</si>
  <si>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</si>
  <si>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</si>
  <si>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</si>
  <si>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</si>
  <si>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</si>
  <si>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CRE52.49, 52.53 / CRR Art. 279c(1)</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</si>
  <si>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</si>
  <si>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</si>
  <si>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</si>
  <si>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</si>
  <si>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</si>
  <si>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</si>
  <si>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</si>
  <si>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</si>
  <si>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</si>
  <si>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</si>
  <si>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CRE54.12 / CRR Art. 279c(1)(b)</t>
  </si>
  <si>
    <t>MPORFloorLarge</t>
  </si>
  <si>
    <t>MPOR floor, &gt;5,000 trades, illiquid collateral or hard-to-replace derivative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</si>
  <si>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</si>
  <si>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</si>
  <si>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</si>
  <si>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</si>
  <si>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</si>
  <si>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</si>
  <si>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</si>
  <si>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</si>
  <si>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</si>
  <si>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</si>
  <si>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</si>
  <si>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</si>
  <si>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</si>
  <si>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</si>
  <si>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</si>
  <si>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</si>
  <si>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</si>
  <si>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</si>
  <si>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</si>
  <si>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</si>
  <si>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</si>
  <si>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</si>
  <si>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</si>
  <si>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</si>
  <si>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</si>
  <si>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</si>
  <si>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</si>
  <si>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</si>
  <si>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</si>
  <si>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</si>
  <si>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</si>
  <si>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</si>
  <si>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</si>
  <si>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</si>
  <si>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</si>
  <si>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 RTS 2021/931 Art. 5(3) (vol)</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</si>
  <si>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</si>
  <si>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</si>
  <si>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</si>
  <si>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</si>
  <si>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</si>
  <si>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</si>
  <si>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</si>
  <si>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</si>
  <si>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</si>
  <si>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</si>
  <si>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</si>
  <si>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</si>
  <si>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</si>
  <si>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</si>
  <si>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</si>
  <si>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</si>
  <si>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</si>
  <si>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</si>
  <si>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</si>
  <si>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</si>
  <si>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</si>
  <si>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</si>
  <si>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</si>
  <si>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</si>
  <si>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</si>
  <si>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</si>
  <si>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</si>
  <si>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</si>
  <si>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</si>
  <si>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</si>
  <si>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</si>
  <si>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</si>
  <si>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</si>
  <si>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</si>
  <si>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</si>
  <si>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</si>
  <si>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</si>
  <si>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</si>
  <si>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</si>
  <si>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</si>
  <si>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</si>
  <si>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</si>
  <si>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</si>
  <si>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</si>
  <si>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</si>
  <si>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</si>
  <si>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</si>
  <si>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</si>
  <si>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</si>
  <si>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</si>
  <si>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</si>
  <si>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</si>
  <si>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</si>
  <si>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</si>
  <si>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</si>
  <si>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</si>
  <si>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</si>
  <si>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</si>
  <si>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</si>
  <si>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</si>
  <si>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</si>
  <si>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</si>
  <si>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</si>
  <si>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</si>
  <si>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</si>
  <si>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</si>
  <si>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</si>
  <si>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</si>
  <si>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</si>
  <si>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</si>
  <si>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</si>
  <si>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</si>
  <si>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</si>
  <si>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</si>
  <si>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</si>
  <si>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</si>
  <si>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</si>
  <si>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</si>
  <si>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</si>
  <si>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</si>
  <si>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</si>
  <si>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</si>
  <si>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</si>
  <si>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</si>
  <si>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</si>
  <si>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</si>
  <si>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</si>
  <si>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</si>
  <si>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</si>
  <si>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</si>
  <si>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</si>
  <si>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</si>
  <si>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</si>
  <si>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</si>
  <si>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</si>
  <si>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</si>
  <si>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</si>
  <si>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</si>
  <si>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</si>
  <si>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</si>
  <si>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(rejected EBA Q&amp;A 2022_6354) - Basel cap</t>
  </si>
  <si>
    <t>CRR-VMCAP</t>
  </si>
  <si>
    <t>Posted-VM scenario (rejected EBA Q&amp;A 2022_6354) - CRR Art. 274(3) cap, EBA Q&amp;A 2023_6962</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</si>
  <si>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</si>
  <si>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</si>
  <si>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</si>
  <si>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</si>
  <si>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</si>
  <si>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</si>
  <si>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</si>
  <si>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</si>
  <si>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</si>
  <si>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</si>
  <si>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</si>
  <si>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</si>
  <si>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</si>
  <si>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</si>
  <si>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</si>
  <si>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</si>
  <si>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</si>
  <si>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</si>
  <si>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</si>
  <si>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</si>
  <si>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</si>
  <si>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</si>
  <si>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</si>
  <si>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</si>
  <si>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</si>
  <si>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</si>
  <si>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</si>
  <si>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</si>
  <si>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</si>
  <si>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</si>
  <si>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</si>
  <si>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</si>
  <si>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</si>
  <si>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</si>
  <si>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</si>
  <si>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</si>
  <si>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</si>
  <si>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</si>
  <si>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</si>
  <si>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</si>
  <si>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</si>
  <si>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</si>
  <si>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</si>
  <si>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</si>
  <si>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</si>
  <si>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</si>
  <si>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</si>
  <si>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(CRE99 treats WTI and Brent as one type, crude oil)</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</si>
  <si>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</si>
  <si>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</si>
  <si>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</si>
  <si>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</si>
  <si>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</si>
  <si>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</si>
  <si>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</si>
  <si>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</si>
  <si>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</si>
  <si>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</si>
  <si>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</si>
  <si>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</si>
  <si>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</si>
  <si>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</si>
  <si>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</si>
  <si>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</si>
  <si>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</si>
  <si>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</si>
  <si>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</si>
  <si>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</si>
  <si>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</si>
  <si>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</si>
  <si>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</si>
  <si>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</si>
  <si>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</si>
  <si>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</si>
  <si>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</si>
  <si>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</si>
  <si>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</si>
  <si>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</si>
  <si>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</si>
  <si>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</si>
  <si>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</si>
  <si>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</si>
  <si>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</si>
  <si>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</si>
  <si>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</si>
  <si>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</si>
  <si>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</si>
  <si>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</si>
  <si>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</si>
  <si>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</si>
  <si>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</si>
  <si>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</si>
  <si>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</si>
  <si>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</si>
  <si>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</si>
  <si>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</si>
  <si>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</si>
  <si>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</si>
  <si>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</si>
  <si>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</si>
  <si>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</si>
  <si>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</si>
  <si>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</si>
  <si>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</si>
  <si>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</si>
  <si>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</si>
  <si>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</si>
  <si>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</si>
  <si>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</si>
  <si>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</si>
  <si>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</si>
  <si>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</si>
  <si>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</si>
  <si>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</si>
  <si>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</si>
  <si>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</si>
  <si>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</si>
  <si>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</si>
  <si>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</si>
  <si>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</si>
  <si>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</si>
  <si>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</si>
  <si>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</si>
  <si>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</si>
  <si>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</si>
  <si>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</si>
  <si>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</si>
  <si>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</si>
  <si>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</si>
  <si>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</si>
  <si>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</si>
  <si>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</si>
  <si>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</si>
  <si>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</si>
  <si>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</si>
  <si>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</si>
  <si>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</si>
  <si>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</si>
  <si>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</si>
  <si>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</si>
  <si>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</si>
  <si>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</si>
  <si>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</si>
  <si>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</si>
  <si>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</si>
  <si>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</si>
  <si>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</si>
  <si>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</si>
  <si>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</si>
  <si>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</si>
  <si>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</si>
  <si>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</si>
  <si>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</si>
  <si>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</si>
  <si>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</si>
  <si>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</si>
  <si>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</si>
  <si>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</si>
  <si>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</si>
  <si>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1y Italian power baseload swap</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</si>
  <si>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</si>
  <si>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</si>
  <si>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</si>
  <si>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</si>
  <si>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</si>
  <si>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</si>
  <si>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</si>
  <si>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</si>
  <si>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</si>
  <si>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</si>
  <si>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</si>
  <si>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</si>
  <si>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</si>
  <si>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</si>
  <si>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</si>
  <si>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</si>
  <si>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</si>
  <si>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</si>
  <si>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</si>
  <si>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</si>
  <si>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</si>
  <si>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</si>
  <si>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</si>
  <si>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</si>
  <si>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</si>
  <si>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</si>
  <si>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</si>
  <si>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</si>
  <si>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 CRR &lt;=1y)</t>
  </si>
  <si>
    <t>D2 (1-5y)</t>
  </si>
  <si>
    <t>D3 (&gt;5y)</t>
  </si>
  <si>
    <t>Effective notional (IR / FX / OT)</t>
  </si>
  <si>
    <t>Systematic: sum rho x A</t>
  </si>
  <si>
    <t>Idiosyncratic: sqrt(sum (1-rho^2) A^2)</t>
  </si>
  <si>
    <t>Hedging-set add-on</t>
  </si>
  <si>
    <t>Add-on unmargined</t>
  </si>
  <si>
    <t>SF effective (IR / FX / OT)</t>
  </si>
  <si>
    <t>CO|CLIMATIC|STD</t>
  </si>
  <si>
    <t>Buckets, entities and commodity types</t>
  </si>
  <si>
    <t>IR: maturity bucket on E: &lt;1Y (CRR: up to and including 1Y) / 1-5Y / &gt;5Y. FX: currency pair. CR / EQ: reference entity. CO: commodity type. OT: primary risk driver.</t>
  </si>
  <si>
    <t>Bucket / entity / type</t>
  </si>
  <si>
    <t>SF (effective)</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</si>
  <si>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</si>
  <si>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</si>
  <si>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</si>
  <si>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</si>
  <si>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</si>
  <si>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</si>
  <si>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</si>
  <si>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</si>
  <si>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</si>
  <si>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</si>
  <si>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</si>
  <si>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</si>
  <si>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</si>
  <si>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</si>
  <si>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</si>
  <si>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</si>
  <si>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</si>
  <si>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</si>
  <si>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</si>
  <si>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</si>
  <si>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</si>
  <si>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</si>
  <si>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</si>
  <si>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 input rejected; the netting set's EAD is withheld (INCOMPLETE or INVALID) or the run stops. WARNING: accepted with an assumption. INFO: information only.</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</si>
  <si>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</si>
  <si>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</si>
  <si>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</si>
  <si>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</si>
  <si>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</si>
  <si>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</si>
  <si>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</si>
  <si>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</si>
  <si>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</si>
  <si>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</si>
  <si>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</si>
  <si>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</si>
  <si>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</si>
  <si>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</si>
  <si>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</si>
  <si>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</si>
  <si>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</si>
  <si>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</si>
  <si>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protection bought</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</si>
  <si>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</si>
  <si>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</si>
  <si>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</si>
  <si>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</si>
  <si>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</si>
  <si>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</si>
  <si>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</si>
  <si>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</si>
  <si>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</si>
  <si>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</si>
  <si>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</si>
  <si>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</si>
  <si>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</si>
  <si>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</si>
  <si>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</si>
  <si>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</si>
  <si>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</si>
  <si>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</si>
  <si>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</si>
  <si>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</si>
  <si>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</si>
  <si>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</si>
  <si>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</si>
  <si>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</si>
  <si>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</si>
  <si>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</si>
  <si>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4a</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</si>
  <si>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</si>
  <si>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</si>
  <si>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</si>
  <si>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</si>
  <si>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</si>
  <si>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</si>
  <si>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</si>
  <si>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</si>
  <si>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</si>
  <si>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</si>
  <si>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</si>
  <si>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</si>
  <si>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</si>
  <si>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</si>
  <si>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</si>
  <si>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</si>
  <si>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</si>
  <si>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</si>
  <si>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</si>
  <si>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</si>
  <si>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</si>
  <si>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</si>
  <si>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</si>
  <si>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</si>
  <si>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</si>
  <si>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</si>
  <si>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</si>
  <si>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</si>
  <si>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+ 628.9), unrounded add-on (printed 629); engine 936.45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</si>
  <si>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</si>
  <si>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</si>
  <si>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</si>
  <si>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</si>
  <si>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</si>
  <si>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</si>
  <si>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</si>
  <si>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</si>
  <si>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</si>
  <si>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</si>
  <si>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</si>
  <si>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</si>
  <si>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</si>
  <si>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</si>
  <si>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Illustrative - separate unreviewed calculation</t>
  </si>
  <si>
    <t>Common core reproduces the Basel result</t>
  </si>
  <si>
    <t>T16</t>
  </si>
  <si>
    <t>Engineering scenario - not authoritative</t>
  </si>
  <si>
    <t>rel</t>
  </si>
  <si>
    <t>T17</t>
  </si>
  <si>
    <t>Posted VM: CRR cap excludes VM from NICA -&gt; cap binds (~41)</t>
  </si>
  <si>
    <t>CRR Art. 274(3), 275(1); EBA Q&amp;A 2023_6962</t>
  </si>
  <si>
    <t>Q&amp;A 2022_6354 (rejected) illustration: 41 (cap) vs 378 (margined); this workbook ~377 (see T16)</t>
  </si>
  <si>
    <t>T18</t>
  </si>
  <si>
    <t>Posted VM: cap applied flag</t>
  </si>
  <si>
    <t>EBA Q&amp;A 2023_6962</t>
  </si>
  <si>
    <t>text</t>
  </si>
  <si>
    <t>T19</t>
  </si>
  <si>
    <t>EU - options</t>
  </si>
  <si>
    <t>Swaption forward 1%: EAD (lambda = 0)</t>
  </si>
  <si>
    <t>Illustrative; EBA RTS figures (~761) cited, source not checked</t>
  </si>
  <si>
    <t>Cited figures: PFE ~483, EAD ~761 - source not opened here</t>
  </si>
  <si>
    <t>T20</t>
  </si>
  <si>
    <t>Negative forward: RTS lambda = 0.10% - min(P, K)</t>
  </si>
  <si>
    <t>Illustrative - unreviewed hand calculation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</si>
  <si>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</si>
  <si>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</si>
  <si>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</si>
  <si>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</si>
  <si>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</si>
  <si>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</si>
  <si>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</si>
  <si>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</si>
  <si>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</si>
  <si>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</si>
  <si>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</si>
  <si>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</si>
  <si>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</si>
  <si>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</si>
  <si>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</si>
  <si>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</si>
  <si>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</si>
  <si>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</si>
  <si>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</si>
  <si>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</si>
  <si>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</si>
  <si>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</si>
  <si>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</si>
  <si>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</si>
  <si>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</si>
  <si>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18%: Art. 280e(5), checked 2026-10-09</t>
  </si>
  <si>
    <t>T28</t>
  </si>
  <si>
    <t>Credit quality step 2 -&gt; SF 0.42%</t>
  </si>
  <si>
    <t>Summary</t>
  </si>
  <si>
    <t>Source status: "Official" = published CRE99 figure, rounded (tolerance covers rounding); it validates the Basel rules. Every other row is illustrative: an unreviewed hand calculation or a separate unreviewed calculation, not published - a regression anchor, not validation.</t>
  </si>
  <si>
    <t>Engineering scenarios after EBA Q&amp;A 2022_6354 (rejected) reproduce its pattern only; the decisive rule is the final Q&amp;A 2023_6962. The EBA swaption figures of T19 (~483 / ~761) are cited, not taken from a checked source: T19 is illustrative.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</si>
  <si>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</si>
  <si>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</si>
  <si>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</si>
  <si>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</si>
  <si>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</si>
  <si>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</si>
  <si>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</si>
  <si>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</si>
  <si>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 (text, not numerical validation)</t>
  </si>
  <si>
    <t>Normative hierarchy</t>
  </si>
  <si>
    <t>CRE52 + CRE52 FAQs; CRE99 / BCBS 279 Annex 4a worked examples.</t>
  </si>
  <si>
    <t>CRR Art. 273a-282 (Level 1) -&gt; Delegated Reg. (EU) 2021/931 as amended (incl. 2025/855) -&gt; EBA Q&amp;A.</t>
  </si>
  <si>
    <t>Different</t>
  </si>
  <si>
    <t>Interpretation route</t>
  </si>
  <si>
    <t>Regime on Params (default CRR), override per netting set. The engine applies each regime's rules; the SACCR_* functions take no regime argument (SACCR_LambdaCRR is the CRR lambda).</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</si>
  <si>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</si>
  <si>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</si>
  <si>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</si>
  <si>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</si>
  <si>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</si>
  <si>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</si>
  <si>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</si>
  <si>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</si>
  <si>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</si>
  <si>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</si>
  <si>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</si>
  <si>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</si>
  <si>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</si>
  <si>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</si>
  <si>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</si>
  <si>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</si>
  <si>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</si>
  <si>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</si>
  <si>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</si>
  <si>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</si>
  <si>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</si>
  <si>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</si>
  <si>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</si>
  <si>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</si>
  <si>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</si>
  <si>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</si>
  <si>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</si>
  <si>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</si>
  <si>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</si>
  <si>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</si>
  <si>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</si>
  <si>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</si>
  <si>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one hedging set per identical primary risk driver, Art. 277a(1)(f))</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</si>
  <si>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</si>
  <si>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</si>
  <si>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</si>
  <si>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</si>
  <si>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</si>
  <si>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</si>
  <si>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</si>
  <si>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</si>
  <si>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</si>
  <si>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</si>
  <si>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</si>
  <si>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</si>
  <si>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</si>
  <si>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</si>
  <si>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</si>
  <si>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</si>
  <si>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</si>
  <si>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</si>
  <si>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</si>
  <si>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IR options where P or K is zero or negative: shift price and strike by lambda, the presumed lowest extent to which rates in that currency can become negative, the same for all IR options in the currency; supervisors may recommend it per currency, banks may use lower values [CRE52.40 FAQ2]. No shift is defined for other options.</t>
  </si>
  <si>
    <t>Delegated Reg. 2021/931 Art. 5 (am. 2025/855), per option: IR lambda = max(0.10% - min(P,K); 0); commodity lambda = max(-(1 + 0.1) x min(P,K); 0).</t>
  </si>
  <si>
    <t>Delta differs when P or K is near or below zero</t>
  </si>
  <si>
    <t>CRR IR and commodity options: the RTS lambda is computed; a different value entered is ignored with a warning. BCBS IR options: lambda is entered per trade; one value per currency is the user's to ensure and is not checked. Other options (under BCBS, commodity options too): an entered lambda is accepted as a technical shift, which is not proof of regulatory permission. Rejected if P + lambda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</si>
  <si>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</si>
  <si>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</si>
  <si>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</si>
  <si>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</si>
  <si>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</si>
  <si>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</si>
  <si>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</si>
  <si>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T02 (IR 50%)</t>
  </si>
  <si>
    <t>Credit supervisory factors</t>
  </si>
  <si>
    <t>By rating AAA ... CCC and IG / SG index [CRE52.72]; no rule for unrated names.</t>
  </si>
  <si>
    <t>By credit quality step 1-6: 0.38 / 0.42 / 0.54 / 1.06 / 1.6 / 6.0% [Art. 280c(5), Table 3]; unrated issuer: internal rating mapped to a step, or 0.54% (1.6% where Art. 128 applies) [Art. 280c(5)(a)]. Multi-name: an index listed on a recognised exchange takes 0.38% or 1.06% by the credit quality of most constituents [Table 4]; any other multi-name position the notional-weighted average of its constituents' factors [Art. 280c(5)(b)].</t>
  </si>
  <si>
    <t>Same values, different mapping</t>
  </si>
  <si>
    <t>Unrated names; unlisted multi-name positions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</si>
  <si>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</si>
  <si>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</si>
  <si>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</si>
  <si>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</si>
  <si>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</si>
  <si>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</si>
  <si>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</si>
  <si>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</si>
  <si>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Basis: derivatives on the basis between two risk factors in a single currency, one hedging set per pair, SF x 0.5 (cross-currency floating legs are FX, not basis); volatility transactions: SF x 5 [CRE52.46-52.47].</t>
  </si>
  <si>
    <t>Separate hedging sets for (a) the volatility of a risk driver or the correlation between two, and (b) the difference between two risk drivers of one category, or two legs in one currency; a basis set only for an identical pair of positively correlated drivers, otherwise an ordinary set on one driver [Art. 277a(2)]; coefficients 5 / 0.5 [Art. 280].</t>
  </si>
  <si>
    <t>Nature Basis or Volatility with a hedging-set label: one set per label, coefficient 0.5 or 5. The engine relies on the label and does not prove eligibility: under CRR an identical pair of positively correlated drivers for a basis set, otherwise Nature Standard on one driver.</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</si>
  <si>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</si>
  <si>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</si>
  <si>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</si>
  <si>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</si>
  <si>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</si>
  <si>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</si>
  <si>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</si>
  <si>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to CRE52.1: the EAD may be zero only for sold options outside netting and margin agreements (premia paid upfront); for sold credit protection outside netting and margin agreements the EAD may be capped at unpaid premia, and such trades may be taken out of their netting set to apply the cap.</t>
  </si>
  <si>
    <t>Art. 274(5): zero for a netting set made only of sold options, with a market value always negative, all premia received upfront and no margin agreement. Art. 274(7): a credit derivative long the underlying (sold protection) capped at the unpaid premium when it is its own netting set without a margin agreement.</t>
  </si>
  <si>
    <t>Similar; conditions differ</t>
  </si>
  <si>
    <t>None, since neither reduction is applied</t>
  </si>
  <si>
    <t>Combinations of options</t>
  </si>
  <si>
    <t>CRE52.42(4): a payoff that is a combination of European options is treated as separate trades; CRE52.43 and CRE52.1 FAQ3 allow a multiple-payment option as single-payment options; linear products may not be decomposed.</t>
  </si>
  <si>
    <t>Art. 274(6): replace a finite linear combination of options by its single options, and a vanilla digital option by a 0.95K / 1.05K collar, without the CRE52.42(3) cap.</t>
  </si>
  <si>
    <t>Similar (digital options differ)</t>
  </si>
  <si>
    <t>Depends on booking</t>
  </si>
  <si>
    <t>Enter each option as a leg of one economic trade: same Economic trade ID, the MtM on the MtM leg (Y) and 0 on the others; legs in one asset class must all be options.</t>
  </si>
  <si>
    <t>VERIFIED (CRR)</t>
  </si>
  <si>
    <t>Several margin agreements in one netting set</t>
  </si>
  <si>
    <t>Sub-netting sets per margin agreement [CRE52.74]. Its FAQ, for margined and unmargined trades or several VM agreements in one netting set: one RC for the whole set with the margined formula (V and C of all trades, TH and MTA summed across agreements), the multiplier on the same V and C, and an aggregate add-on summed over sub-netting sets: all unmargined trades in one, margined trades grouped by MPOR.</t>
  </si>
  <si>
    <t>Art. 274(4): hypothetical sub-netting sets by MPOR (unmargined trades in one of their own); one RC over all trades per Art. 275(2), with VM, NICA, TH and MTA summed across agreements; add-ons per sub-netting set.</t>
  </si>
  <si>
    <t>Similar</t>
  </si>
  <si>
    <t>Test each regime separately</t>
  </si>
  <si>
    <t>Not implemented.</t>
  </si>
  <si>
    <t>One margin agreement over several netting sets</t>
  </si>
  <si>
    <t>One margin agreement over several netting sets: RC per agreement, PFE as the sum of unmargined netting-set PFEs [CRE52.75-52.76].</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</si>
  <si>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</si>
  <si>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</si>
  <si>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</si>
  <si>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</si>
  <si>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</si>
  <si>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</si>
  <si>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</si>
  <si>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</si>
  <si>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</si>
  <si>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</si>
  <si>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</si>
  <si>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type other than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</si>
  <si>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</si>
  <si>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</si>
  <si>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</si>
  <si>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</si>
  <si>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</si>
  <si>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IG_INDEX and SG_INDEX. Unrated: CQS3, CQS5 where Art. 128 applies, or the mapped step, which the user must substantiate [Art. 280c(5)(a)]. A listed index: IG_INDEX or SG_INDEX by its constituents. Other multi-name positions: no constituent-weighted factor; a basket must not be relabelled as an index or rounded to a step, and a new factor-table row makes the run WHAT-IF.</t>
  </si>
  <si>
    <t>Art. 280a(3): buckets on E (up to and including 1y, over 1 to 5y, over 5y); the bucket formula only, no sum of absolute bucket values.</t>
  </si>
  <si>
    <t>CRR netting sets cannot use the sum of absolutes; E of exactly 1 year is bucket 1 under CRR, bucket 2 under BCBS</t>
  </si>
  <si>
    <t>Common core. IRBucketOffset = FALSE applies to BCBS only; a CRR netting set with IR trades is then INVALID.</t>
  </si>
  <si>
    <t>Optional reductions not applied: sold options and sold protection are calculated as ordinary trades, so the EAD is not lower than with the reduction (it can be equal). Permitted, both being optional.</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</si>
  <si>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</si>
  <si>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rejected under CRR, where such a netting set must be entered as margined (Margined = Y) [Art. 272(7a)].</t>
  </si>
  <si>
    <t>MPOR floor, client clearing (BD)</t>
  </si>
  <si>
    <t>Posted VM: Basel cap uses NICA only -&gt; cap binds (~41)</t>
  </si>
  <si>
    <t>CRE52.2, CRE52.10</t>
  </si>
  <si>
    <t>Same as T17: both regimes cap with NICA only; cap ~41 &lt; margined ~377</t>
  </si>
  <si>
    <t>Not yet in the catalogue: the CRE99 margin-agreement RC examples (segregated vs non-segregated IM). Unrated names have no engine rule: they are entered as CQS3, CQS5 or the mapped step. One-way CSA, the client clearing role and the margin-agreement structures are covered by the input-validation tests run before release, not by this catalogue;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</si>
  <si>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</si>
  <si>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both caps use NICA (posted-VM scenario ~41m in both regimes).</t>
  </si>
  <si>
    <t>Implemented: the cap uses C = NICA in both regimes. Results keeps the margined C, RC, add-ons, multiplier and PFE in their ordinary columns and shows the cap basis in its own columns (EAD cap, C, RC and multiplier on the cap basis, unmargined add-on); EAD is the lower of the two, with Cap applied = Y when the cap binds.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</si>
  <si>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</si>
  <si>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</si>
  <si>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</si>
  <si>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</si>
  <si>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</si>
  <si>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</si>
  <si>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 disputes)</t>
  </si>
  <si>
    <t>Client: 5 BD under CRR, 10 BD under BCBS (conservative reading). Disputes with N &gt; 1: CRR minimum 2F + N - 1, BCBS 2(F + N - 1)</t>
  </si>
  <si>
    <t>MPOR floors are Params values. CM: 5 BD in both regimes [CRE54.12; Art. 279c(1)]. CLIENT: 5 BD under CRR; 10 BD under BCBS, a conservative interpretation adopted because CRE54.12, which the CRE54.2 footnote applies, names only the clearing member [CRE54.8(2), CRE54.14-.17]. Disputes double F + N - 1 in both regimes, at or above the CRR minimum. Large or illiquid: 20 + N - 1, also where the trade-count floor could be waived. Roles CCP and MULTI (multi-level client structure) are rejected.</t>
  </si>
  <si>
    <t>Not implemented: declare MIXED under Margin agreements; the netting set is rejected.</t>
  </si>
  <si>
    <t>Art. 275(3) (RC) and Art. 278(2) (PFE as sum of unmargined PFEs).</t>
  </si>
  <si>
    <t>Not implemented: declare SHARED under Margin agreements; the netting set is rejected.</t>
  </si>
  <si>
    <t>ReadMe</t>
  </si>
  <si>
    <t xml:space="preserve">One row per legally enforceable netting set. Collateral after haircuts, in reporting currency; VM / NICA positive = held, negative = posted.
Client clearing role: N, CM (the bank is the clearing member) or CLIENT; CCP (facing a CCP) and MULTI (multi-level client structure) are rejected.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</si>
  <si>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</si>
  <si>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</si>
  <si>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</si>
  <si>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</si>
  <si>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</si>
  <si>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</si>
  <si>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</si>
  <si>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</si>
  <si>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</si>
  <si>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</si>
  <si>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</si>
  <si>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</si>
  <si>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</si>
  <si>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</si>
  <si>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</si>
  <si>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</si>
  <si>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</si>
  <si>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</si>
  <si>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</si>
  <si>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</si>
  <si>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</si>
  <si>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</si>
  <si>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</si>
  <si>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</si>
  <si>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</si>
  <si>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</si>
  <si>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</si>
  <si>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</si>
  <si>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</si>
  <si>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279a(1)(b)</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</si>
  <si>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</si>
  <si>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</si>
  <si>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</si>
  <si>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</si>
  <si>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</si>
  <si>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</si>
  <si>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</si>
  <si>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</si>
  <si>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</si>
  <si>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</si>
  <si>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</si>
  <si>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</si>
  <si>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</si>
  <si>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</si>
  <si>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</si>
  <si>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</si>
  <si>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</si>
  <si>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</si>
  <si>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</si>
  <si>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</si>
  <si>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</si>
  <si>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</si>
  <si>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</si>
  <si>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</si>
  <si>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</si>
  <si>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</si>
  <si>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</si>
  <si>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</si>
  <si>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</si>
  <si>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runs the checks only: it rewrites Checks and clears the other output sheets and both reconciliations;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</si>
  <si>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</si>
  <si>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</si>
  <si>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</si>
  <si>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</si>
  <si>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</si>
  <si>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</si>
  <si>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</si>
  <si>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</si>
  <si>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</si>
  <si>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</si>
  <si>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and multi-level client structures (roles CCP and MULTI are rejected),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</si>
  <si>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</si>
  <si>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</si>
  <si>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Microsoft 365 or Excel 2016 and later, Windows 64-bit; 32-bit is kept compiling but not certified; Mac, Excel for the web and Excel 2013 or earlier are not supported.</t>
  </si>
  <si>
    <t>Bank netting-set results</t>
  </si>
  <si>
    <t>Enter the bank's own figures per netting set. Run SA-CCR (on Results or Trades)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</si>
  <si>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</si>
  <si>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</si>
  <si>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</si>
  <si>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</si>
  <si>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</si>
  <si>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absolute bank figure; not applied when it is 0. Amounts match within either tolerance; M, SD, delta and the maturity factors only within this one, or when equal.</t>
  </si>
  <si>
    <t>Regime (BCBS / CRR)</t>
  </si>
  <si>
    <t>Reconciliation</t>
  </si>
  <si>
    <t>Bank row</t>
  </si>
  <si>
    <t>Bank regime</t>
  </si>
  <si>
    <t>Calculator regime</t>
  </si>
  <si>
    <t>Calculator status</t>
  </si>
  <si>
    <t>Measure</t>
  </si>
  <si>
    <t>Bank figure (amounts in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</si>
  <si>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</si>
  <si>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</si>
  <si>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</si>
  <si>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</si>
  <si>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</si>
  <si>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</si>
  <si>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</si>
  <si>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(on Results or Trades)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</si>
  <si>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</si>
  <si>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</si>
  <si>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</si>
  <si>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</si>
  <si>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</si>
  <si>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</si>
  <si>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</si>
  <si>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</si>
  <si>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press Run SA-CCR.</t>
  </si>
  <si>
    <t>No reconciliation yet: enter bank figures on BankNettingSets and press Run SA-CCR (on Results or Trades).</t>
  </si>
  <si>
    <t>No reconciliation yet: enter bank figures on BankTrades and press Run SA-CCR (on Results or Trades).</t>
  </si>
  <si>
    <t>CRE52.51 / CRR Art. 285(3)</t>
  </si>
  <si>
    <t>CRE52.72 / CRR Art. 280e(5); RTS 2021/931 Art. 5(3) (vol)</t>
  </si>
  <si>
    <t>CRE52.72 / CRR Art. 280e(5); RTS 2021/931 Art. 5(3) (vol)</t>
  </si>
  <si>
    <t>CRE52.72 / CRR Art. 280e(5); RTS 2021/931 Art. 5(3) (vol)</t>
  </si>
  <si>
    <t>CRE52.72 / CRR Art. 280e(5); RTS 2021/931 Art. 5(3) (vol)</t>
  </si>
  <si>
    <t>CRE52.72 / CRR Art. 280e(5); RTS 2021/931 Art. 5(3) (vol)</t>
  </si>
  <si>
    <t>9m WTI forward (CRE99 treats WTI and Brent as one type, crude oil)</t>
  </si>
  <si>
    <t>9m WTI forward (CRE99 treats WTI and Brent as one type, crude oil)</t>
  </si>
  <si>
    <t>Trades used</t>
  </si>
  <si>
    <t>Figures basis</t>
  </si>
  <si>
    <t>Of the absolute bank figure; not applied when it is 0. Amounts match within either tolerance; the multiplier only within this one, or when equal.</t>
  </si>
  <si>
    <t>Bank figure (amounts in units)</t>
  </si>
  <si>
    <t>CRE52.40; CRR-RTS Art. 5(1) (lambda 0 here)</t>
  </si>
  <si>
    <t>Basel - cap</t>
  </si>
  <si>
    <t>Illustrative - separate unreviewed calculation</t>
  </si>
  <si>
    <t>Illustrative - separate unreviewed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</si>
  <si>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</si>
  <si>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</si>
  <si>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</si>
  <si>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</si>
  <si>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</si>
  <si>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</si>
  <si>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</si>
  <si>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T03; IR bucket boundaries also tested before release</t>
  </si>
  <si>
    <t>Reference card</t>
  </si>
  <si>
    <t>Same coefficients, different conditions</t>
  </si>
  <si>
    <t>Membership of basis sets can differ</t>
  </si>
  <si>
    <t>T11 (remargining); InputValidation netting-set-clearing-*; illustrative-clearing-*-listed</t>
  </si>
  <si>
    <t>Equity and commodity adjusted notional</t>
  </si>
  <si>
    <t>Price of one unit x number of units [CRE52.36]; for volatility transactions, the volatility or variance replaces the price and the contractual notional the units [CRE52.36 FAQ1].</t>
  </si>
  <si>
    <t>Price of one unit x number of units; where the contract is expressed as a notional amount, that amount [Art. 279b(1)(c)].</t>
  </si>
  <si>
    <t>Different (notional contracts)</t>
  </si>
  <si>
    <t>Contracts stated as a notional amount</t>
  </si>
  <si>
    <t>One notional per row, prepared by the user before entry: current price x units (BCBS), or under CRR the contractual notional where the contract is expressed as one. A historical notional is not interchangeable with current units.</t>
  </si>
  <si>
    <t>Variable notional or quantity</t>
  </si>
  <si>
    <t>Notionals that are formulas of market values at current market values; IR and credit: time-weighted average notional over the remaining life [CRE52.37(1)-(2)]. Not for notionals that vary with prices (FX, equity, commodity).</t>
  </si>
  <si>
    <t>All categories: deterministic notionals or units averaged, weighted by time; stochastic ones fixed by current market values in the formula [Art. 279b(2)(a)].</t>
  </si>
  <si>
    <t>Different (scope)</t>
  </si>
  <si>
    <t>Amortising, accreting or price-dependent notionals</t>
  </si>
  <si>
    <t>No schedule is read: the workbook does not derive amounts from the contract; enter the average or fixed notional of each regime.</t>
  </si>
  <si>
    <t>Multiple exchanges and leverage</t>
  </si>
  <si>
    <t>Leveraged swaps at the equivalent unleveraged notional; notional x number of exchanges of principal in the contract [CRE52.37(3)-(4)].</t>
  </si>
  <si>
    <t>Notional x number of remaining payments for multiple notional exchanges; multiplied cash flows or underlyings adjusted [Art. 279b(2)(b), (c)].</t>
  </si>
  <si>
    <t>Different</t>
  </si>
  <si>
    <t>Counted: exchanges in the contract (BCBS), remaining payments (CRR)</t>
  </si>
  <si>
    <t>Enter the adjusted notional per regime; count principal exchanges or payments as the rule says, not every coupon.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</si>
</sst>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1">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xf numFmtId="0" fontId="14" fillId="0" borderId="0" xfId="0" applyFont="1" applyAlignment="1">
      <alignment vertical="center" wrapText="1"/>
    </xf>
  </cellXfs>
  <cellStyles count="1">
    <cellStyle name="Normal" xfId="0" builtinId="0"/>
  </cellStyles>
  <dxfs count="20">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color rgb="FF375623"/>
      </font>
    </dxf>
    <dxf>
      <font>
        <b/>
        <color rgb="FF9C0006"/>
      </font>
    </dxf>
    <dxf>
      <font>
        <b val="0"/>
        <color theme="1"/>
      </font>
    </dxf>
    <dxf>
      <font>
        <b/>
        <color rgb="FFC00000"/>
      </font>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dr:from>
      <xdr:col>2</xdr:col>
      <xdr:colOff>0</xdr:colOff>
      <xdr:row>76</xdr:row>
      <xdr:rowOff>95250</xdr:rowOff>
    </xdr:from>
    <xdr:ext cx="15621000" cy="12534900"/>
    <xdr:pic>
      <xdr:nvPicPr>
        <xdr:cNvPr id="2" name="Reference card" descr="K-SACCR one-page reference card: SA-CCR formulas and supervisory parameters under Basel CRE52 and the EU CRR"/>
        <xdr:cNvPicPr>
          <a:picLocks noChangeAspect="1"/>
        </xdr:cNvPicPr>
      </xdr:nvPicPr>
      <xdr:blipFill>
        <a:blip r:embed="rId1"/>
        <a:stretch>
          <a:fillRect/>
        </a:stretch>
      </xdr:blipFill>
      <xdr:spPr>
        <a:xfrm>
          <a:off x="0" y="0"/>
          <a:ext cx="15621000" cy="12534900"/>
        </a:xfrm>
        <a:prstGeom prst="rect">
          <a:avLst/>
        </a:prstGeom>
      </xdr:spPr>
    </xdr:pic>
    <xdr:clientData fLocksWithSheet="1"/>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6"/>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50"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45.950000000000003" customHeight="1"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30" customHeight="1" outlineLevel="1" x14ac:dyDescent="0.25">
      <c r="C19" s="105" t="s">
        <v>21</v>
      </c>
      <c r="D19" s="109" t="s">
        <v>22</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HYPERLINK("#README!C114","One-page reference card: all formulas and parameters (below, on this sheet)")</f>
        <v>One-page reference card: all formulas and parameters (below, on this sheet)</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52</v>
      </c>
      <c r="D40" s="109" t="s">
        <v>864</v>
      </c>
    </row>
    <row r="41" spans="3:4" ht="30" customHeight="1" outlineLevel="1" x14ac:dyDescent="0.25">
      <c r="C41" s="105" t="s">
        <v>53</v>
      </c>
      <c r="D41" s="109" t="s">
        <v>54</v>
      </c>
    </row>
    <row r="42" spans="3:4" ht="30" customHeight="1" outlineLevel="1" x14ac:dyDescent="0.25">
      <c r="C42" s="105" t="s">
        <v>55</v>
      </c>
      <c r="D42" s="109" t="s">
        <v>56</v>
      </c>
    </row>
    <row r="43" spans="3:4" ht="30" customHeight="1" outlineLevel="1" x14ac:dyDescent="0.25">
      <c r="C43" s="105" t="s">
        <v>57</v>
      </c>
      <c r="D43" s="109" t="s">
        <v>58</v>
      </c>
    </row>
    <row r="44" spans="3:4" ht="30" customHeight="1" outlineLevel="1" x14ac:dyDescent="0.25">
      <c r="C44" s="105" t="s">
        <v>59</v>
      </c>
      <c r="D44" s="109" t="s">
        <v>60</v>
      </c>
    </row>
    <row r="45" spans="3:4" ht="30" customHeight="1" outlineLevel="1" x14ac:dyDescent="0.25">
      <c r="C45" s="105" t="s">
        <v>892</v>
      </c>
      <c r="D45" s="109" t="s">
        <v>893</v>
      </c>
    </row>
    <row r="46" spans="3:4" ht="30" customHeight="1" outlineLevel="1" x14ac:dyDescent="0.25">
      <c r="C46" s="105" t="s">
        <v>882</v>
      </c>
      <c r="D46" s="109" t="s">
        <v>894</v>
      </c>
    </row>
    <row r="47" spans="3:4" ht="30" customHeight="1" outlineLevel="1" x14ac:dyDescent="0.25">
      <c r="C47" s="105" t="s">
        <v>900</v>
      </c>
      <c r="D47" s="109" t="s">
        <v>901</v>
      </c>
    </row>
    <row r="48" spans="3:4" ht="30" customHeight="1" outlineLevel="1" x14ac:dyDescent="0.25">
      <c r="C48" s="105" t="s">
        <v>902</v>
      </c>
      <c r="D48" s="109" t="s">
        <v>903</v>
      </c>
    </row>
    <row r="49" spans="3:4" ht="30" customHeight="1" outlineLevel="1" x14ac:dyDescent="0.25">
      <c r="C49" s="105" t="s">
        <v>61</v>
      </c>
      <c r="D49" s="109" t="s">
        <v>62</v>
      </c>
    </row>
    <row r="50" spans="3:4" ht="30" customHeight="1" outlineLevel="1" x14ac:dyDescent="0.25">
      <c r="C50" s="105" t="s">
        <v>853</v>
      </c>
      <c r="D50" s="109" t="s">
        <v>64</v>
      </c>
    </row>
    <row r="51" spans="3:4" ht="30" customHeight="1" outlineLevel="1" x14ac:dyDescent="0.25">
      <c r="C51" s="106" t="s">
        <v>65</v>
      </c>
      <c r="D51" s="110" t="s">
        <v>66</v>
      </c>
    </row>
    <row r="52" spans="3:4" ht="9.9499999999999993" customHeight="1" x14ac:dyDescent="0.25">
      <c r="C52" s="33"/>
      <c r="D52" s="34"/>
    </row>
    <row r="53" spans="3:4" ht="30" customHeight="1" x14ac:dyDescent="0.25">
      <c r="C53" s="31" t="s">
        <v>67</v>
      </c>
      <c r="D53" s="35"/>
    </row>
    <row r="54" spans="3:4" ht="30" customHeight="1" outlineLevel="1" x14ac:dyDescent="0.25">
      <c r="C54" s="104" t="s">
        <v>865</v>
      </c>
      <c r="D54" s="108" t="s">
        <v>68</v>
      </c>
    </row>
    <row r="55" spans="3:4" ht="30" customHeight="1" outlineLevel="1" x14ac:dyDescent="0.25">
      <c r="C55" s="105" t="s">
        <v>866</v>
      </c>
      <c r="D55" s="109" t="s">
        <v>34</v>
      </c>
    </row>
    <row r="56" spans="3:4" ht="30" customHeight="1" outlineLevel="1" x14ac:dyDescent="0.25">
      <c r="C56" s="105" t="s">
        <v>69</v>
      </c>
      <c r="D56" s="109" t="s">
        <v>70</v>
      </c>
    </row>
    <row r="57" spans="3:4" ht="30" customHeight="1" outlineLevel="1" x14ac:dyDescent="0.25">
      <c r="C57" s="105" t="s">
        <v>71</v>
      </c>
      <c r="D57" s="109" t="s">
        <v>72</v>
      </c>
    </row>
    <row r="58" spans="3:4" ht="30" customHeight="1" outlineLevel="1" x14ac:dyDescent="0.25">
      <c r="C58" s="105" t="s">
        <v>73</v>
      </c>
      <c r="D58" s="109" t="s">
        <v>74</v>
      </c>
    </row>
    <row r="59" spans="3:4" ht="30" customHeight="1" outlineLevel="1" x14ac:dyDescent="0.25">
      <c r="C59" s="105" t="s">
        <v>867</v>
      </c>
      <c r="D59" s="109" t="s">
        <v>75</v>
      </c>
    </row>
    <row r="60" spans="3:4" ht="30" customHeight="1" outlineLevel="1" x14ac:dyDescent="0.25">
      <c r="C60" s="105" t="s">
        <v>76</v>
      </c>
      <c r="D60" s="109" t="s">
        <v>77</v>
      </c>
    </row>
    <row r="61" spans="3:4" ht="30" customHeight="1" outlineLevel="1" x14ac:dyDescent="0.25">
      <c r="C61" s="105" t="s">
        <v>868</v>
      </c>
      <c r="D61" s="109" t="s">
        <v>78</v>
      </c>
    </row>
    <row r="62" spans="3:4" ht="30" customHeight="1" outlineLevel="1" x14ac:dyDescent="0.25">
      <c r="C62" s="105" t="s">
        <v>79</v>
      </c>
      <c r="D62" s="109" t="s">
        <v>80</v>
      </c>
    </row>
    <row r="63" spans="3:4" ht="30" customHeight="1" outlineLevel="1" x14ac:dyDescent="0.25">
      <c r="C63" s="106" t="s">
        <v>81</v>
      </c>
      <c r="D63" s="110" t="s">
        <v>82</v>
      </c>
    </row>
    <row r="64" spans="3:4" ht="9.9499999999999993" customHeight="1" x14ac:dyDescent="0.25">
      <c r="C64" s="33"/>
      <c r="D64" s="34"/>
    </row>
    <row r="65" spans="3:4" ht="30" customHeight="1" x14ac:dyDescent="0.25">
      <c r="C65" s="31" t="s">
        <v>83</v>
      </c>
      <c r="D65" s="35"/>
    </row>
    <row r="66" spans="3:4" ht="45.95" customHeight="1" outlineLevel="1" x14ac:dyDescent="0.25">
      <c r="C66" s="104" t="s">
        <v>84</v>
      </c>
      <c r="D66" s="108" t="s">
        <v>869</v>
      </c>
    </row>
    <row r="67" spans="3:4" ht="30" customHeight="1" outlineLevel="1" x14ac:dyDescent="0.25">
      <c r="C67" s="105" t="s">
        <v>765</v>
      </c>
      <c r="D67" s="109" t="s">
        <v>764</v>
      </c>
    </row>
    <row r="68" spans="3:4" ht="30" customHeight="1" outlineLevel="1" x14ac:dyDescent="0.25">
      <c r="C68" s="105" t="s">
        <v>85</v>
      </c>
      <c r="D68" s="109" t="s">
        <v>776</v>
      </c>
    </row>
    <row r="69" spans="3:4" ht="30" customHeight="1" outlineLevel="1" x14ac:dyDescent="0.25">
      <c r="C69" s="105" t="s">
        <v>86</v>
      </c>
      <c r="D69" s="109" t="s">
        <v>870</v>
      </c>
    </row>
    <row r="70" spans="3:4" ht="30" customHeight="1" outlineLevel="1" x14ac:dyDescent="0.25">
      <c r="C70" s="105" t="s">
        <v>87</v>
      </c>
      <c r="D70" s="109" t="s">
        <v>88</v>
      </c>
    </row>
    <row r="71" spans="3:4" ht="33.950000000000003" customHeight="1" outlineLevel="1" x14ac:dyDescent="0.25">
      <c r="C71" s="106" t="s">
        <v>89</v>
      </c>
      <c r="D71" s="110" t="s">
        <v>871</v>
      </c>
    </row>
    <row r="72" spans="3:4" ht="9.9499999999999993" customHeight="1" x14ac:dyDescent="0.25">
      <c r="C72" s="33"/>
      <c r="D72" s="34"/>
    </row>
    <row r="73" spans="3:4" ht="30" customHeight="1" x14ac:dyDescent="0.25">
      <c r="C73" s="31" t="s">
        <v>90</v>
      </c>
      <c r="D73" s="35"/>
    </row>
    <row r="74" spans="3:4" ht="45.950000000000003" customHeight="1" outlineLevel="1" x14ac:dyDescent="0.25">
      <c r="C74" s="107" t="s">
        <v>91</v>
      </c>
      <c r="D74" s="111" t="s">
        <v>872</v>
      </c>
    </row>
    <row r="75" spans="3:4" ht="9.9499999999999993" customHeight="1" x14ac:dyDescent="0.25">
      <c r="C75" s="33"/>
      <c r="D75" s="34"/>
    </row>
    <row r="76" spans="3:4" ht="30" customHeight="1" x14ac:dyDescent="0.25">
      <c r="C76" s="31" t="s">
        <v>932</v>
      </c>
      <c r="D76" s="35"/>
    </row>
  </sheetData>
  <pageMargins left="0.4" right="0.4" top="0.5" bottom="0.5" header="0.3" footer="0.3"/>
  <pageSetup paperSize="9"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908</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150</v>
      </c>
      <c r="G23" s="34"/>
      <c r="H23" s="34"/>
      <c r="I23" s="40" t="s">
        <v>144</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909</v>
      </c>
    </row>
    <row r="49" spans="3:11" ht="20.100000000000001" customHeight="1" x14ac:dyDescent="0.25">
      <c r="C49" s="4" t="s">
        <v>206</v>
      </c>
      <c r="D49" s="47" t="s">
        <v>42</v>
      </c>
      <c r="E49" s="47" t="s">
        <v>207</v>
      </c>
      <c r="F49" s="48">
        <v>0.18</v>
      </c>
      <c r="G49" s="49">
        <v>0.4</v>
      </c>
      <c r="H49" s="49">
        <v>0.7</v>
      </c>
      <c r="I49" s="41" t="s">
        <v>205</v>
      </c>
      <c r="J49" s="41" t="s">
        <v>160</v>
      </c>
      <c r="K49" s="40" t="s">
        <v>910</v>
      </c>
    </row>
    <row r="50" spans="3:11" ht="20.100000000000001" customHeight="1" x14ac:dyDescent="0.25">
      <c r="C50" s="4" t="s">
        <v>208</v>
      </c>
      <c r="D50" s="47" t="s">
        <v>42</v>
      </c>
      <c r="E50" s="47" t="s">
        <v>209</v>
      </c>
      <c r="F50" s="48">
        <v>0.18</v>
      </c>
      <c r="G50" s="49">
        <v>0.4</v>
      </c>
      <c r="H50" s="49">
        <v>0.7</v>
      </c>
      <c r="I50" s="41" t="s">
        <v>209</v>
      </c>
      <c r="J50" s="41" t="s">
        <v>160</v>
      </c>
      <c r="K50" s="40" t="s">
        <v>911</v>
      </c>
    </row>
    <row r="51" spans="3:11" ht="20.100000000000001" customHeight="1" x14ac:dyDescent="0.25">
      <c r="C51" s="4" t="s">
        <v>210</v>
      </c>
      <c r="D51" s="47" t="s">
        <v>42</v>
      </c>
      <c r="E51" s="47" t="s">
        <v>211</v>
      </c>
      <c r="F51" s="48">
        <v>0.18</v>
      </c>
      <c r="G51" s="49">
        <v>0.4</v>
      </c>
      <c r="H51" s="49">
        <v>0.7</v>
      </c>
      <c r="I51" s="41" t="s">
        <v>211</v>
      </c>
      <c r="J51" s="41" t="s">
        <v>160</v>
      </c>
      <c r="K51" s="40" t="s">
        <v>912</v>
      </c>
    </row>
    <row r="52" spans="3:11" ht="20.100000000000001" customHeight="1" x14ac:dyDescent="0.25">
      <c r="C52" s="4" t="s">
        <v>212</v>
      </c>
      <c r="D52" s="47" t="s">
        <v>42</v>
      </c>
      <c r="E52" s="47" t="s">
        <v>213</v>
      </c>
      <c r="F52" s="48">
        <v>0.18</v>
      </c>
      <c r="G52" s="49">
        <v>0.4</v>
      </c>
      <c r="H52" s="49">
        <v>0.7</v>
      </c>
      <c r="I52" s="41" t="s">
        <v>213</v>
      </c>
      <c r="J52" s="41" t="s">
        <v>160</v>
      </c>
      <c r="K52" s="40" t="s">
        <v>913</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9, 52.53)."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the supervisory duration SD,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client clearing, in business days: role CM in both regimes, CLIENT under CRR only (a BCBS client keeps the bilateral floor). Regulatory value 5 (CRE54.12, CRR Art. 279c(1)(b))."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the netting set is flagged large or illiquid (more than 5,000 trades, illiquid collateral or a hard-to-replace derivative), in business days. Regulatory value 20 (CRE52.51, CRR Art. 285(3))."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Threshold of the CRR lambda for IR options, as a percentage: lambda = max(threshold - min(P, K), 0). Value 0.1% (Del. Reg. 2021/931 Art. 5(2))."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Threshold of the CRR lambda for commodity options: lambda = max(-(1 + threshold) x min(P, K), 0). Value 0.10 (Del. Reg. 2021/931 Art. 5(2))."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4"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s>
  <sheetData>
    <row r="1" spans="2:19" ht="24" customHeight="1" x14ac:dyDescent="0.25">
      <c r="B1" s="24" t="s">
        <v>0</v>
      </c>
      <c r="C1" s="25"/>
      <c r="D1" s="26"/>
      <c r="E1" s="26"/>
      <c r="F1" s="26"/>
      <c r="G1" s="26"/>
      <c r="H1" s="26"/>
      <c r="I1" s="26"/>
      <c r="J1" s="26"/>
      <c r="K1" s="26"/>
      <c r="L1" s="26"/>
      <c r="M1" s="26"/>
      <c r="N1" s="26"/>
      <c r="O1" s="26"/>
      <c r="P1" s="26"/>
      <c r="Q1" s="26"/>
      <c r="S1" s="27"/>
    </row>
    <row r="2" spans="2:19" ht="26.1" customHeight="1" x14ac:dyDescent="0.25">
      <c r="B2" s="28" t="s">
        <v>232</v>
      </c>
      <c r="C2" s="29"/>
      <c r="D2" s="30"/>
      <c r="E2" s="30"/>
      <c r="F2" s="30"/>
      <c r="G2" s="30"/>
      <c r="H2" s="30"/>
      <c r="I2" s="30"/>
      <c r="J2" s="30"/>
      <c r="K2" s="30"/>
      <c r="L2" s="30"/>
      <c r="M2" s="30"/>
      <c r="N2" s="30"/>
      <c r="O2" s="30"/>
      <c r="P2" s="30"/>
      <c r="Q2" s="30"/>
      <c r="S2" s="27"/>
    </row>
    <row r="3" spans="2:19" ht="42" customHeight="1" x14ac:dyDescent="0.25">
      <c r="C3" s="130" t="s">
        <v>798</v>
      </c>
      <c r="D3"/>
      <c r="E3"/>
      <c r="F3"/>
      <c r="G3"/>
      <c r="H3"/>
      <c r="I3"/>
      <c r="J3"/>
      <c r="K3"/>
      <c r="L3"/>
      <c r="M3"/>
      <c r="N3"/>
      <c r="O3"/>
      <c r="P3"/>
      <c r="Q3"/>
    </row>
    <row r="4" spans="2:19" ht="9.9499999999999993" customHeight="1" x14ac:dyDescent="0.25">
      <c r="C4" s="40"/>
      <c r="D4"/>
      <c r="E4"/>
      <c r="F4"/>
      <c r="G4"/>
      <c r="H4"/>
      <c r="I4"/>
      <c r="J4"/>
      <c r="K4"/>
      <c r="L4"/>
      <c r="M4"/>
      <c r="N4"/>
      <c r="O4"/>
      <c r="P4"/>
      <c r="Q4"/>
    </row>
    <row r="5" spans="2:19" ht="9.9499999999999993" customHeight="1" x14ac:dyDescent="0.25">
      <c r="C5"/>
      <c r="D5"/>
      <c r="E5"/>
      <c r="F5"/>
      <c r="G5"/>
      <c r="H5"/>
      <c r="I5"/>
      <c r="J5"/>
      <c r="K5"/>
      <c r="L5"/>
      <c r="M5"/>
      <c r="N5"/>
      <c r="O5"/>
      <c r="P5"/>
      <c r="Q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mergeCells count="1">
    <mergeCell ref="C3:Q3"/>
  </mergeCells>
  <conditionalFormatting sqref="C7:C206">
    <cfRule type="expression" dxfId="12"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CLIENT, CCP or MULTI." promptTitle="Client clearing role" prompt="N = no client clearing. CM = the bank is the clearing member (5-day MPOR floor). CLIENT = the bank is the client: 5 days under CRR, 10 under BCBS. CCP = facing a CCP; MULTI = multi-level client structure: both rejected." sqref="F7:F206" xr:uid="{00000000-0002-0000-0200-000002000000}">
      <formula1>"N,CM,CLIENT,CCP,MULTI"</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1(1)-(2); CRR Art. 285(3))."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1(3); CRR Art. 285(4))."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under CRR so does VM posted (Art. 272(7a))."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leave out posted collateral that is segregated and bankruptcy remote (CRE52.17)."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regulatory value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50.75" style="34"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67"/>
      <c r="D3"/>
      <c r="E3" s="66"/>
      <c r="F3" s="66"/>
      <c r="G3" s="66"/>
      <c r="H3" s="66"/>
      <c r="I3" s="66"/>
      <c r="J3" s="66"/>
      <c r="K3" s="66"/>
      <c r="L3" s="66"/>
      <c r="M3"/>
      <c r="N3"/>
      <c r="O3"/>
      <c r="P3"/>
      <c r="Q3" s="66"/>
      <c r="R3" s="66"/>
      <c r="S3" s="66"/>
      <c r="T3" s="66"/>
      <c r="U3"/>
      <c r="V3"/>
      <c r="W3"/>
      <c r="X3"/>
      <c r="Y3"/>
      <c r="Z3" s="66"/>
      <c r="AA3" s="66"/>
      <c r="AB3"/>
    </row>
    <row r="4" spans="2:28"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68" t="s">
        <v>287</v>
      </c>
    </row>
    <row r="5" spans="2:28"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4" t="s">
        <v>293</v>
      </c>
    </row>
    <row r="6" spans="2:28"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4" t="s">
        <v>296</v>
      </c>
    </row>
    <row r="7" spans="2:28"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4" t="s">
        <v>300</v>
      </c>
    </row>
    <row r="8" spans="2:28"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4" t="s">
        <v>303</v>
      </c>
    </row>
    <row r="9" spans="2:28"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4" t="s">
        <v>306</v>
      </c>
    </row>
    <row r="10" spans="2:28"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4" t="s">
        <v>309</v>
      </c>
    </row>
    <row r="11" spans="2:28"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4" t="s">
        <v>914</v>
      </c>
    </row>
    <row r="12" spans="2:28"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4" t="s">
        <v>314</v>
      </c>
    </row>
    <row r="13" spans="2:28"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4" t="s">
        <v>317</v>
      </c>
    </row>
    <row r="14" spans="2:28"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4" t="s">
        <v>293</v>
      </c>
    </row>
    <row r="15" spans="2:28"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4" t="s">
        <v>296</v>
      </c>
    </row>
    <row r="16" spans="2:28"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4" t="s">
        <v>915</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B69" xr:uid="{00000000-0009-0000-0000-000003000000}"/>
  <conditionalFormatting sqref="C5:C5000">
    <cfRule type="expression" dxfId="11"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leg. A row with data but no Trade ID is rejected, and so is a repeated ID; either withholds the netting set's EAD."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EUR-INFL for inflation). FX: pair (EUR/USD); options in market order (USD/JPY, not JPY/USD). CR, EQ: issuer or index. CO: commodity type. OT: primary risk driver.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Trade notional, not adjusted: the engine applies the supervisory duration (IR, CR).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31(1)); blank = end date, or the option expiry if that is blank too."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Shift added to P and K when either is zero or negative (CRE52.40 FAQ2). Under CRR, IR and commodity options use the RTS lambda instead; a different value entered here is ignored with a warning."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1)."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1)."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or CRR credit quality step, credit or equity index type, or commodity category (e.g. OIL_GAS),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blank = reporting currency. FX trades: one of the pair's currencie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ResultsStatusText(SACCR_RunInputs,NettingSets!$C:$Q,Trades!$C:$AA,Params!$1:$1048576)</f>
        <v>No results: press Run SA-CCR.</v>
      </c>
      <c r="G5" s="9"/>
    </row>
    <row r="6" spans="2:30" ht="42" customHeight="1" x14ac:dyDescent="0.25">
      <c r="C6" s="127" t="s">
        <v>233</v>
      </c>
      <c r="D6" s="127" t="s">
        <v>234</v>
      </c>
      <c r="E6" s="128" t="s">
        <v>141</v>
      </c>
      <c r="F6" s="128" t="s">
        <v>431</v>
      </c>
      <c r="G6" s="128" t="s">
        <v>916</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conditionalFormatting sqref="C7:AD100000">
    <cfRule type="expression" dxfId="19" priority="2">
      <formula>OR(LEFT($AD7,7)="INVALID",LEFT($AD7,10)="INCOMPLETE")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917</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row>
    <row r="6" spans="2:28" x14ac:dyDescent="0.25">
      <c r="C6" s="4"/>
      <c r="D6" s="6"/>
      <c r="E6" s="125"/>
      <c r="F6" s="6"/>
      <c r="G6" s="6"/>
    </row>
    <row r="7" spans="2:28" x14ac:dyDescent="0.25">
      <c r="C7" s="4"/>
      <c r="D7" s="6"/>
      <c r="E7" s="125"/>
      <c r="F7" s="6"/>
      <c r="G7" s="6"/>
    </row>
    <row r="8" spans="2:28" x14ac:dyDescent="0.25">
      <c r="C8" s="4"/>
      <c r="D8" s="6"/>
      <c r="E8" s="125"/>
      <c r="F8" s="6"/>
      <c r="G8" s="6"/>
    </row>
    <row r="9" spans="2:28" x14ac:dyDescent="0.25">
      <c r="C9" s="4"/>
      <c r="D9" s="6"/>
      <c r="F9" s="6"/>
      <c r="G9" s="6"/>
    </row>
    <row r="10" spans="2:28" x14ac:dyDescent="0.25">
      <c r="C10" s="4"/>
      <c r="D10" s="6"/>
      <c r="F10" s="6"/>
      <c r="G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918</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No row with this ID will be compared." promptTitle="Netting set ID" prompt="The bank's ID of the netting set, as on NettingSets. A repeated ID makes every row with it DUPLICATE: none is compared." sqref="C9:C208" xr:uid="{00000000-0002-0000-0900-000003000000}">
      <formula1>COUNTIF($C$9:$C$208,C9)=1</formula1>
    </dataValidation>
    <dataValidation type="list" allowBlank="1" showInputMessage="1" showErrorMessage="1" errorTitle="Invalid regime" error="Choose BCBS or CRR." promptTitle="Regime" prompt="Required: BCBS or CRR, the regime of the bank's figures. Without it the row is INVALID INPUT; a regime other than the one on Results is REGIME MISMATCH,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at most 1; not scaled. Blank = not compar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ReconciliationStatusText(SACCR_ReconInputs,SACCR_RunInputs,BankNettingSets!$1:$1048576,NettingSets!$C:$Q,Trades!$C:$AA,Params!$1:$1048576)</f>
        <v>No reconciliation: enter bank figures on BankNettingSets and press Run SA-CCR (on Results or Trades).</v>
      </c>
    </row>
    <row r="6" spans="2:14" ht="42" customHeight="1" x14ac:dyDescent="0.25">
      <c r="C6" s="127" t="s">
        <v>233</v>
      </c>
      <c r="D6" s="128" t="s">
        <v>883</v>
      </c>
      <c r="E6" s="128" t="s">
        <v>884</v>
      </c>
      <c r="F6" s="128" t="s">
        <v>885</v>
      </c>
      <c r="G6" s="127" t="s">
        <v>886</v>
      </c>
      <c r="H6" s="128" t="s">
        <v>887</v>
      </c>
      <c r="I6" s="128" t="s">
        <v>919</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No row with this ID will be compared." promptTitle="Trade ID" prompt="The Trade ID of the leg, as on Trades. A repeated ID makes every row with it DUPLICATE: none is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TradeReconciliationStatusText(SACCR_TradeReconInputs,SACCR_RunInputs,BankTrades!$1:$1048576,NettingSets!$C:$Q,Trades!$C:$AA,Params!$1:$1048576)</f>
        <v>No reconciliation: enter bank figures on BankTrades and press Run SA-CCR (on Results or Trades).</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-0.2694</v>
      </c>
      <c r="M8" s="5" t="s">
        <v>538</v>
      </c>
      <c r="N8" s="19">
        <v>5.0000000000000002E-5</v>
      </c>
      <c r="O8" s="20">
        <f>IFERROR(INDEX(TradeCalc!$C$6:$AA$3001,MATCH($J8,TradeCalc!$C$6:$C$3001,0),MATCH($K8,TradeCalc!$C$5:$AA$5,0)),"n/a")</f>
        <v>-0.26939521771053271</v>
      </c>
      <c r="P8" s="19">
        <f t="shared" si="0"/>
        <v>4.7822894672861006E-6</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922</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921</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923</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924</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925</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926</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927</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928</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929</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930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920</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Table 1; IR and commodity options: RTS 2021/931 Art. 5(3))."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Protection bought" prompt="TRUE = protection bought (positive delta); FALSE = protection sold (CRE52.41; CRR Art. 279a(1)(b))."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BCBS: under 1 year, 1 to 5, over 5 years, CRE52.57; CRR: bucket 1 includes 1 year, Art. 280a(3))."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7; CRR Art. 272(12a),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8.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104"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116"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116"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141" customHeight="1" x14ac:dyDescent="0.25">
      <c r="C21" s="82">
        <v>16</v>
      </c>
      <c r="D21" s="83" t="s">
        <v>720</v>
      </c>
      <c r="E21" s="84" t="s">
        <v>721</v>
      </c>
      <c r="F21" s="84" t="s">
        <v>722</v>
      </c>
      <c r="G21" s="85" t="s">
        <v>791</v>
      </c>
      <c r="H21" s="84" t="s">
        <v>792</v>
      </c>
      <c r="I21" s="84" t="s">
        <v>793</v>
      </c>
      <c r="J21" s="86" t="s">
        <v>935</v>
      </c>
      <c r="K21" s="87" t="s">
        <v>648</v>
      </c>
    </row>
    <row r="22" spans="3:11" ht="92" customHeight="1" x14ac:dyDescent="0.25">
      <c r="C22" s="82">
        <v>17</v>
      </c>
      <c r="D22" s="83" t="s">
        <v>723</v>
      </c>
      <c r="E22" s="84" t="s">
        <v>724</v>
      </c>
      <c r="F22" s="84" t="s">
        <v>725</v>
      </c>
      <c r="G22" s="85" t="s">
        <v>933</v>
      </c>
      <c r="H22" s="84" t="s">
        <v>934</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931</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8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92"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80" customHeight="1" x14ac:dyDescent="0.25">
      <c r="C31" s="82">
        <v>26</v>
      </c>
      <c r="D31" s="83" t="s">
        <v>936</v>
      </c>
      <c r="E31" s="84" t="s">
        <v>937</v>
      </c>
      <c r="F31" s="84" t="s">
        <v>938</v>
      </c>
      <c r="G31" s="88" t="s">
        <v>939</v>
      </c>
      <c r="H31" s="84" t="s">
        <v>940</v>
      </c>
      <c r="I31" s="84" t="s">
        <v>941</v>
      </c>
      <c r="J31" s="86" t="s">
        <v>647</v>
      </c>
      <c r="K31" s="87" t="s">
        <v>648</v>
      </c>
    </row>
    <row r="32" spans="3:11" ht="55" customHeight="1" x14ac:dyDescent="0.25">
      <c r="C32" s="82">
        <v>27</v>
      </c>
      <c r="D32" s="83" t="s">
        <v>942</v>
      </c>
      <c r="E32" s="84" t="s">
        <v>943</v>
      </c>
      <c r="F32" s="84" t="s">
        <v>944</v>
      </c>
      <c r="G32" s="88" t="s">
        <v>945</v>
      </c>
      <c r="H32" s="84" t="s">
        <v>946</v>
      </c>
      <c r="I32" s="84" t="s">
        <v>947</v>
      </c>
      <c r="J32" s="86" t="s">
        <v>647</v>
      </c>
      <c r="K32" s="87" t="s">
        <v>648</v>
      </c>
    </row>
    <row r="33" spans="3:11" ht="50" customHeight="1" x14ac:dyDescent="0.25">
      <c r="C33" s="82">
        <v>28</v>
      </c>
      <c r="D33" s="83" t="s">
        <v>948</v>
      </c>
      <c r="E33" s="84" t="s">
        <v>949</v>
      </c>
      <c r="F33" s="84" t="s">
        <v>950</v>
      </c>
      <c r="G33" s="88" t="s">
        <v>951</v>
      </c>
      <c r="H33" s="84" t="s">
        <v>952</v>
      </c>
      <c r="I33" s="84" t="s">
        <v>953</v>
      </c>
      <c r="J33" s="86" t="s">
        <v>647</v>
      </c>
      <c r="K33" s="87" t="s">
        <v>648</v>
      </c>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3" xr:uid="{00000000-0009-0000-0000-00000B000000}"/>
  <conditionalFormatting sqref="G6:G200">
    <cfRule type="expression" dxfId="15" priority="1">
      <formula>LEFT(TRIM(G6),4)="Same"</formula>
    </cfRule>
    <cfRule type="expression" dxfId="16" priority="2">
      <formula>AND(LEN(TRIM(G6))&gt;0,LEFT(TRIM(G6),4)&lt;&gt;"Same")</formula>
    </cfRule>
  </conditionalFormatting>
  <conditionalFormatting sqref="K6:K200">
    <cfRule type="expression" dxfId="17" priority="3">
      <formula>LEFT(TRIM(K6),8)="VERIFIED"</formula>
    </cfRule>
    <cfRule type="expression" dxfId="18" priority="4">
      <formula>AND(LEN(TRIM(K6))&gt;0,LEFT(TRIM(K6),8)&lt;&gt;"VERIFIED")</formula>
    </cfRule>
  </conditionalFormatting>
  <pageMargins left="0.4" right="0.4" top="0.5" bottom="0.5" header="0.3" footer="0.3"/>
  <pageSetup paperSize="9" fitToHeight="0" orientation="landscape"/>
</worksheet>
</file>