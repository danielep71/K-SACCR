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drawings/drawing2.xml" ContentType="application/vnd.openxmlformats-officedocument.drawing+xml"/>
  <Override PartName="/xl/ctrlProps/ctrlProp4.xml" ContentType="application/vnd.ms-excel.controlproperties+xml"/>
  <Override PartName="/xl/ctrlProps/ctrlProp5.xml" ContentType="application/vnd.ms-excel.controlproperties+xml"/>
  <Override PartName="/xl/ctrlProps/ctrlProp6.xml" ContentType="application/vnd.ms-excel.controlproperties+xml"/>
  <Override PartName="/xl/drawings/drawing3.xml" ContentType="application/vnd.openxmlformats-officedocument.drawing+xml"/>
  <Override PartName="/xl/ctrlProps/ctrlProp7.xml" ContentType="application/vnd.ms-excel.controlproperties+xml"/>
  <Override PartName="/xl/ctrlProps/ctrlProp8.xml" ContentType="application/vnd.ms-excel.controlproperties+xml"/>
  <Override PartName="/xl/ctrlProps/ctrlProp9.xml" ContentType="application/vnd.ms-excel.controlpropertie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workbookPr codeName="ThisWorkbook" defaultThemeVersion="124226"/>
  <bookViews>
    <workbookView xWindow="-120" yWindow="-120" windowWidth="29040" windowHeight="17520" xr2:uid="{00000000-000D-0000-FFFF-FFFF00000000}"/>
  </bookViews>
  <sheets>
    <sheet name="README" sheetId="1" r:id="rId1"/>
    <sheet name="Params" sheetId="2" r:id="rId2"/>
    <sheet name="NettingSets" sheetId="3" r:id="rId3"/>
    <sheet name="Trades" sheetId="4" r:id="rId4"/>
    <sheet name="Results" sheetId="5" r:id="rId5"/>
    <sheet name="HedgingSets" sheetId="6" r:id="rId6"/>
    <sheet name="Buckets" sheetId="7" r:id="rId7"/>
    <sheet name="TradeCalc" sheetId="8" r:id="rId8"/>
    <sheet name="Checks" sheetId="9" r:id="rId9"/>
    <sheet name="TestCatalogue" sheetId="10" r:id="rId10"/>
    <sheet name="Tests" sheetId="11" r:id="rId11"/>
    <sheet name="Basel_vs_CRR" sheetId="12" r:id="rId12"/>
  </sheets>
  <definedNames>
    <definedName name="_xlnm._FilterDatabase" localSheetId="11" hidden="1">Basel_vs_CRR!$C$5:$K$30</definedName>
    <definedName name="_xlnm._FilterDatabase" localSheetId="3" hidden="1">Trades!$C$4:$AB$69</definedName>
    <definedName name="Alpha">Params!$E$8</definedName>
    <definedName name="AsOfDate">Params!$E$6</definedName>
    <definedName name="BasisFactor">Params!$E$17</definedName>
    <definedName name="BusinessDaysPerYear">Params!$E$11</definedName>
    <definedName name="DaysPerYear">Params!$E$10</definedName>
    <definedName name="FX_Table">Params!$C$57:$E$62</definedName>
    <definedName name="IRBucketOffset">Params!$E$22</definedName>
    <definedName name="IRCorrBucket12">Params!$E$19</definedName>
    <definedName name="IRCorrBucket13">Params!$E$21</definedName>
    <definedName name="IRCorrBucket23">Params!$E$20</definedName>
    <definedName name="LambdaThresholdCO">Params!$E$25</definedName>
    <definedName name="LambdaThresholdIR">Params!$E$24</definedName>
    <definedName name="MinMaturityBD">Params!$E$12</definedName>
    <definedName name="MPORFloorBilateral">Params!$E$14</definedName>
    <definedName name="MPORFloorCleared">Params!$E$15</definedName>
    <definedName name="MPORFloorLarge">Params!$E$16</definedName>
    <definedName name="MultiplierFloor">Params!$E$9</definedName>
    <definedName name="NettingSets_Header">NettingSets!$C$6</definedName>
    <definedName name="Params_Code">Params!$C$5</definedName>
    <definedName name="Params_Value">Params!$E$5</definedName>
    <definedName name="Regime">Params!$E$23</definedName>
    <definedName name="ReportingCcy">Params!$E$7</definedName>
    <definedName name="SACCR_RunInputs" hidden="1">""</definedName>
    <definedName name="SDFloorBD">Params!$E$13</definedName>
    <definedName name="SF_Table">Params!$C$28:$K$54</definedName>
    <definedName name="Trades_Header">Trades!$C$4</definedName>
    <definedName name="VolatilityFactor">Params!$E$18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<sst xmlns="http://schemas.openxmlformats.org/spreadsheetml/2006/main" uniqueCount="859">
  <si>
    <t>SA-CCR Calculator</t>
  </si>
  <si>
    <t>Standardised approach for counterparty credit risk - common Basel CRE52 core with an EU CRR (Art. 274-280f) rules layer. VBA engine v1.0.0.</t>
  </si>
  <si>
    <t>How to use</t>
  </si>
  <si>
    <t>1. Enable macros</t>
  </si>
  <si>
    <t>Open the .xlsm, click "Enable Content". If Excel shows "Microsoft has blocked macros", close the file, right-click it &gt; Properties &gt; tick "Unblock", reopen.</t>
  </si>
  <si>
    <t>2. Parameters</t>
  </si>
  <si>
    <t>Params: reporting date, reporting currency, default Regime (CRR or BCBS), regulatory constants, supervisory table and FX rates (units of reporting currency per 1 unit). Yellow cells are inputs.</t>
  </si>
  <si>
    <t>3. Netting sets</t>
  </si>
  <si>
    <t>NettingSets: one row per netting set - margin agreement flags, MPOR drivers, collateral (net VM held, NICA), threshold, MTA and an optional Regime override. Collateral is entered after haircuts, in reporting currency.</t>
  </si>
  <si>
    <t>4. Trades</t>
  </si>
  <si>
    <t>Trades: one row per derivative. Dropdowns guide the classification. Amounts can be in any currency of the FX table.</t>
  </si>
  <si>
    <t>5. Run</t>
  </si>
  <si>
    <t>Click "Run SA-CCR" (macro RunSACCR). Results, HedgingSets, Buckets, TradeCalc and Checks are rebuilt. "Validate inputs" only runs the checks.</t>
  </si>
  <si>
    <t>6. Review</t>
  </si>
  <si>
    <t>Checks lists every excluded trade and warning. TestCatalogue compares the engine with published / hand-calculated reference values per regime; Tests unit-tests the formula functions.</t>
  </si>
  <si>
    <t>7. Regime</t>
  </si>
  <si>
    <t>Basel_vs_CRR lists every difference between CRE52 and the CRR, the source check status and how the workbook treats it. Regime-dependent rules are switched per netting set.</t>
  </si>
  <si>
    <t>Sign and input conventions</t>
  </si>
  <si>
    <t>Direction</t>
  </si>
  <si>
    <t>Long / Short in the primary risk factor. IR: Long = pay fixed (gains when rates rise). FX: Long = long the first currency of the pair. CR: Long = protection bought (as in the BCBS examples). EQ / CO: Long = long the underlying. Options: Long = bought.</t>
  </si>
  <si>
    <t>Sub-class</t>
  </si>
  <si>
    <t>IR, FX, OT: leave blank. CR: AAA ... CCC or CQS1 ... CQS6, IG_INDEX, SG_INDEX. EQ: SINGLE, INDEX. CO: ELECTRICITY, OIL_GAS, METALS, AGRICULTURAL, OTHER, CLIMATIC (CRR only). Asset class + "_" + sub-class must exist in the supervisory table; column "Regimes" restricts a row.</t>
  </si>
  <si>
    <t>Risk factor</t>
  </si>
  <si>
    <t>Notional</t>
  </si>
  <si>
    <t>Positive amount; the sign comes from Direction. IR / CR: trade notional. FX: foreign-currency leg converted to reporting ccy. EQ / CO: market price x units.</t>
  </si>
  <si>
    <t>Dates</t>
  </si>
  <si>
    <t>Start (S, IR/CR only, blank = already started), End (E, IR/CR, also defines the IR maturity bucket), Maturity (M, maturity factor; defaults to End, then Expiry), Option expiry (T, options). Year fractions = days / DaysPerYear.</t>
  </si>
  <si>
    <t>Nature</t>
  </si>
  <si>
    <t>Standard, Basis (own hedging set per label, SF x 0.5, CRE52.46) or Volatility (own hedging set per label, SF x 5, CRE52.47).</t>
  </si>
  <si>
    <t>Options</t>
  </si>
  <si>
    <t>Underlying price P, strike K, supervisory vol from the table. Lambda: under CRR computed for IR and commodity options (Del. Reg. 2021/931 Art. 5); under BCBS taken from the trade (CRE52.40 FAQ). CDO: attachment A and detachment D as decimals.</t>
  </si>
  <si>
    <t>Methodology (per netting set)</t>
  </si>
  <si>
    <t>EAD</t>
  </si>
  <si>
    <t>RC</t>
  </si>
  <si>
    <t>Unmargined: max(V - C, 0) [CRE52.10]   Margined: max(V - C, TH + MTA - NICA, 0) [CRE52.18]   C = VM + NICA</t>
  </si>
  <si>
    <t>PFE</t>
  </si>
  <si>
    <t>PFE = multiplier x AddOn;  multiplier = min(1, 5% + 95% x exp((V - C) / (2 x 95% x AddOn))) [CRE52.23]</t>
  </si>
  <si>
    <t>Trade level</t>
  </si>
  <si>
    <t>Effective notional = delta x d x MF.  d = notional x SD for IR/CR, SD = (e^-0.05S - e^-0.05E)/0.05, floored at 10 BD [CRE52.34]</t>
  </si>
  <si>
    <t>Maturity factor</t>
  </si>
  <si>
    <t>Unmargined: sqrt(min(max(M, 10 BD), 1y)) [CRE52.48]; margined: 1.5 x sqrt(MPOR/250) [CRE52.52]</t>
  </si>
  <si>
    <t>MPOR</t>
  </si>
  <si>
    <t>IR</t>
  </si>
  <si>
    <t>FX</t>
  </si>
  <si>
    <t>Hedging set per currency pair; AddOn = 4% x |sum effective notional| [CRE52.59]</t>
  </si>
  <si>
    <t>CR / EQ</t>
  </si>
  <si>
    <t>Entity add-on = SF x EN; AddOn = sqrt((sum rho x A)^2 + sum (1-rho^2) x A^2) [CRE52.61, 52.66]</t>
  </si>
  <si>
    <t>CO</t>
  </si>
  <si>
    <t>Hedging sets Energy (oil/gas + electricity), Metals, Agricultural, Other (+ Climatic under CRR); single-factor formula, rho = 40% [CRE52.70, Art. 277a]</t>
  </si>
  <si>
    <t>OT (CRR)</t>
  </si>
  <si>
    <t>Other risks: per hedging set AddOn = 8% x |sum effective notional| [Art. 280f]</t>
  </si>
  <si>
    <t>Sheets</t>
  </si>
  <si>
    <t>Params</t>
  </si>
  <si>
    <t>Inputs - parameters, supervisory factors, FX rates</t>
  </si>
  <si>
    <t>NettingSets</t>
  </si>
  <si>
    <t>Inputs - netting sets and margin terms</t>
  </si>
  <si>
    <t>Trades</t>
  </si>
  <si>
    <t>Inputs - trade population</t>
  </si>
  <si>
    <t>Results</t>
  </si>
  <si>
    <t>Output - EAD per netting set and total</t>
  </si>
  <si>
    <t>HedgingSets</t>
  </si>
  <si>
    <t>Output - hedging-set effective notionals and add-ons</t>
  </si>
  <si>
    <t>Buckets</t>
  </si>
  <si>
    <t>Output - IR maturity buckets, FX pairs, credit/equity entities, commodity types</t>
  </si>
  <si>
    <t>TradeCalc</t>
  </si>
  <si>
    <t>Output - every trade-level intermediate (S, E, M, T, SD, d, delta, MF, effective notional)</t>
  </si>
  <si>
    <t>Checks</t>
  </si>
  <si>
    <t>Output - validation errors (trade excluded) and warnings</t>
  </si>
  <si>
    <t>TestCatalogue</t>
  </si>
  <si>
    <t>Regression - reference tests with source, regime, expected value and tolerance</t>
  </si>
  <si>
    <t>Tests</t>
  </si>
  <si>
    <t>Unit tests of the SACCR_* worksheet functions</t>
  </si>
  <si>
    <t>Basel_vs_CRR</t>
  </si>
  <si>
    <t>Documentation - Basel CRE52 vs EU CRR differences and workbook treatment</t>
  </si>
  <si>
    <t>Worksheet functions (usable in any cell)</t>
  </si>
  <si>
    <t>SACCR_SupervisoryDuration(S, E, [Floor])</t>
  </si>
  <si>
    <t>Supervisory duration</t>
  </si>
  <si>
    <t>SACCR_MaturityFactor(M, [Margined], [MPOR], [MinBD], [BDYear])</t>
  </si>
  <si>
    <t>SACCR_OptionDelta(P, K, T, Vol, IsCall, IsBought, [Lambda])</t>
  </si>
  <si>
    <t>Supervisory option delta</t>
  </si>
  <si>
    <t>SACCR_LambdaCRR(P, K, IsInterestRate, [Threshold])</t>
  </si>
  <si>
    <t>EU RTS lambda shift for IR / commodity options</t>
  </si>
  <si>
    <t>SACCR_CDODelta(A, D, IsLong)</t>
  </si>
  <si>
    <t>CDO tranche delta</t>
  </si>
  <si>
    <t>SACCR_IREffectiveNotional(D1, D2, D3, [r12], [r23], [r13])</t>
  </si>
  <si>
    <t>IR hedging-set effective notional</t>
  </si>
  <si>
    <t>SACCR_FactorAggregation(AddOns, Rhos)</t>
  </si>
  <si>
    <t>Credit / equity / commodity aggregation</t>
  </si>
  <si>
    <t>SACCR_Multiplier(V-C, AddOn, [Floor])</t>
  </si>
  <si>
    <t>PFE multiplier</t>
  </si>
  <si>
    <t>SACCR_ReplacementCost(V, C, [Margined], [TH], [MTA], [NICA])</t>
  </si>
  <si>
    <t>Replacement cost</t>
  </si>
  <si>
    <t>SACCR_NormCDF(x)</t>
  </si>
  <si>
    <t>Standard normal CDF (no WorksheetFunction dependency)</t>
  </si>
  <si>
    <t>Scope and limitations</t>
  </si>
  <si>
    <t>Not covered</t>
  </si>
  <si>
    <t>Collateral</t>
  </si>
  <si>
    <t>Unmargined cap</t>
  </si>
  <si>
    <t>Calendar</t>
  </si>
  <si>
    <t>Business-day amounts (MPOR, floors) use 250 BD per year; dates use DaysPerYear.</t>
  </si>
  <si>
    <t>Sample data</t>
  </si>
  <si>
    <t>Illustrative counterparties and FX rates. BCBS-EX1..5 reproduce CRE99 / BCBS 279 Annex 4 (amounts in thousands); CRR-* and BCBS-* fixtures feed the TestCatalogue.</t>
  </si>
  <si>
    <t>Code</t>
  </si>
  <si>
    <t>Modules</t>
  </si>
  <si>
    <t>M_Main (macros), CORE_Engine (calculation), SACCR_Formulas (public SACCR_* functions), CORE_Config (layout constants), CORE_Util (helpers). No external references: no Scripting.Dictionary, no WorksheetFunction - runs on Windows and Mac, 32 and 64 bit.</t>
  </si>
  <si>
    <t>Parameters</t>
  </si>
  <si>
    <t>Codes in column C are read by the engine; only the yellow values are meant to be changed.</t>
  </si>
  <si>
    <t>Description</t>
  </si>
  <si>
    <t>Value</t>
  </si>
  <si>
    <t>Reference</t>
  </si>
  <si>
    <t>AsOfDate</t>
  </si>
  <si>
    <t>Reporting (calculation) date</t>
  </si>
  <si>
    <t>ReportingCcy</t>
  </si>
  <si>
    <t>Reporting currency (all amounts converted into it)</t>
  </si>
  <si>
    <t>EUR</t>
  </si>
  <si>
    <t>Alpha</t>
  </si>
  <si>
    <t>Alpha multiplier on (RC + PFE)</t>
  </si>
  <si>
    <t>CRE52.1 / CRR Art. 274(2)</t>
  </si>
  <si>
    <t>MultiplierFloor</t>
  </si>
  <si>
    <t>Floor of the PFE multiplier</t>
  </si>
  <si>
    <t>CRE52.23</t>
  </si>
  <si>
    <t>DaysPerYear</t>
  </si>
  <si>
    <t>Calendar days per year for S, E, M, T</t>
  </si>
  <si>
    <t>BusinessDaysPerYear</t>
  </si>
  <si>
    <t>Business days per year (MPOR, floors)</t>
  </si>
  <si>
    <t>CRE52.48, 52.52</t>
  </si>
  <si>
    <t>MinMaturityBD</t>
  </si>
  <si>
    <t>Floor on M for the unmargined maturity factor (BD)</t>
  </si>
  <si>
    <t>CRE52.48</t>
  </si>
  <si>
    <t>SDFloorBD</t>
  </si>
  <si>
    <t>Floor on the supervisory duration (BD, 0 = none)</t>
  </si>
  <si>
    <t>CRE52.34 / CRR Art. 279b</t>
  </si>
  <si>
    <t>MPORFloorBilateral</t>
  </si>
  <si>
    <t>MPOR floor, bilateral daily-margined netting set (BD)</t>
  </si>
  <si>
    <t>CRE52.50</t>
  </si>
  <si>
    <t>MPORFloorCleared</t>
  </si>
  <si>
    <t>CRE54 - configurable</t>
  </si>
  <si>
    <t>MPORFloorLarge</t>
  </si>
  <si>
    <t>MPOR floor, &gt;5,000 trades or illiquid collateral (BD)</t>
  </si>
  <si>
    <t>BasisFactor</t>
  </si>
  <si>
    <t>Supervisory factor multiplier for basis transactions</t>
  </si>
  <si>
    <t>CRE52.46</t>
  </si>
  <si>
    <t>VolatilityFactor</t>
  </si>
  <si>
    <t>Supervisory factor multiplier for volatility transactions</t>
  </si>
  <si>
    <t>CRE52.47</t>
  </si>
  <si>
    <t>IRCorrBucket12</t>
  </si>
  <si>
    <t>IR correlation bucket 1-2 (cross term 2 x 0.7 = 1.4)</t>
  </si>
  <si>
    <t>CRE52.57</t>
  </si>
  <si>
    <t>IRCorrBucket23</t>
  </si>
  <si>
    <t>IR correlation bucket 2-3 (cross term 1.4)</t>
  </si>
  <si>
    <t>IRCorrBucket13</t>
  </si>
  <si>
    <t>IR correlation bucket 1-3 (cross term 0.6)</t>
  </si>
  <si>
    <t>IRBucketOffset</t>
  </si>
  <si>
    <t>TRUE = bucket formula; FALSE = sum of absolute bucket values</t>
  </si>
  <si>
    <t>Regime</t>
  </si>
  <si>
    <t>Default regime: CRR (EU) or BCBS (Basel CRE52); override per netting set</t>
  </si>
  <si>
    <t>CRR</t>
  </si>
  <si>
    <t>see Basel_vs_CRR sheet</t>
  </si>
  <si>
    <t>LambdaThresholdIR</t>
  </si>
  <si>
    <t>CRR lambda threshold, IR options (shift = max(thr - min(P,K), 0))</t>
  </si>
  <si>
    <t>Del. Reg. 2021/931 Art. 5 (am. 2025/855)</t>
  </si>
  <si>
    <t>LambdaThresholdCO</t>
  </si>
  <si>
    <t>CRR lambda threshold, commodity options (shift = max(-(1+thr) min(P,K), 0))</t>
  </si>
  <si>
    <t>CRR = EU regime; BCBS = Basel CRE52</t>
  </si>
  <si>
    <t>Supervisory parameters (CRE52.72 / CRR Art. 279a, 280a-280f)</t>
  </si>
  <si>
    <t>SF_Key</t>
  </si>
  <si>
    <t>Asset class</t>
  </si>
  <si>
    <t>Category</t>
  </si>
  <si>
    <t>Supervisory factor</t>
  </si>
  <si>
    <t>Correlation</t>
  </si>
  <si>
    <t>Supervisory option vol</t>
  </si>
  <si>
    <t>Commodity hedging set</t>
  </si>
  <si>
    <t>Regimes</t>
  </si>
  <si>
    <t>BOTH</t>
  </si>
  <si>
    <t>CRE52.72 / CRR Art. 280a</t>
  </si>
  <si>
    <t>CRE52.72 / CRR Art. 280b</t>
  </si>
  <si>
    <t>CR_AAA</t>
  </si>
  <si>
    <t>CR</t>
  </si>
  <si>
    <t>AAA</t>
  </si>
  <si>
    <t>CRE52.72</t>
  </si>
  <si>
    <t>CR_AA</t>
  </si>
  <si>
    <t>AA</t>
  </si>
  <si>
    <t>CR_A</t>
  </si>
  <si>
    <t>A</t>
  </si>
  <si>
    <t>CR_BBB</t>
  </si>
  <si>
    <t>BBB</t>
  </si>
  <si>
    <t>CR_BB</t>
  </si>
  <si>
    <t>BB</t>
  </si>
  <si>
    <t>CR_B</t>
  </si>
  <si>
    <t>B</t>
  </si>
  <si>
    <t>CR_CCC</t>
  </si>
  <si>
    <t>CCC</t>
  </si>
  <si>
    <t>CR_CQS1</t>
  </si>
  <si>
    <t>CQS1</t>
  </si>
  <si>
    <t>CRR Art. 280c Table 3</t>
  </si>
  <si>
    <t>CR_CQS2</t>
  </si>
  <si>
    <t>CQS2</t>
  </si>
  <si>
    <t>CR_CQS3</t>
  </si>
  <si>
    <t>CQS3</t>
  </si>
  <si>
    <t>CR_CQS4</t>
  </si>
  <si>
    <t>CQS4</t>
  </si>
  <si>
    <t>CR_CQS5</t>
  </si>
  <si>
    <t>CQS5</t>
  </si>
  <si>
    <t>CR_CQS6</t>
  </si>
  <si>
    <t>CQS6</t>
  </si>
  <si>
    <t>CR_IG_INDEX</t>
  </si>
  <si>
    <t>IG_INDEX</t>
  </si>
  <si>
    <t>CRE52.72 / CRR Art. 280c Table 4</t>
  </si>
  <si>
    <t>CR_SG_INDEX</t>
  </si>
  <si>
    <t>SG_INDEX</t>
  </si>
  <si>
    <t>EQ_SINGLE</t>
  </si>
  <si>
    <t>EQ</t>
  </si>
  <si>
    <t>SINGLE</t>
  </si>
  <si>
    <t>CRE52.72 / CRR Art. 280d</t>
  </si>
  <si>
    <t>EQ_INDEX</t>
  </si>
  <si>
    <t>INDEX</t>
  </si>
  <si>
    <t>CO_ELECTRICITY</t>
  </si>
  <si>
    <t>ELECTRICITY</t>
  </si>
  <si>
    <t>ENERGY</t>
  </si>
  <si>
    <t>CO_OIL_GAS</t>
  </si>
  <si>
    <t>OIL_GAS</t>
  </si>
  <si>
    <t>CO_METALS</t>
  </si>
  <si>
    <t>METALS</t>
  </si>
  <si>
    <t>CO_AGRICULTURAL</t>
  </si>
  <si>
    <t>AGRICULTURAL</t>
  </si>
  <si>
    <t>CO_OTHER</t>
  </si>
  <si>
    <t>OTHER</t>
  </si>
  <si>
    <t>CO_CLIMATIC</t>
  </si>
  <si>
    <t>CLIMATIC</t>
  </si>
  <si>
    <t>OT</t>
  </si>
  <si>
    <t>CRR Art. 280f (SF 8%), 279a Table 1 (vol 150%)</t>
  </si>
  <si>
    <t>FX rates (illustrative - replace with market rates)</t>
  </si>
  <si>
    <t>FX_Ccy</t>
  </si>
  <si>
    <t>Currency</t>
  </si>
  <si>
    <t>Units of reporting ccy per 1 unit</t>
  </si>
  <si>
    <t>Euro</t>
  </si>
  <si>
    <t>USD</t>
  </si>
  <si>
    <t>US dollar</t>
  </si>
  <si>
    <t>GBP</t>
  </si>
  <si>
    <t>Pound sterling</t>
  </si>
  <si>
    <t>JPY</t>
  </si>
  <si>
    <t>Japanese yen</t>
  </si>
  <si>
    <t>CHF</t>
  </si>
  <si>
    <t>Swiss franc</t>
  </si>
  <si>
    <t>Add currencies directly below the last row (no blank rows in column C).</t>
  </si>
  <si>
    <t>Netting sets</t>
  </si>
  <si>
    <t>NettingSetID</t>
  </si>
  <si>
    <t>Counterparty</t>
  </si>
  <si>
    <t>Margined (Y/N)</t>
  </si>
  <si>
    <t>Remargin frequency N (BD)</t>
  </si>
  <si>
    <t>&gt;5,000 trades or illiquid collateral (Y/N)</t>
  </si>
  <si>
    <t>Margin disputes (Y/N)</t>
  </si>
  <si>
    <t>MPOR override (BD)</t>
  </si>
  <si>
    <t>Net VM held (+) / posted (-)</t>
  </si>
  <si>
    <t>NICA</t>
  </si>
  <si>
    <t>Threshold TH</t>
  </si>
  <si>
    <t>MTA</t>
  </si>
  <si>
    <t>Alpha override</t>
  </si>
  <si>
    <t>Regime override (blank = Params)</t>
  </si>
  <si>
    <t>BCBS-EX1</t>
  </si>
  <si>
    <t>CRE99 / BCBS 279 Annex 4 - example 1 (IR)</t>
  </si>
  <si>
    <t>N</t>
  </si>
  <si>
    <t>BCBS</t>
  </si>
  <si>
    <t>BCBS-EX2</t>
  </si>
  <si>
    <t>CRE99 / BCBS 279 Annex 4 - example 2 (credit)</t>
  </si>
  <si>
    <t>BCBS-EX3</t>
  </si>
  <si>
    <t>CRE99 / BCBS 279 Annex 4 - example 3 (commodity)</t>
  </si>
  <si>
    <t>BCBS-EX4</t>
  </si>
  <si>
    <t>CRE99 / BCBS 279 Annex 4 - example 4 (IR + credit)</t>
  </si>
  <si>
    <t>BCBS-EX5</t>
  </si>
  <si>
    <t>CRE99 / BCBS 279 Annex 4 - example 5 (IR + commodity, weekly margin)</t>
  </si>
  <si>
    <t>Y</t>
  </si>
  <si>
    <t>CRR-EX5</t>
  </si>
  <si>
    <t>Example 5 inputs under CRR (cap not binding: same EAD)</t>
  </si>
  <si>
    <t>BCBS-VMCAP</t>
  </si>
  <si>
    <t>Posted-VM scenario after EBA Q&amp;A 2022_6354 - Basel cap</t>
  </si>
  <si>
    <t>CRR-VMCAP</t>
  </si>
  <si>
    <t>Posted-VM scenario after EBA Q&amp;A 2022_6354 - CRR Art. 274(3) cap</t>
  </si>
  <si>
    <t>CRR-EX1-1PCT</t>
  </si>
  <si>
    <t>Example 1 with swaption forward at 1% (EBA RTS scenario)</t>
  </si>
  <si>
    <t>CRR-NEGIR</t>
  </si>
  <si>
    <t>Receiver swaption, negative forward rate - RTS lambda</t>
  </si>
  <si>
    <t>BCBS-NEGIR</t>
  </si>
  <si>
    <t>Same swaption under BCBS without lambda - must be rejected</t>
  </si>
  <si>
    <t>CRR-NEGCO</t>
  </si>
  <si>
    <t>Commodity call, negative price and strike - RTS lambda</t>
  </si>
  <si>
    <t>CRR-OTHER</t>
  </si>
  <si>
    <t>Other risks category (Art. 280f) - hand-checkable</t>
  </si>
  <si>
    <t>CRR-CLIMATE</t>
  </si>
  <si>
    <t>Climatic-conditions hedging set (Art. 277a), factor 18% (Art. 280e(5))</t>
  </si>
  <si>
    <t>NS-ALPHA</t>
  </si>
  <si>
    <t>Alpha Bank plc (no CSA)</t>
  </si>
  <si>
    <t>NS-GAMMA</t>
  </si>
  <si>
    <t>Gamma Fund Ltd (daily CSA + IM)</t>
  </si>
  <si>
    <t>TradeID</t>
  </si>
  <si>
    <t>Risk factor / reference</t>
  </si>
  <si>
    <t>Instrument</t>
  </si>
  <si>
    <t>Option type</t>
  </si>
  <si>
    <t>Basis / vol hedging-set label</t>
  </si>
  <si>
    <t>MtM</t>
  </si>
  <si>
    <t>Comment</t>
  </si>
  <si>
    <t>CDO</t>
  </si>
  <si>
    <t>EX1-T1</t>
  </si>
  <si>
    <t>Linear</t>
  </si>
  <si>
    <t>Long</t>
  </si>
  <si>
    <t>Standard</t>
  </si>
  <si>
    <t>10y IRS pay fixed - Basel ex.1 trade 1</t>
  </si>
  <si>
    <t>EX1-T2</t>
  </si>
  <si>
    <t>Short</t>
  </si>
  <si>
    <t>4y IRS receive fixed - Basel ex.1 trade 2</t>
  </si>
  <si>
    <t>EX1-T3</t>
  </si>
  <si>
    <t>Option</t>
  </si>
  <si>
    <t>Put</t>
  </si>
  <si>
    <t>Bought 1y-into-10y receiver swaption - Basel ex.1 trade 3</t>
  </si>
  <si>
    <t>EX2-T1</t>
  </si>
  <si>
    <t>FIRM A</t>
  </si>
  <si>
    <t>3y CDS protection bought</t>
  </si>
  <si>
    <t>EX2-T2</t>
  </si>
  <si>
    <t>FIRM B</t>
  </si>
  <si>
    <t>6y CDS protection sold</t>
  </si>
  <si>
    <t>EX2-T3</t>
  </si>
  <si>
    <t>CDX.IG</t>
  </si>
  <si>
    <t>5y index CDS protection bought</t>
  </si>
  <si>
    <t>EX3-T1</t>
  </si>
  <si>
    <t>CRUDE OIL</t>
  </si>
  <si>
    <t>9m WTI forward (Basel treats WTI and Brent as one type)</t>
  </si>
  <si>
    <t>EX3-T2</t>
  </si>
  <si>
    <t>2y Brent forward</t>
  </si>
  <si>
    <t>EX3-T3</t>
  </si>
  <si>
    <t>SILVER</t>
  </si>
  <si>
    <t>5y silver forward</t>
  </si>
  <si>
    <t>EX4-IRT1</t>
  </si>
  <si>
    <t>EX4-IRT2</t>
  </si>
  <si>
    <t>EX4-IRT3</t>
  </si>
  <si>
    <t>EX4-CRT1</t>
  </si>
  <si>
    <t>EX4-CRT2</t>
  </si>
  <si>
    <t>EX4-CRT3</t>
  </si>
  <si>
    <t>EX5-IRT1</t>
  </si>
  <si>
    <t>EX5-IRT2</t>
  </si>
  <si>
    <t>EX5-IRT3</t>
  </si>
  <si>
    <t>EX5-COT1</t>
  </si>
  <si>
    <t>EX5-COT2</t>
  </si>
  <si>
    <t>EX5-COT3</t>
  </si>
  <si>
    <t>EU5-IRT1</t>
  </si>
  <si>
    <t>EU5-IRT2</t>
  </si>
  <si>
    <t>EU5-IRT3</t>
  </si>
  <si>
    <t>EU5-COT1</t>
  </si>
  <si>
    <t>EU5-COT2</t>
  </si>
  <si>
    <t>EU5-COT3</t>
  </si>
  <si>
    <t>EU1P-T1</t>
  </si>
  <si>
    <t>EU1P-T2</t>
  </si>
  <si>
    <t>EU1P-T3</t>
  </si>
  <si>
    <t>Swaption with forward 1% (strike 5%)</t>
  </si>
  <si>
    <t>VMB-1</t>
  </si>
  <si>
    <t>10y IRS, MtM -1.1bn, VM posted 1.3bn</t>
  </si>
  <si>
    <t>VMC-1</t>
  </si>
  <si>
    <t>NIR-C</t>
  </si>
  <si>
    <t>CRR: lambda = 0.10% - (-0.20%) = 0.30%; BCBS: no lambda entered -&gt; rejected</t>
  </si>
  <si>
    <t>NIR-B</t>
  </si>
  <si>
    <t>NCO-1</t>
  </si>
  <si>
    <t>WTI</t>
  </si>
  <si>
    <t>Call</t>
  </si>
  <si>
    <t>lambda = -(1+0.1) x (-5) = 5.5</t>
  </si>
  <si>
    <t>OT-1</t>
  </si>
  <si>
    <t>LONGEVITY INDEX X</t>
  </si>
  <si>
    <t>Longevity swap - other risks category</t>
  </si>
  <si>
    <t>OT-2</t>
  </si>
  <si>
    <t>Same risk driver - same hedging set</t>
  </si>
  <si>
    <t>OT-3</t>
  </si>
  <si>
    <t>CAT LOSS INDEX Y</t>
  </si>
  <si>
    <t>Different risk driver - own hedging set</t>
  </si>
  <si>
    <t>OT-X</t>
  </si>
  <si>
    <t>Other risks in a BCBS netting set - must be rejected</t>
  </si>
  <si>
    <t>CL-1</t>
  </si>
  <si>
    <t>HDD LONDON</t>
  </si>
  <si>
    <t>Heating-degree-day swap</t>
  </si>
  <si>
    <t>A01</t>
  </si>
  <si>
    <t>7y EUR IRS pay fixed</t>
  </si>
  <si>
    <t>A02</t>
  </si>
  <si>
    <t>2y EUR IRS receive fixed</t>
  </si>
  <si>
    <t>A03</t>
  </si>
  <si>
    <t>12y USD IRS receive fixed</t>
  </si>
  <si>
    <t>A04</t>
  </si>
  <si>
    <t>Basis</t>
  </si>
  <si>
    <t>EURIBOR6M/ESTR</t>
  </si>
  <si>
    <t>5y basis swap - own hedging set, SF x 0.5</t>
  </si>
  <si>
    <t>A05</t>
  </si>
  <si>
    <t>Bought 2y-into-5y payer swaption</t>
  </si>
  <si>
    <t>A06</t>
  </si>
  <si>
    <t>1y-forward-starting 3y IRS receive fixed</t>
  </si>
  <si>
    <t>A07</t>
  </si>
  <si>
    <t>EUR/USD</t>
  </si>
  <si>
    <t>1y FX forward: sell EUR / buy USD 25m</t>
  </si>
  <si>
    <t>A08</t>
  </si>
  <si>
    <t>USD/JPY</t>
  </si>
  <si>
    <t>Bought 6m USD call / JPY put</t>
  </si>
  <si>
    <t>A09</t>
  </si>
  <si>
    <t>USDGBP</t>
  </si>
  <si>
    <t>6m forward long USD vs GBP - pair entered inverted on purpose</t>
  </si>
  <si>
    <t>A10</t>
  </si>
  <si>
    <t>9m GBP swap - bucket 1, MF &lt; 1</t>
  </si>
  <si>
    <t>A11</t>
  </si>
  <si>
    <t>Deliberate input error: matured trade, shows exclusion on Checks</t>
  </si>
  <si>
    <t>B01</t>
  </si>
  <si>
    <t>ACME SPA</t>
  </si>
  <si>
    <t>5y CDS protection bought</t>
  </si>
  <si>
    <t>B02</t>
  </si>
  <si>
    <t>3y CDS protection sold - same entity</t>
  </si>
  <si>
    <t>B03</t>
  </si>
  <si>
    <t>OMEGA AG</t>
  </si>
  <si>
    <t>4y CDS protection sold - credit quality step 2 (CRR Art. 280c)</t>
  </si>
  <si>
    <t>B04</t>
  </si>
  <si>
    <t>ITRAXX EUROPE S46</t>
  </si>
  <si>
    <t>5y index protection bought</t>
  </si>
  <si>
    <t>B05</t>
  </si>
  <si>
    <t>ITRAXX EUROPE S46 3-6%</t>
  </si>
  <si>
    <t>3-6% tranche protection sold</t>
  </si>
  <si>
    <t>B06</t>
  </si>
  <si>
    <t>ENI SPA</t>
  </si>
  <si>
    <t>1y equity TRS receive performance</t>
  </si>
  <si>
    <t>B07</t>
  </si>
  <si>
    <t>EURO STOXX 50</t>
  </si>
  <si>
    <t>Sold 6m index put</t>
  </si>
  <si>
    <t>B08</t>
  </si>
  <si>
    <t>ENEL SPA</t>
  </si>
  <si>
    <t>9m equity forward short</t>
  </si>
  <si>
    <t>B09</t>
  </si>
  <si>
    <t>Volatility</t>
  </si>
  <si>
    <t>SX5E VARIANCE</t>
  </si>
  <si>
    <t>Variance swap - volatility hedging set, SF x 5</t>
  </si>
  <si>
    <t>B10</t>
  </si>
  <si>
    <t>BRENT</t>
  </si>
  <si>
    <t>1y Brent swap</t>
  </si>
  <si>
    <t>B11</t>
  </si>
  <si>
    <t>18m WTI swap (separate type from Brent)</t>
  </si>
  <si>
    <t>B12</t>
  </si>
  <si>
    <t>IT PUN BASELOAD</t>
  </si>
  <si>
    <t>Cal-27 Italian power baseload</t>
  </si>
  <si>
    <t>B13</t>
  </si>
  <si>
    <t>GOLD</t>
  </si>
  <si>
    <t>2y gold forward</t>
  </si>
  <si>
    <t>B14</t>
  </si>
  <si>
    <t>WHEAT</t>
  </si>
  <si>
    <t>6m wheat swap</t>
  </si>
  <si>
    <t>Margined</t>
  </si>
  <si>
    <t>MPOR (BD)</t>
  </si>
  <si>
    <t>V (sum MtM)</t>
  </si>
  <si>
    <t>C (VM + NICA)</t>
  </si>
  <si>
    <t>AddOn IR</t>
  </si>
  <si>
    <t>AddOn FX</t>
  </si>
  <si>
    <t>AddOn CR</t>
  </si>
  <si>
    <t>AddOn EQ</t>
  </si>
  <si>
    <t>AddOn CO</t>
  </si>
  <si>
    <t>AddOn OT</t>
  </si>
  <si>
    <t>AddOn aggregate</t>
  </si>
  <si>
    <t>Multiplier</t>
  </si>
  <si>
    <t>EAD margined</t>
  </si>
  <si>
    <t>EAD cap (unmargined)</t>
  </si>
  <si>
    <t>Cap applied</t>
  </si>
  <si>
    <t>C (cap basis)</t>
  </si>
  <si>
    <t>RC (cap basis)</t>
  </si>
  <si>
    <t>AddOn unmargined</t>
  </si>
  <si>
    <t>Multiplier (cap basis)</t>
  </si>
  <si>
    <t>Hedging sets</t>
  </si>
  <si>
    <t>Margined netting sets are shown with the margined maturity factor; column N always shows the unmargined add-on used for the EAD cap.</t>
  </si>
  <si>
    <t>Hedging set</t>
  </si>
  <si>
    <t>D1 (&lt;1y)</t>
  </si>
  <si>
    <t>D2 (1-5y)</t>
  </si>
  <si>
    <t>D3 (&gt;5y)</t>
  </si>
  <si>
    <t>Effective notional (IR / FX / OT)</t>
  </si>
  <si>
    <t>Systematic: sum rho x A</t>
  </si>
  <si>
    <t>Idiosyncratic: sqrt(sum (1-rho^2) A^2)</t>
  </si>
  <si>
    <t>Hedging-set add-on</t>
  </si>
  <si>
    <t>Add-on unmargined</t>
  </si>
  <si>
    <t>SF (IR / FX / OT)</t>
  </si>
  <si>
    <t>CO|CLIMATIC|STD</t>
  </si>
  <si>
    <t>Buckets, entities and commodity types</t>
  </si>
  <si>
    <t>IR: maturity bucket &lt;1Y / 1-5Y / &gt;5Y on E. FX: currency pair. CR / EQ: reference entity. CO: commodity type.</t>
  </si>
  <si>
    <t>Bucket / entity / type</t>
  </si>
  <si>
    <t>SF</t>
  </si>
  <si>
    <t>Effective notional unmargined</t>
  </si>
  <si>
    <t>Effective notional margined</t>
  </si>
  <si>
    <t>Entity / type add-on unmargined</t>
  </si>
  <si>
    <t>Entity / type add-on margined</t>
  </si>
  <si>
    <t>Trade-level calculation</t>
  </si>
  <si>
    <t>Every intermediate of the trade-level SA-CCR formula; excluded trades show the reason in Messages.</t>
  </si>
  <si>
    <t>Status</t>
  </si>
  <si>
    <t>SF (effective)</t>
  </si>
  <si>
    <t>Notional (rep ccy)</t>
  </si>
  <si>
    <t>MtM (rep ccy)</t>
  </si>
  <si>
    <t>S</t>
  </si>
  <si>
    <t>E</t>
  </si>
  <si>
    <t>M</t>
  </si>
  <si>
    <t>T (option)</t>
  </si>
  <si>
    <t>Adjusted notional d</t>
  </si>
  <si>
    <t>Supervisory delta</t>
  </si>
  <si>
    <t>MF unmargined</t>
  </si>
  <si>
    <t>MF margined</t>
  </si>
  <si>
    <t>IR bucket</t>
  </si>
  <si>
    <t>Stand-alone add-on</t>
  </si>
  <si>
    <t>Lambda</t>
  </si>
  <si>
    <t>Messages</t>
  </si>
  <si>
    <t>EXCLUDED</t>
  </si>
  <si>
    <t>Errors exclude the trade from the calculation; warnings do not.</t>
  </si>
  <si>
    <t>Severity</t>
  </si>
  <si>
    <t>Sheet</t>
  </si>
  <si>
    <t>Row</t>
  </si>
  <si>
    <t>Message</t>
  </si>
  <si>
    <t>Unit tests call the SACCR_* worksheet functions (macros enabled); portfolio tests are on TestCatalogue.</t>
  </si>
  <si>
    <t>Unit tests of the worksheet functions</t>
  </si>
  <si>
    <t>Test</t>
  </si>
  <si>
    <t>Formula</t>
  </si>
  <si>
    <t>Expected</t>
  </si>
  <si>
    <t>Function</t>
  </si>
  <si>
    <t>Abs. diff</t>
  </si>
  <si>
    <t>Result</t>
  </si>
  <si>
    <t>Supervisory duration, S=0, E=10</t>
  </si>
  <si>
    <t>=SACCR_SupervisoryDuration(0,10)</t>
  </si>
  <si>
    <t>Supervisory duration, S=1, E=11</t>
  </si>
  <si>
    <t>=SACCR_SupervisoryDuration(1,11)</t>
  </si>
  <si>
    <t>SD floor, S=0, E=0.01 (floor 10/250)</t>
  </si>
  <si>
    <t>=SACCR_SupervisoryDuration(0,0.01,10/250)</t>
  </si>
  <si>
    <t>MF unmargined, M=0.75</t>
  </si>
  <si>
    <t>=SACCR_MaturityFactor(0.75)</t>
  </si>
  <si>
    <t>MF unmargined, M=3 days (floor 10 BD)</t>
  </si>
  <si>
    <t>=SACCR_MaturityFactor(3/365)</t>
  </si>
  <si>
    <t>MF margined, MPOR=10 BD</t>
  </si>
  <si>
    <t>=SACCR_MaturityFactor(0,TRUE,10)</t>
  </si>
  <si>
    <t>Delta, bought put P=6% K=5% T=1 vol=50%</t>
  </si>
  <si>
    <t>=SACCR_OptionDelta(0.06,0.05,1,0.5,FALSE,TRUE)</t>
  </si>
  <si>
    <t>Delta, sold call P=100 K=110 T=0.5 vol=32%</t>
  </si>
  <si>
    <t>=SACCR_OptionDelta(100,110,0.5,0.32,TRUE,FALSE)</t>
  </si>
  <si>
    <t>Delta with lambda shift, P=-0.2% K=0.1% L=1%</t>
  </si>
  <si>
    <t>=SACCR_OptionDelta(-0.002,0.001,2,0.5,TRUE,TRUE,0.01)</t>
  </si>
  <si>
    <t>CDO delta, 3-6% tranche, long</t>
  </si>
  <si>
    <t>=SACCR_CDODelta(0.03,0.06,TRUE)</t>
  </si>
  <si>
    <t>IR effective notional, Basel ex.1 USD</t>
  </si>
  <si>
    <t>=SACCR_IREffectiveNotional(0.0,-36253.849384403635,78693.86805747332)</t>
  </si>
  <si>
    <t>Factor aggregation, Basel ex.2</t>
  </si>
  <si>
    <t>=SACCR_FactorAggregation({105.86193791695607,-279.91632166374467,168.11140486573228},{0.5,0.5,0.8})</t>
  </si>
  <si>
    <t>Multiplier, V-C=-20, AddOn=282</t>
  </si>
  <si>
    <t>=SACCR_Multiplier(-20,282)</t>
  </si>
  <si>
    <t>Multiplier, V-C&gt;0</t>
  </si>
  <si>
    <t>=SACCR_Multiplier(10,282)</t>
  </si>
  <si>
    <t>RC margined, V-C=-5, TH=0, MTA=10, NICA=2</t>
  </si>
  <si>
    <t>=SACCR_ReplacementCost(5,10,TRUE,0,10,2)</t>
  </si>
  <si>
    <t>Normal CDF(1.96)</t>
  </si>
  <si>
    <t>=SACCR_NormCDF(1.96)</t>
  </si>
  <si>
    <t>Normal CDF(-8)</t>
  </si>
  <si>
    <t>=SACCR_NormCDF(-8)</t>
  </si>
  <si>
    <t>CRR lambda IR, P=-0.20% K=0.10%</t>
  </si>
  <si>
    <t>=SACCR_LambdaCRR(-0.002,0.001,TRUE)</t>
  </si>
  <si>
    <t>CRR lambda IR, P=2% K=3% (no shift)</t>
  </si>
  <si>
    <t>=SACCR_LambdaCRR(0.02,0.03,TRUE)</t>
  </si>
  <si>
    <t>CRR lambda IR, P=0.05% K=1% (to threshold)</t>
  </si>
  <si>
    <t>=SACCR_LambdaCRR(0.0005,0.01,TRUE)</t>
  </si>
  <si>
    <t>CRR lambda commodity, P=-5 K=-4</t>
  </si>
  <si>
    <t>=SACCR_LambdaCRR(-5,-4,FALSE)</t>
  </si>
  <si>
    <t>CRR lambda commodity, P=40 K=35 (no shift)</t>
  </si>
  <si>
    <t>=SACCR_LambdaCRR(40,35,FALSE)</t>
  </si>
  <si>
    <t>Reference-test catalogue</t>
  </si>
  <si>
    <t>Each test reads one output cell by netting set / trade ID and column header. Basel and EU expectations are kept separate even where they coincide. Values shown are from the last run.</t>
  </si>
  <si>
    <t>Area</t>
  </si>
  <si>
    <t>Source</t>
  </si>
  <si>
    <t>Source status</t>
  </si>
  <si>
    <t>Metric</t>
  </si>
  <si>
    <t>Tolerance type</t>
  </si>
  <si>
    <t>Tolerance</t>
  </si>
  <si>
    <t>Engine</t>
  </si>
  <si>
    <t>Difference</t>
  </si>
  <si>
    <t>Note</t>
  </si>
  <si>
    <t>T01</t>
  </si>
  <si>
    <t>Core - IR</t>
  </si>
  <si>
    <t>Example 1: adjusted notional, 10y swap</t>
  </si>
  <si>
    <t>CRE99 ex.1 / BCBS 279 Annex 4</t>
  </si>
  <si>
    <t>Official published value (rounded)</t>
  </si>
  <si>
    <t>abs</t>
  </si>
  <si>
    <t>T02</t>
  </si>
  <si>
    <t>Example 1: supervisory delta, swaption</t>
  </si>
  <si>
    <t>CRE99 ex.1</t>
  </si>
  <si>
    <t>T03</t>
  </si>
  <si>
    <t>Example 1: IR add-on</t>
  </si>
  <si>
    <t>T04</t>
  </si>
  <si>
    <t>Example 1: EAD</t>
  </si>
  <si>
    <t>T05</t>
  </si>
  <si>
    <t>Core - credit</t>
  </si>
  <si>
    <t>Example 2: multiplier</t>
  </si>
  <si>
    <t>CRE99 ex.2</t>
  </si>
  <si>
    <t>T06</t>
  </si>
  <si>
    <t>Example 2: EAD</t>
  </si>
  <si>
    <t>T07</t>
  </si>
  <si>
    <t>Core - commodity</t>
  </si>
  <si>
    <t>Example 3: EAD</t>
  </si>
  <si>
    <t>CRE99 ex.3</t>
  </si>
  <si>
    <t>9-month leg entered as 274 days (0.7507y vs 0.75y): ~1.4 below published</t>
  </si>
  <si>
    <t>T08</t>
  </si>
  <si>
    <t>Core - aggregation</t>
  </si>
  <si>
    <t>Example 4: RC</t>
  </si>
  <si>
    <t>CRE99 ex.4</t>
  </si>
  <si>
    <t>T09</t>
  </si>
  <si>
    <t>Example 4: aggregate add-on (no diversification across classes)</t>
  </si>
  <si>
    <t>T10</t>
  </si>
  <si>
    <t>Example 4: EAD</t>
  </si>
  <si>
    <t>Published 936 = 1.4 x (40 + 629) with rounded add-ons; unrounded 936.5</t>
  </si>
  <si>
    <t>T11</t>
  </si>
  <si>
    <t>Core - margined</t>
  </si>
  <si>
    <t>Example 5: MPOR, weekly remargining</t>
  </si>
  <si>
    <t>CRE99 ex.5</t>
  </si>
  <si>
    <t>T12</t>
  </si>
  <si>
    <t>Example 5: aggregate add-on</t>
  </si>
  <si>
    <t>T13</t>
  </si>
  <si>
    <t>Example 5: multiplier</t>
  </si>
  <si>
    <t>T14</t>
  </si>
  <si>
    <t>Example 5: EAD</t>
  </si>
  <si>
    <t>T15</t>
  </si>
  <si>
    <t>EU - cap</t>
  </si>
  <si>
    <t>Example 5 under CRR: Art. 274(3) cap not binding, same EAD</t>
  </si>
  <si>
    <t>CRE99 ex.5 + CRR Art. 274(3)</t>
  </si>
  <si>
    <t>Derived - independent Python implementation</t>
  </si>
  <si>
    <t>Common core reproduces the Basel result</t>
  </si>
  <si>
    <t>T16</t>
  </si>
  <si>
    <t>Engineering scenario - not authoritative</t>
  </si>
  <si>
    <t>rel</t>
  </si>
  <si>
    <t>T17</t>
  </si>
  <si>
    <t>Posted VM: CRR cap excludes VM from NICA -&gt; cap binds (~41)</t>
  </si>
  <si>
    <t>CRR Art. 274(3), 275(1); EBA Q&amp;A 2023_6962</t>
  </si>
  <si>
    <t>Q&amp;A 2022_6354 illustration: 41 (cap) vs 378 (margined)</t>
  </si>
  <si>
    <t>T18</t>
  </si>
  <si>
    <t>Posted VM: cap applied flag</t>
  </si>
  <si>
    <t>EBA Q&amp;A 2023_6962</t>
  </si>
  <si>
    <t>text</t>
  </si>
  <si>
    <t>T19</t>
  </si>
  <si>
    <t>EU - options</t>
  </si>
  <si>
    <t>Swaption forward 1%: EAD (lambda = 0)</t>
  </si>
  <si>
    <t>EBA SA-CCR RTS work, as cited (~761)</t>
  </si>
  <si>
    <t>Cited figures: PFE ~483, EAD ~761 - source not opened here</t>
  </si>
  <si>
    <t>T20</t>
  </si>
  <si>
    <t>Negative forward: RTS lambda = 0.10% - min(P, K)</t>
  </si>
  <si>
    <t>Hand calculation from the regulation</t>
  </si>
  <si>
    <t>T21</t>
  </si>
  <si>
    <t>Negative forward: supervisory delta with shift</t>
  </si>
  <si>
    <t>Del. Reg. 2021/931 Art. 5</t>
  </si>
  <si>
    <t>T22</t>
  </si>
  <si>
    <t>Basel - options</t>
  </si>
  <si>
    <t>Negative forward without lambda under BCBS is rejected</t>
  </si>
  <si>
    <t>CRE52.40 FAQ (lambda by judgement)</t>
  </si>
  <si>
    <t>Enter lambda on the trade for BCBS</t>
  </si>
  <si>
    <t>T23</t>
  </si>
  <si>
    <t>Negative commodity price: lambda = -(1 + 0.1) x min(P, K)</t>
  </si>
  <si>
    <t>T24</t>
  </si>
  <si>
    <t>EU - other risks</t>
  </si>
  <si>
    <t>Other risks add-on = 8% x (|6,000| + |5,000|)</t>
  </si>
  <si>
    <t>CRR Art. 280f</t>
  </si>
  <si>
    <t>T25</t>
  </si>
  <si>
    <t>Other risks EAD = 1.4 x 880</t>
  </si>
  <si>
    <t>CRR Art. 274(2), 280f</t>
  </si>
  <si>
    <t>T26</t>
  </si>
  <si>
    <t>Basel - other risks</t>
  </si>
  <si>
    <t>Other-risks trade in a BCBS netting set is rejected</t>
  </si>
  <si>
    <t>CRE52 (five asset classes)</t>
  </si>
  <si>
    <t>T27</t>
  </si>
  <si>
    <t>EU - mapping</t>
  </si>
  <si>
    <t>Climatic variable mapped to its own commodity hedging set</t>
  </si>
  <si>
    <t>CRR Art. 277(4)(b), 277a</t>
  </si>
  <si>
    <t>SF value to be confirmed against Art. 280e</t>
  </si>
  <si>
    <t>T28</t>
  </si>
  <si>
    <t>Credit quality step 2 -&gt; SF 0.42%</t>
  </si>
  <si>
    <t>Summary</t>
  </si>
  <si>
    <t>Source status: "Official" = published figure, rounded (tolerance covers rounding); "Hand calculation" = derived directly from the legal text; "Derived" / "Engineering scenario" = expected value from an independent Python implementation of the same rules - a regression anchor, not an external authority.</t>
  </si>
  <si>
    <t>Engineering scenarios after EBA Q&amp;A 2022_6354 (rejected) reproduce its pattern only; the decisive rule is the final Q&amp;A 2023_6962. The EBA swaption figures (~483 / ~761) are as cited in the project note.</t>
  </si>
  <si>
    <t>Basel CRE52 vs EU CRR</t>
  </si>
  <si>
    <t>EU text: CRR consolidated version of 26/06/2026 (Art. 273a-282), Delegated Regulation (EU) 2021/931 as amended by (EU) 2025/855, EBA Q&amp;A. Basel: CRE52, its FAQs and the CRE99 / BCBS 279 examples.</t>
  </si>
  <si>
    <t>#</t>
  </si>
  <si>
    <t>Basel CRE52</t>
  </si>
  <si>
    <t>EU CRR</t>
  </si>
  <si>
    <t>Same / different</t>
  </si>
  <si>
    <t>Effect on numbers</t>
  </si>
  <si>
    <t>Workbook treatment</t>
  </si>
  <si>
    <t>Source check</t>
  </si>
  <si>
    <t>Normative hierarchy</t>
  </si>
  <si>
    <t>CRE52 + CRE52 FAQs; CRE99 / BCBS 279 Annex 4 worked examples.</t>
  </si>
  <si>
    <t>CRR Art. 273a-282 (Level 1) -&gt; Delegated Reg. (EU) 2021/931 as amended (incl. 2025/855) -&gt; EBA Q&amp;A.</t>
  </si>
  <si>
    <t>Different</t>
  </si>
  <si>
    <t>Interpretation route</t>
  </si>
  <si>
    <t>Regime on Params (default CRR), override per netting set. Regime rules sit in the engine, not inside the SACCR_* formula functions.</t>
  </si>
  <si>
    <t>-</t>
  </si>
  <si>
    <t>VERIFIED</t>
  </si>
  <si>
    <t>EAD and alpha</t>
  </si>
  <si>
    <t>EAD = 1.4 x (RC + PFE) [CRE52.1].</t>
  </si>
  <si>
    <t>Art. 274(2): alpha = 1.4; the consolidated text has no alpha exception by counterparty type.</t>
  </si>
  <si>
    <t>Same</t>
  </si>
  <si>
    <t>None</t>
  </si>
  <si>
    <t>Common core. Alpha override per netting set exists only for what-if use.</t>
  </si>
  <si>
    <t>Cap of margined EAD</t>
  </si>
  <si>
    <t>Art. 274(3): capped at the exposure of the same netting set "not subject to any form of margin agreement". RC per Art. 275(1); NICA does not include VM posted or received (EBA Q&amp;A 2023_6962, final, 15/03/2024).</t>
  </si>
  <si>
    <t>T15-T18</t>
  </si>
  <si>
    <t>RC - unmargined</t>
  </si>
  <si>
    <t>RC - margined</t>
  </si>
  <si>
    <t>RC = max(V - C, TH + MTA - NICA, 0) [CRE52.18].</t>
  </si>
  <si>
    <t>RC = max(CMV - VM - NICA, TH + MTA - NICA, 0) [Art. 275(2)].</t>
  </si>
  <si>
    <t>Common core.</t>
  </si>
  <si>
    <t>min(1; 5% + 95% exp((V - C) / (2 x 95% x AddOn))) [CRE52.23].</t>
  </si>
  <si>
    <t>Art. 278(3): same; z = CMV - VM - NICA (margined), CMV - NICA (unmargined).</t>
  </si>
  <si>
    <t>T05, T13</t>
  </si>
  <si>
    <t>Asset classes</t>
  </si>
  <si>
    <t>Five: IR, FX, credit, equity, commodity.</t>
  </si>
  <si>
    <t>Six: adds "other risks" [Art. 277(1)(f)].</t>
  </si>
  <si>
    <t>Additional add-on</t>
  </si>
  <si>
    <t>Asset class OT, allowed only in CRR netting sets; rejected (Checks) under BCBS.</t>
  </si>
  <si>
    <t>T24-T26</t>
  </si>
  <si>
    <t>Other-risks add-on</t>
  </si>
  <si>
    <t>No equivalent.</t>
  </si>
  <si>
    <t>Art. 280f: per hedging set, AddOn = coefficient x 8% x |effective notional|; supervisory option volatility 150% [Art. 279a Table 1].</t>
  </si>
  <si>
    <t>EU only</t>
  </si>
  <si>
    <t>New add-on</t>
  </si>
  <si>
    <t>Hedging set per primary risk driver (risk-factor text) and nature; FX-style aggregation.</t>
  </si>
  <si>
    <t>T24, T25</t>
  </si>
  <si>
    <t>VERIFIED (SF, vol); hedging-set wording OPEN</t>
  </si>
  <si>
    <t>Risk-driver mapping</t>
  </si>
  <si>
    <t>Primary risk driver; for complex trades supervisors may require allocation to more than one class.</t>
  </si>
  <si>
    <t>Art. 277(2)-(3): one vs several material risk drivers, mapped once per risk category; method fixed in Delegated Reg. (EU) 2021/931.</t>
  </si>
  <si>
    <t>Different (EU prescriptive)</t>
  </si>
  <si>
    <t>Classification of hybrids</t>
  </si>
  <si>
    <t>Not automated: enter one leg per risk category, classified per the RTS, all with the same Economic trade ID; the MtM leg (Y) carries the trade's MtM and every other leg 0, which the engine enforces (#38).</t>
  </si>
  <si>
    <t>Commodity hedging sets</t>
  </si>
  <si>
    <t>Energy, metals, agricultural, other [CRE52.70]; no specific rule for weather.</t>
  </si>
  <si>
    <t>Energy, metals, agricultural goods, other, climatic conditions [Art. 277a]; climatic variables mapped to commodity [Art. 277(4)(b)].</t>
  </si>
  <si>
    <t>Climatic trades no longer offset against "other"</t>
  </si>
  <si>
    <t>CO sub-class CLIMATIC (CRR-only row, own hedging set).</t>
  </si>
  <si>
    <t>Inflation</t>
  </si>
  <si>
    <t>Basel FAQ: interest-rate class, separate hedging set per currency, SF 0.5%.</t>
  </si>
  <si>
    <t>Mapped to interest rate.</t>
  </si>
  <si>
    <t>Same numbers</t>
  </si>
  <si>
    <t>None expected</t>
  </si>
  <si>
    <t>Enter as IR; a distinct risk-factor label (e.g. EUR-INFL) gives a separate hedging set.</t>
  </si>
  <si>
    <t>CITED</t>
  </si>
  <si>
    <t>Option delta - negative rates / prices</t>
  </si>
  <si>
    <t>Shift lambda = "presumed lowest possible extent" rates can become negative - judgement [CRE52.40 FAQ2].</t>
  </si>
  <si>
    <t>Delegated Reg. 2021/931 Art. 5 (am. 2025/855), per option: IR lambda = max(0.10% - min(P,K); 0); commodity lambda = max(-(1 + 0.1) x min(P,K); 0).</t>
  </si>
  <si>
    <t>Delta differs when P or K is near or below zero</t>
  </si>
  <si>
    <t>CRR: lambda computed (input ignored with a warning). BCBS: lambda from the trade; rejected if P or K + lambda &lt;= 0.</t>
  </si>
  <si>
    <t>T20-T23</t>
  </si>
  <si>
    <t>VERIFIED (EBA/RTS/2024/16; OJ 2025/855)</t>
  </si>
  <si>
    <t>Supervisory option volatilities</t>
  </si>
  <si>
    <t>CRE52.72 table.</t>
  </si>
  <si>
    <t>Art. 279a Table 1: FX 15%, credit 100% / 80%, equity 120% / 75%, electricity 150%, other commodities 70%, other risks 150%; IR 50% (RTS).</t>
  </si>
  <si>
    <t>Same (+ other risks)</t>
  </si>
  <si>
    <t>Common table on Params.</t>
  </si>
  <si>
    <t>Tests sheet</t>
  </si>
  <si>
    <t>Credit supervisory factors</t>
  </si>
  <si>
    <t>By rating AAA ... CCC and IG / SG index [CRE52.72]; no rule for unrated names.</t>
  </si>
  <si>
    <t>By credit quality step 1-6: 0.38 / 0.42 / 0.54 / 1.06 / 1.60 / 6.00%; index IG 0.38%, non-IG 1.06% [Art. 280c Tables 3-4]; Art. 280c sets the unrated treatment.</t>
  </si>
  <si>
    <t>Same values, different mapping</t>
  </si>
  <si>
    <t>Unrated reference names</t>
  </si>
  <si>
    <t>SD = (exp(-0.05 S) - exp(-0.05 E)) / 0.05, floored at 10 business days [CRE52.34].</t>
  </si>
  <si>
    <t>Art. 279b(1)(a): same, floor 10 / OneBusinessYear; S, E in the relevant business-day convention.</t>
  </si>
  <si>
    <t>Day-count convention only</t>
  </si>
  <si>
    <t>DaysPerYear and BusinessDaysPerYear on Params.</t>
  </si>
  <si>
    <t>Maturity factor and MPOR</t>
  </si>
  <si>
    <t>Unmargined sqrt(min(M,1)), M floored at 10 BD; margined 1.5 sqrt(MPOR/250) [CRE52.48-52.52].</t>
  </si>
  <si>
    <t>Art. 279c, MPOR per Art. 285(2)-(5); 5 BD for client clearing.</t>
  </si>
  <si>
    <t>Basis and volatility transactions</t>
  </si>
  <si>
    <t>SF x 0.5 / x 5, own hedging sets [CRE52.46-52.47].</t>
  </si>
  <si>
    <t>Art. 277a(2) hedging sets; coefficients 0.5 / 5 [Art. 280].</t>
  </si>
  <si>
    <t>Common core (Nature column).</t>
  </si>
  <si>
    <t>IR aggregation</t>
  </si>
  <si>
    <t>Buckets on E (&lt;1y, 1-5y, &gt;5y), cross terms 1.4 / 1.4 / 0.6, optional no-offset formula [CRE52.57].</t>
  </si>
  <si>
    <t>FX adjusted notional</t>
  </si>
  <si>
    <t>Foreign leg; if both legs foreign, the larger converted leg [CRE52.35].</t>
  </si>
  <si>
    <t>Art. 279b(1)(b): same.</t>
  </si>
  <si>
    <t>Enter the relevant leg (larger leg if both are foreign).</t>
  </si>
  <si>
    <t>Sold options / sold protection</t>
  </si>
  <si>
    <t>FAQs under CRE52.1: EAD may be zero for sold options outside netting and margin agreements; sold credit protection may be capped at unpaid premia.</t>
  </si>
  <si>
    <t>Art. 274(5) (sold-options netting set: zero) and 274(7) (cap at unpaid premium) in Level 1.</t>
  </si>
  <si>
    <t>Same substance</t>
  </si>
  <si>
    <t>None if applied</t>
  </si>
  <si>
    <t>Combinations of options</t>
  </si>
  <si>
    <t>CRE52.42(4): a payoff that is a combination of European options is treated as separate trades; CRE52.43 and the CRE52 FAQ allow a multiple-payment option as single-payment options; linear products may not be decomposed.</t>
  </si>
  <si>
    <t>Art. 274(6): decompose linear combinations and vanilla digital options.</t>
  </si>
  <si>
    <t>EU explicit</t>
  </si>
  <si>
    <t>Depends on booking</t>
  </si>
  <si>
    <t>Enter each option as a leg of one economic trade: same Economic trade ID, the MtM on the MtM leg (Y) and 0 on the others; legs in one asset class must all be options (#38).</t>
  </si>
  <si>
    <t>VERIFIED (CRR)</t>
  </si>
  <si>
    <t>Several margin agreements in one netting set</t>
  </si>
  <si>
    <t>Sub-netting sets per margin agreement [CRE52.74].</t>
  </si>
  <si>
    <t>Art. 274(4): hypothetical sub-netting sets by MPOR; RC gross of collateral across all trades.</t>
  </si>
  <si>
    <t>Similar</t>
  </si>
  <si>
    <t>Test each regime separately</t>
  </si>
  <si>
    <t>Not implemented.</t>
  </si>
  <si>
    <t>One margin agreement over several netting sets</t>
  </si>
  <si>
    <t>Shared margin agreement rules in CRE52.</t>
  </si>
  <si>
    <t>Proportional alternatives</t>
  </si>
  <si>
    <t>None in CRE52.</t>
  </si>
  <si>
    <t>Simplified SA-CCR (Art. 281) if derivative business &lt;= 10% of total assets and &lt;= EUR 300m; OEM (Art. 282) if &lt;= 5% and &lt;= EUR 100m [Art. 273a].</t>
  </si>
  <si>
    <t>Different method</t>
  </si>
  <si>
    <t>Collateral eligibility and haircuts</t>
  </si>
  <si>
    <t>Basel credit risk mitigation framework.</t>
  </si>
  <si>
    <t>Art. 276 with the CRR collateral rules (e.g. Art. 223).</t>
  </si>
  <si>
    <t>Different rules</t>
  </si>
  <si>
    <t>Collateral values</t>
  </si>
  <si>
    <t>Collateral is an input after haircuts.</t>
  </si>
  <si>
    <t>IR: currency (hedging set); inflation as the currency followed by -INFL, e.g. EUR-INFL, in its own hedging set [Art. 277(4)(a), 277a(1)]. FX: currency pair, e.g. EUR/USD (order is normalised and the sign adjusted). CR / EQ: reference entity or index name. CO: commodity type (trades with the same text are netted as one type). OT (CRR other risks): primary risk driver.</t>
  </si>
  <si>
    <t>Hedging set per currency; buckets &lt;1y, 1-5y, &gt;5y on E; EN = sqrt(D1^2+D2^2+D3^2+1.4D1D2+1.4D2D3+0.6D1D3); AddOn = 0.5% x EN [CRE52.57, Art. 280a]. BCBS only: IRBucketOffset = FALSE uses the sum of absolute bucket values [CRE52.57(5)]; a CRR netting set with IR trades is then INVALID.</t>
  </si>
  <si>
    <t>Simplified SA-CCR and OEM (CRR Art. 281-282), CCP exposures, SFTs, CVA and RWA; collateral haircuts (enter C after haircuts); several margin agreements in one netting set, or one agreement over several netting sets; automatic risk-driver mapping (RTS 2021/931). The optional reductions for sold options and sold credit protection (Art. 274(5), (7)) are not applied, which gives a higher EAD.</t>
  </si>
  <si>
    <t>CRR climatic conditions: 18%, the factor of every commodity hedging set except electricity [Art. 277a(1)(e)(v), 280e(5)]. Unrated single names: enter CQS3 (0.54%), CQS5 (1.6%) where Art. 128 applies, or the step mapped from an internal rating [Art. 280c(5)(a)].</t>
  </si>
  <si>
    <t>Notes</t>
  </si>
  <si>
    <t>CRE52.57(5); CRR allows TRUE only (Art. 280a(3))</t>
  </si>
  <si>
    <t>CRR Art. 277(4)(b), 277a(1)(e)(v), 280e(5)</t>
  </si>
  <si>
    <t>VERIFIED: 18% [Art. 280e(5)]</t>
  </si>
  <si>
    <t>VERIFIED (CRR Art. 277(4)(a), 277a(1))</t>
  </si>
  <si>
    <t>Sub-classes CQS1-CQS6 added. Unrated: enter CQS3 (0.54%), CQS5 (1.6%) where Art. 128 applies, or the step mapped from an internal rating [Art. 280c(5)(a)].</t>
  </si>
  <si>
    <t>Art. 280a(3): the bucket formula only; no sum of absolute bucket values.</t>
  </si>
  <si>
    <t>CRR netting sets cannot use the sum of absolutes</t>
  </si>
  <si>
    <t>Common core. IRBucketOffset = FALSE applies to BCBS only; a CRR netting set with IR trades is then INVALID.</t>
  </si>
  <si>
    <t>Optional reductions not applied: sold options and sold protection are calculated as ordinary trades, which gives a higher EAD (permitted).</t>
  </si>
  <si>
    <t>EAD = alpha x (RC + PFE)  [CRE52.1 / Art. 274(2)]; margined EAD capped at the unmargined EAD, with C = NICA only in both regimes [CRE52.2, CRE52.10; Art. 274(3), EBA Q&amp;A 2023_6962]</t>
  </si>
  <si>
    <t>Floor 10 BD bilateral, 20 BD if &gt; 5,000 trades or illiquid collateral, 5 BD (configurable) for client clearing: the clearing member in both regimes, the client under CRR only [CRE54.12; Art. 279c(1)]; + (N - 1) for remargining every N days; the result doubled for disputes [CRE52.50-52.52; Art. 285]</t>
  </si>
  <si>
    <t>VM and NICA are netting-set totals in reporting currency; positive = held, negative = posted. VM held on an unmargined netting set is rejected; VM posted on one is a one-way agreement, included in C under BCBS and rejected under CRR, where the netting set is margined.</t>
  </si>
  <si>
    <t>MPOR floor, client clearing (BD)</t>
  </si>
  <si>
    <t>Posted VM: Basel cap uses NICA only -&gt; cap binds (~41)</t>
  </si>
  <si>
    <t>CRE52.2, CRE52.10</t>
  </si>
  <si>
    <t>Same as T17 since #39: cap ~41 &lt; margined ~377</t>
  </si>
  <si>
    <t>Not yet in the catalogue: CRE99 margin-agreement / RC examples (segregated vs non-segregated IM), unrated credit mapping. One-way CSA, the client clearing role and the margin-agreement structures are tested in TEST_InputValidation (#39); several margin agreements per netting set and one agreement over several netting sets are rejected, not modelled.</t>
  </si>
  <si>
    <t>Capped at the EAD of the same netting set "calculated on an unmargined basis" [CRE52.2]; unmargined C is the NICA collateral [CRE52.10], so the cap uses NICA only.</t>
  </si>
  <si>
    <t>None since #39: both caps use NICA (posted-VM scenario ~41m in both regimes).</t>
  </si>
  <si>
    <t>Implemented. Cap: C(cap) = NICA for RC and multiplier in both regimes. Results shows C, RC and multiplier on the cap basis.</t>
  </si>
  <si>
    <t>VERIFIED (CRE52.2, CRE52.10; CRR, Q&amp;A)</t>
  </si>
  <si>
    <t>RC = max(V - C, 0) [CRE52.10]; a one-way agreement where only the bank posts VM is unmargined, and C includes that VM with a negative sign [CRE52.2, CRE52.10 footnote 2].</t>
  </si>
  <si>
    <t>RC = max(CMV - NICA, 0) [Art. 275(1)]; collateral per CRR definitions (Art. 272(12a), 276). A one-way margin agreement is a margin agreement [Art. 272(7a)]: the netting set is margined.</t>
  </si>
  <si>
    <t>Different (one-way agreement)</t>
  </si>
  <si>
    <t>One-way agreements where the bank posts VM</t>
  </si>
  <si>
    <t>Enter collateral after haircuts, in NICA. VM held on an unmargined set is rejected. VM posted (one-way agreement): BCBS includes it in C; CRR rejects it - set Margined = Y.</t>
  </si>
  <si>
    <t>Different (client role)</t>
  </si>
  <si>
    <t>Client facing its clearing member: 5 BD under CRR, 10 BD under BCBS</t>
  </si>
  <si>
    <t>Common core; MPOR floors are parameters. Client clearing role N / CM / CLIENT: 5 BD for CM in both regimes and for CLIENT under CRR [CRE54.12; Art. 279c(1)]; a BCBS client keeps 10 BD [CRE54.8, CRE54.14]. Disputes double F + N - 1; a large or illiquid set takes 20 + N - 1.</t>
  </si>
  <si>
    <t>Not implemented: declare MIXED under Margin agreements; the netting set is rejected.</t>
  </si>
  <si>
    <t>Art. 275(3) (RC) and Art. 278(2) (PFE as sum of unmargined PFEs).</t>
  </si>
  <si>
    <t>Not implemented: declare SHARED under Margin agreements; the netting set is rejected.</t>
  </si>
  <si>
    <t>Unmargined maturity factors; collateral basis per regime (see Results columns Z-AC).</t>
  </si>
  <si>
    <t>ReadMe</t>
  </si>
  <si>
    <t>One row per legally enforceable netting set. 
Collateral after haircuts, reporting currency; VM / NICA positive = held, negative = posted. Client clearing role: N, CM (the bank is the clearing member) or CLIENT. Margin agreements: blank for one agreement, or none, covering only this netting set; MIXED or SHARED declares a structure the engine rejects.</t>
  </si>
  <si>
    <t>Client clearing role (N / CM / CLIENT)</t>
  </si>
  <si>
    <t>Margin agreements (blank / MIXED / SHARED)</t>
  </si>
  <si>
    <t>DEMO-REJECTED</t>
  </si>
  <si>
    <t>Deliberately rejected trades (demo): OT-X is other risks under BCBS, A11 has matured</t>
  </si>
  <si>
    <t>Notional
CCY</t>
  </si>
  <si>
    <t>MtM
CCY</t>
  </si>
  <si>
    <t>Start date
(S)</t>
  </si>
  <si>
    <t>End date
(E)</t>
  </si>
  <si>
    <t>Maturity date
(M)</t>
  </si>
  <si>
    <t>Option expiry
(T)</t>
  </si>
  <si>
    <t>Underlying price
P</t>
  </si>
  <si>
    <t>Strike
K</t>
  </si>
  <si>
    <t>Lambda
shift</t>
  </si>
  <si>
    <t>Attachment
A</t>
  </si>
  <si>
    <t>Detachment
D</t>
  </si>
  <si>
    <t>Economic trade ID</t>
  </si>
  <si>
    <t>MtM leg (Y/N)</t>
  </si>
  <si>
    <t>No results yet: build the workbook from the source, then press Run SA-CCR.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</si>
</sst>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164" formatCode="yyyy\-mm\-dd"/>
    <numFmt numFmtId="165" formatCode="0.00##"/>
    <numFmt numFmtId="166" formatCode="0.000000"/>
    <numFmt numFmtId="167" formatCode="#,##0.0000"/>
    <numFmt numFmtId="168" formatCode="0.0000"/>
    <numFmt numFmtId="169" formatCode="0.0000%"/>
    <numFmt numFmtId="170" formatCode="#,##0.0#####"/>
    <numFmt numFmtId="171" formatCode="0.0E+00"/>
    <numFmt numFmtId="172" formatCode="0.000000000"/>
  </numFmts>
  <fonts count="27" x14ac:knownFonts="1">
    <font>
      <sz val="11"/>
      <color theme="1"/>
      <name val="Aptos"/>
      <family val="2"/>
    </font>
    <font>
      <b/>
      <sz val="16"/>
      <color rgb="FF1F3864"/>
      <name val="Aptos"/>
      <family val="2"/>
    </font>
    <font>
      <i/>
      <sz val="10"/>
      <color rgb="FF595959"/>
      <name val="Aptos"/>
      <family val="2"/>
    </font>
    <font>
      <b/>
      <sz val="12"/>
      <color rgb="FF1F3864"/>
      <name val="Aptos"/>
      <family val="2"/>
    </font>
    <font>
      <b/>
      <sz val="10"/>
      <color theme="1"/>
      <name val="Aptos"/>
      <family val="2"/>
    </font>
    <font>
      <sz val="10"/>
      <color theme="1"/>
      <name val="Aptos"/>
      <family val="2"/>
    </font>
    <font>
      <b/>
      <sz val="10"/>
      <color rgb="FFFFFFFF"/>
      <name val="Aptos"/>
      <family val="2"/>
    </font>
    <font>
      <i/>
      <sz val="10"/>
      <color rgb="FF7F6000"/>
      <name val="Aptos"/>
      <family val="2"/>
    </font>
    <font>
      <sz val="9"/>
      <color theme="1"/>
      <name val="Aptos"/>
      <family val="2"/>
    </font>
    <font>
      <sz val="14"/>
      <color rgb="FFFFC000"/>
      <name val="Aptos"/>
      <family val="2"/>
    </font>
    <font>
      <sz val="11"/>
      <color rgb="FFFFC000"/>
      <name val="Aptos"/>
      <family val="2"/>
    </font>
    <font>
      <b/>
      <sz val="18"/>
      <color theme="0"/>
      <name val="Aptos"/>
      <family val="2"/>
    </font>
    <font>
      <b/>
      <sz val="9"/>
      <color rgb="FF1F3864"/>
      <name val="Aptos"/>
      <family val="2"/>
    </font>
    <font>
      <b/>
      <sz val="14"/>
      <color rgb="FF1F3864"/>
      <name val="Aptos"/>
      <family val="2"/>
    </font>
    <font>
      <sz val="9"/>
      <color rgb="FF595959"/>
      <name val="Aptos"/>
      <family val="2"/>
    </font>
    <font>
      <b/>
      <sz val="11"/>
      <color rgb="FFFFFFFF"/>
      <name val="Aptos"/>
      <family val="2"/>
    </font>
    <font>
      <b/>
      <sz val="12"/>
      <color rgb="FFFFFFFF"/>
      <name val="Aptos"/>
      <family val="2"/>
    </font>
    <font>
      <i/>
      <sz val="9"/>
      <color rgb="FF595959"/>
      <name val="Aptos"/>
      <family val="2"/>
    </font>
    <font>
      <b/>
      <sz val="9"/>
      <color rgb="FFFFFFFF"/>
      <name val="Aptos"/>
      <family val="2"/>
    </font>
    <font>
      <sz val="8"/>
      <color rgb="FF595959"/>
      <name val="Aptos"/>
      <family val="2"/>
    </font>
    <font>
      <b/>
      <sz val="9"/>
      <color theme="1"/>
      <name val="Aptos"/>
      <family val="2"/>
    </font>
    <font>
      <b/>
      <sz val="9"/>
      <color rgb="FF9C0006"/>
      <name val="Aptos"/>
      <family val="2"/>
    </font>
    <font>
      <sz val="9"/>
      <color rgb="FF375623"/>
      <name val="Aptos"/>
      <family val="2"/>
    </font>
    <font>
      <b/>
      <sz val="9"/>
      <color rgb="FFC00000"/>
      <name val="Aptos"/>
      <family val="2"/>
    </font>
    <font>
      <b/>
      <sz val="11"/>
      <color theme="1"/>
      <name val="Aptos"/>
      <family val="2"/>
    </font>
    <font>
      <sz val="11"/>
      <color rgb="FF000000"/>
      <name val="Aptos"/>
      <family val="2"/>
    </font>
    <font>
      <b/>
      <sz val="9"/>
      <color rgb="FF375623"/>
      <name val="Aptos"/>
      <family val="2"/>
    </font>
  </fonts>
  <fills count="9">
    <fill>
      <patternFill patternType="none"/>
    </fill>
    <fill>
      <patternFill patternType="gray125"/>
    </fill>
    <fill>
      <patternFill patternType="solid">
        <fgColor rgb="FF1F3864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7F7F7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265A99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medium">
        <color rgb="FF1F3864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auto="1"/>
      </top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 style="dotted">
        <color rgb="FFBFBFBF"/>
      </right>
      <top style="thin">
        <color rgb="FFBFBFBF"/>
      </top>
      <bottom style="dotted">
        <color rgb="FFBFBFBF"/>
      </bottom>
      <diagonal/>
    </border>
    <border>
      <left style="dotted">
        <color rgb="FFBFBFBF"/>
      </left>
      <right style="dotted">
        <color rgb="FFBFBFBF"/>
      </right>
      <top style="thin">
        <color rgb="FFBFBFBF"/>
      </top>
      <bottom style="dotted">
        <color rgb="FFBFBFBF"/>
      </bottom>
      <diagonal/>
    </border>
    <border>
      <left style="dotted">
        <color rgb="FFBFBFBF"/>
      </left>
      <right/>
      <top style="thin">
        <color rgb="FFBFBFBF"/>
      </top>
      <bottom style="dotted">
        <color rgb="FFBFBFBF"/>
      </bottom>
      <diagonal/>
    </border>
    <border>
      <left/>
      <right style="dotted">
        <color rgb="FFBFBFBF"/>
      </right>
      <top style="dotted">
        <color rgb="FFBFBFBF"/>
      </top>
      <bottom style="dotted">
        <color rgb="FFBFBFBF"/>
      </bottom>
      <diagonal/>
    </border>
    <border>
      <left style="dotted">
        <color rgb="FFBFBFBF"/>
      </left>
      <right style="dotted">
        <color rgb="FFBFBFBF"/>
      </right>
      <top style="dotted">
        <color rgb="FFBFBFBF"/>
      </top>
      <bottom style="dotted">
        <color rgb="FFBFBFBF"/>
      </bottom>
      <diagonal/>
    </border>
    <border>
      <left style="dotted">
        <color rgb="FFBFBFBF"/>
      </left>
      <right/>
      <top style="dotted">
        <color rgb="FFBFBFBF"/>
      </top>
      <bottom style="dotted">
        <color rgb="FFBFBFBF"/>
      </bottom>
      <diagonal/>
    </border>
    <border>
      <left/>
      <right style="dotted">
        <color rgb="FFBFBFBF"/>
      </right>
      <top style="dotted">
        <color rgb="FFBFBFBF"/>
      </top>
      <bottom/>
      <diagonal/>
    </border>
    <border>
      <left style="dotted">
        <color rgb="FFBFBFBF"/>
      </left>
      <right style="dotted">
        <color rgb="FFBFBFBF"/>
      </right>
      <top style="dotted">
        <color rgb="FFBFBFBF"/>
      </top>
      <bottom/>
      <diagonal/>
    </border>
    <border>
      <left style="dotted">
        <color rgb="FFBFBFBF"/>
      </left>
      <right/>
      <top style="dotted">
        <color rgb="FFBFBFBF"/>
      </top>
      <bottom/>
      <diagonal/>
    </border>
  </borders>
  <cellStyleXfs count="1">
    <xf numFmtId="0" fontId="0" fillId="0" borderId="0">
      <alignment vertical="center"/>
    </xf>
  </cellStyleXfs>
  <cellXfs count="129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3" fillId="0" borderId="1" xfId="0" applyFont="1" applyBorder="1">
      <alignment vertical="center"/>
    </xf>
    <xf numFmtId="0" fontId="4" fillId="0" borderId="0" xfId="0" applyFont="1">
      <alignment vertical="center"/>
    </xf>
    <xf numFmtId="0" fontId="5" fillId="0" borderId="0" xfId="0" applyFont="1" applyAlignment="1">
      <alignment vertical="center" wrapText="1"/>
    </xf>
    <xf numFmtId="0" fontId="6" fillId="2" borderId="2" xfId="0" applyFont="1" applyFill="1" applyBorder="1" applyAlignment="1">
      <alignment vertical="center" wrapText="1"/>
    </xf>
    <xf numFmtId="0" fontId="5" fillId="0" borderId="0" xfId="0" applyFont="1">
      <alignment vertical="center"/>
    </xf>
    <xf numFmtId="49" fontId="5" fillId="3" borderId="2" xfId="0" applyNumberFormat="1" applyFont="1" applyFill="1" applyBorder="1">
      <alignment vertical="center"/>
    </xf>
    <xf numFmtId="0" fontId="5" fillId="0" borderId="0" xfId="0" applyFont="1" applyAlignment="1">
      <alignment horizontal="center" vertical="center"/>
    </xf>
    <xf numFmtId="1" fontId="5" fillId="0" borderId="0" xfId="0" applyNumberFormat="1" applyFont="1">
      <alignment vertical="center"/>
    </xf>
    <xf numFmtId="3" fontId="5" fillId="0" borderId="0" xfId="0" applyNumberFormat="1" applyFont="1">
      <alignment vertical="center"/>
    </xf>
    <xf numFmtId="168" fontId="5" fillId="0" borderId="0" xfId="0" applyNumberFormat="1" applyFont="1">
      <alignment vertical="center"/>
    </xf>
    <xf numFmtId="2" fontId="5" fillId="0" borderId="0" xfId="0" applyNumberFormat="1" applyFont="1">
      <alignment vertical="center"/>
    </xf>
    <xf numFmtId="0" fontId="7" fillId="0" borderId="0" xfId="0" applyFont="1">
      <alignment vertical="center"/>
    </xf>
    <xf numFmtId="0" fontId="6" fillId="4" borderId="2" xfId="0" applyFont="1" applyFill="1" applyBorder="1" applyAlignment="1">
      <alignment vertical="center" wrapText="1"/>
    </xf>
    <xf numFmtId="10" fontId="5" fillId="0" borderId="0" xfId="0" applyNumberFormat="1" applyFont="1">
      <alignment vertical="center"/>
    </xf>
    <xf numFmtId="9" fontId="5" fillId="0" borderId="0" xfId="0" applyNumberFormat="1" applyFont="1">
      <alignment vertical="center"/>
    </xf>
    <xf numFmtId="169" fontId="5" fillId="0" borderId="0" xfId="0" applyNumberFormat="1" applyFont="1">
      <alignment vertical="center"/>
    </xf>
    <xf numFmtId="170" fontId="5" fillId="3" borderId="0" xfId="0" applyNumberFormat="1" applyFont="1" applyFill="1">
      <alignment vertical="center"/>
    </xf>
    <xf numFmtId="171" fontId="5" fillId="0" borderId="0" xfId="0" applyNumberFormat="1" applyFont="1">
      <alignment vertical="center"/>
    </xf>
    <xf numFmtId="170" fontId="5" fillId="0" borderId="0" xfId="0" applyNumberFormat="1" applyFont="1">
      <alignment vertical="center"/>
    </xf>
    <xf numFmtId="0" fontId="4" fillId="0" borderId="0" xfId="0" applyFont="1" applyAlignment="1">
      <alignment horizontal="center" vertical="center"/>
    </xf>
    <xf numFmtId="0" fontId="5" fillId="3" borderId="0" xfId="0" applyFont="1" applyFill="1">
      <alignment vertical="center"/>
    </xf>
    <xf numFmtId="0" fontId="8" fillId="5" borderId="0" xfId="0" applyFont="1" applyFill="1" applyAlignment="1">
      <alignment vertical="center" wrapText="1"/>
    </xf>
    <xf numFmtId="0" fontId="4" fillId="0" borderId="0" xfId="0" applyFont="1" applyAlignment="1">
      <alignment vertical="center" wrapText="1"/>
    </xf>
    <xf numFmtId="0" fontId="9" fillId="7" borderId="0" xfId="0" applyFont="1" applyFill="1" applyAlignment="1">
      <alignment horizontal="left" vertical="center" indent="1"/>
    </xf>
    <xf numFmtId="14" fontId="10" fillId="7" borderId="0" xfId="0" applyNumberFormat="1" applyFont="1" applyFill="1">
      <alignment vertical="center"/>
    </xf>
    <xf numFmtId="0" fontId="10" fillId="7" borderId="0" xfId="0" applyFont="1" applyFill="1">
      <alignment vertical="center"/>
    </xf>
    <xf numFmtId="14" fontId="0" fillId="0" borderId="0" xfId="0" applyNumberFormat="1">
      <alignment vertical="center"/>
    </xf>
    <xf numFmtId="0" fontId="11" fillId="8" borderId="0" xfId="0" applyFont="1" applyFill="1" applyAlignment="1">
      <alignment horizontal="left" vertical="center" indent="1"/>
    </xf>
    <xf numFmtId="14" fontId="0" fillId="8" borderId="0" xfId="0" applyNumberFormat="1" applyFill="1">
      <alignment vertical="center"/>
    </xf>
    <xf numFmtId="0" fontId="0" fillId="8" borderId="0" xfId="0" applyFill="1">
      <alignment vertical="center"/>
    </xf>
    <xf numFmtId="0" fontId="13" fillId="0" borderId="1" xfId="0" applyFont="1" applyBorder="1" applyAlignment="1">
      <alignment vertical="center" wrapText="1"/>
    </xf>
    <xf numFmtId="0" fontId="8" fillId="0" borderId="0" xfId="0" applyFont="1" applyAlignment="1">
      <alignment vertical="center" wrapText="1"/>
    </xf>
    <xf numFmtId="0" fontId="0" fillId="0" borderId="0" xfId="0" applyAlignment="1">
      <alignment vertical="center" wrapText="1"/>
    </xf>
    <xf numFmtId="0" fontId="8" fillId="0" borderId="0" xfId="0" applyFont="1">
      <alignment vertical="center"/>
    </xf>
    <xf numFmtId="0" fontId="12" fillId="0" borderId="1" xfId="0" applyFont="1" applyBorder="1">
      <alignment vertical="center"/>
    </xf>
    <xf numFmtId="0" fontId="16" fillId="2" borderId="2" xfId="0" applyFont="1" applyFill="1" applyBorder="1" applyAlignment="1">
      <alignment vertical="center" wrapText="1"/>
    </xf>
    <xf numFmtId="0" fontId="16" fillId="2" borderId="4" xfId="0" applyFont="1" applyFill="1" applyBorder="1" applyAlignment="1">
      <alignment horizontal="center" vertical="center" wrapText="1"/>
    </xf>
    <xf numFmtId="0" fontId="16" fillId="2" borderId="4" xfId="0" applyFont="1" applyFill="1" applyBorder="1" applyAlignment="1">
      <alignment vertical="center" wrapText="1"/>
    </xf>
    <xf numFmtId="0" fontId="6" fillId="2" borderId="0" xfId="0" applyFont="1" applyFill="1" applyAlignment="1">
      <alignment vertical="center" wrapText="1"/>
    </xf>
    <xf numFmtId="164" fontId="8" fillId="3" borderId="2" xfId="0" applyNumberFormat="1" applyFont="1" applyFill="1" applyBorder="1">
      <alignment vertical="center"/>
    </xf>
    <xf numFmtId="0" fontId="14" fillId="0" borderId="0" xfId="0" applyFont="1">
      <alignment vertical="center"/>
    </xf>
    <xf numFmtId="49" fontId="8" fillId="3" borderId="2" xfId="0" applyNumberFormat="1" applyFont="1" applyFill="1" applyBorder="1" applyAlignment="1">
      <alignment horizontal="center" vertical="center"/>
    </xf>
    <xf numFmtId="165" fontId="8" fillId="3" borderId="2" xfId="0" applyNumberFormat="1" applyFont="1" applyFill="1" applyBorder="1">
      <alignment vertical="center"/>
    </xf>
    <xf numFmtId="10" fontId="8" fillId="3" borderId="2" xfId="0" applyNumberFormat="1" applyFont="1" applyFill="1" applyBorder="1">
      <alignment vertical="center"/>
    </xf>
    <xf numFmtId="0" fontId="8" fillId="3" borderId="2" xfId="0" applyFont="1" applyFill="1" applyBorder="1">
      <alignment vertical="center"/>
    </xf>
    <xf numFmtId="0" fontId="13" fillId="0" borderId="1" xfId="0" applyFont="1" applyBorder="1">
      <alignment vertical="center"/>
    </xf>
    <xf numFmtId="0" fontId="16" fillId="2" borderId="2" xfId="0" applyFont="1" applyFill="1" applyBorder="1" applyAlignment="1">
      <alignment horizontal="center" vertical="center" wrapText="1"/>
    </xf>
    <xf numFmtId="0" fontId="8" fillId="0" borderId="0" xfId="0" applyFont="1" applyAlignment="1">
      <alignment horizontal="center" vertical="center"/>
    </xf>
    <xf numFmtId="10" fontId="8" fillId="3" borderId="2" xfId="0" applyNumberFormat="1" applyFont="1" applyFill="1" applyBorder="1" applyAlignment="1">
      <alignment horizontal="center" vertical="center"/>
    </xf>
    <xf numFmtId="9" fontId="8" fillId="3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/>
    </xf>
    <xf numFmtId="0" fontId="15" fillId="2" borderId="2" xfId="0" applyFont="1" applyFill="1" applyBorder="1" applyAlignment="1">
      <alignment horizontal="left" vertical="center" wrapText="1"/>
    </xf>
    <xf numFmtId="0" fontId="15" fillId="2" borderId="2" xfId="0" applyFont="1" applyFill="1" applyBorder="1" applyAlignment="1">
      <alignment horizontal="center" vertical="center" wrapText="1"/>
    </xf>
    <xf numFmtId="166" fontId="8" fillId="3" borderId="2" xfId="0" applyNumberFormat="1" applyFont="1" applyFill="1" applyBorder="1">
      <alignment vertical="center"/>
    </xf>
    <xf numFmtId="0" fontId="17" fillId="0" borderId="0" xfId="0" applyFont="1" applyAlignment="1">
      <alignment vertical="center" wrapText="1"/>
    </xf>
    <xf numFmtId="0" fontId="18" fillId="2" borderId="2" xfId="0" applyFont="1" applyFill="1" applyBorder="1" applyAlignment="1">
      <alignment vertical="center" wrapText="1"/>
    </xf>
    <xf numFmtId="0" fontId="18" fillId="2" borderId="2" xfId="0" applyFont="1" applyFill="1" applyBorder="1" applyAlignment="1">
      <alignment horizontal="center" vertical="center" wrapText="1"/>
    </xf>
    <xf numFmtId="49" fontId="8" fillId="3" borderId="2" xfId="0" applyNumberFormat="1" applyFont="1" applyFill="1" applyBorder="1">
      <alignment vertical="center"/>
    </xf>
    <xf numFmtId="1" fontId="8" fillId="3" borderId="2" xfId="0" applyNumberFormat="1" applyFont="1" applyFill="1" applyBorder="1" applyAlignment="1">
      <alignment horizontal="center" vertical="center"/>
    </xf>
    <xf numFmtId="1" fontId="8" fillId="3" borderId="2" xfId="0" applyNumberFormat="1" applyFont="1" applyFill="1" applyBorder="1">
      <alignment vertical="center"/>
    </xf>
    <xf numFmtId="3" fontId="8" fillId="3" borderId="2" xfId="0" applyNumberFormat="1" applyFont="1" applyFill="1" applyBorder="1">
      <alignment vertical="center"/>
    </xf>
    <xf numFmtId="2" fontId="8" fillId="3" borderId="2" xfId="0" applyNumberFormat="1" applyFont="1" applyFill="1" applyBorder="1">
      <alignment vertical="center"/>
    </xf>
    <xf numFmtId="0" fontId="9" fillId="7" borderId="0" xfId="0" applyFont="1" applyFill="1" applyAlignment="1">
      <alignment horizontal="left" vertical="center"/>
    </xf>
    <xf numFmtId="0" fontId="10" fillId="7" borderId="0" xfId="0" applyFont="1" applyFill="1" applyAlignment="1">
      <alignment horizontal="center" vertical="center"/>
    </xf>
    <xf numFmtId="0" fontId="11" fillId="8" borderId="0" xfId="0" applyFont="1" applyFill="1" applyAlignment="1">
      <alignment horizontal="left" vertical="center"/>
    </xf>
    <xf numFmtId="0" fontId="0" fillId="8" borderId="0" xfId="0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19" fillId="0" borderId="0" xfId="0" applyFont="1" applyAlignment="1">
      <alignment horizontal="right" vertical="center" wrapText="1"/>
    </xf>
    <xf numFmtId="0" fontId="15" fillId="2" borderId="2" xfId="0" applyFont="1" applyFill="1" applyBorder="1" applyAlignment="1">
      <alignment vertical="center" wrapText="1"/>
    </xf>
    <xf numFmtId="164" fontId="8" fillId="3" borderId="2" xfId="0" applyNumberFormat="1" applyFont="1" applyFill="1" applyBorder="1" applyAlignment="1">
      <alignment horizontal="center" vertical="center"/>
    </xf>
    <xf numFmtId="167" fontId="8" fillId="3" borderId="2" xfId="0" applyNumberFormat="1" applyFont="1" applyFill="1" applyBorder="1">
      <alignment vertical="center"/>
    </xf>
    <xf numFmtId="168" fontId="8" fillId="3" borderId="2" xfId="0" applyNumberFormat="1" applyFont="1" applyFill="1" applyBorder="1">
      <alignment vertical="center"/>
    </xf>
    <xf numFmtId="14" fontId="8" fillId="0" borderId="0" xfId="0" applyNumberFormat="1" applyFont="1" applyAlignment="1">
      <alignment horizontal="center" vertical="center"/>
    </xf>
    <xf numFmtId="14" fontId="10" fillId="7" borderId="0" xfId="0" applyNumberFormat="1" applyFont="1" applyFill="1" applyAlignment="1">
      <alignment horizontal="center" vertical="center"/>
    </xf>
    <xf numFmtId="14" fontId="0" fillId="8" borderId="0" xfId="0" applyNumberFormat="1" applyFill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20" fillId="0" borderId="5" xfId="0" applyFont="1" applyBorder="1" applyAlignment="1">
      <alignment horizontal="center" vertical="center"/>
    </xf>
    <xf numFmtId="0" fontId="20" fillId="0" borderId="6" xfId="0" applyFont="1" applyBorder="1" applyAlignment="1">
      <alignment vertical="center" wrapText="1"/>
    </xf>
    <xf numFmtId="0" fontId="8" fillId="0" borderId="6" xfId="0" applyFont="1" applyBorder="1" applyAlignment="1">
      <alignment vertical="center" wrapText="1"/>
    </xf>
    <xf numFmtId="0" fontId="21" fillId="0" borderId="6" xfId="0" applyFont="1" applyBorder="1" applyAlignment="1">
      <alignment vertical="center" wrapText="1"/>
    </xf>
    <xf numFmtId="0" fontId="8" fillId="0" borderId="6" xfId="0" applyFont="1" applyBorder="1" applyAlignment="1">
      <alignment horizontal="center" vertical="center" wrapText="1"/>
    </xf>
    <xf numFmtId="0" fontId="8" fillId="0" borderId="7" xfId="0" applyFont="1" applyBorder="1" applyAlignment="1">
      <alignment vertical="center" wrapText="1"/>
    </xf>
    <xf numFmtId="0" fontId="20" fillId="0" borderId="8" xfId="0" applyFont="1" applyBorder="1" applyAlignment="1">
      <alignment horizontal="center" vertical="center"/>
    </xf>
    <xf numFmtId="0" fontId="20" fillId="0" borderId="9" xfId="0" applyFont="1" applyBorder="1" applyAlignment="1">
      <alignment vertical="center" wrapText="1"/>
    </xf>
    <xf numFmtId="0" fontId="8" fillId="0" borderId="9" xfId="0" applyFont="1" applyBorder="1" applyAlignment="1">
      <alignment vertical="center" wrapText="1"/>
    </xf>
    <xf numFmtId="0" fontId="22" fillId="0" borderId="9" xfId="0" applyFont="1" applyBorder="1" applyAlignment="1">
      <alignment vertical="center" wrapText="1"/>
    </xf>
    <xf numFmtId="0" fontId="8" fillId="0" borderId="9" xfId="0" applyFont="1" applyBorder="1" applyAlignment="1">
      <alignment horizontal="center" vertical="center" wrapText="1"/>
    </xf>
    <xf numFmtId="0" fontId="8" fillId="0" borderId="10" xfId="0" applyFont="1" applyBorder="1" applyAlignment="1">
      <alignment vertical="center" wrapText="1"/>
    </xf>
    <xf numFmtId="0" fontId="21" fillId="0" borderId="9" xfId="0" applyFont="1" applyBorder="1" applyAlignment="1">
      <alignment vertical="center" wrapText="1"/>
    </xf>
    <xf numFmtId="0" fontId="23" fillId="0" borderId="10" xfId="0" applyFont="1" applyBorder="1" applyAlignment="1">
      <alignment vertical="center" wrapText="1"/>
    </xf>
    <xf numFmtId="0" fontId="8" fillId="0" borderId="9" xfId="0" applyFont="1" applyBorder="1">
      <alignment vertical="center"/>
    </xf>
    <xf numFmtId="0" fontId="8" fillId="0" borderId="9" xfId="0" applyFont="1" applyBorder="1" applyAlignment="1">
      <alignment horizontal="center" vertical="center"/>
    </xf>
    <xf numFmtId="0" fontId="8" fillId="0" borderId="10" xfId="0" applyFont="1" applyBorder="1">
      <alignment vertical="center"/>
    </xf>
    <xf numFmtId="0" fontId="20" fillId="0" borderId="11" xfId="0" applyFont="1" applyBorder="1" applyAlignment="1">
      <alignment horizontal="center" vertical="center"/>
    </xf>
    <xf numFmtId="0" fontId="8" fillId="0" borderId="12" xfId="0" applyFont="1" applyBorder="1">
      <alignment vertical="center"/>
    </xf>
    <xf numFmtId="0" fontId="8" fillId="0" borderId="12" xfId="0" applyFont="1" applyBorder="1" applyAlignment="1">
      <alignment horizontal="center" vertical="center"/>
    </xf>
    <xf numFmtId="0" fontId="8" fillId="0" borderId="13" xfId="0" applyFont="1" applyBorder="1">
      <alignment vertical="center"/>
    </xf>
    <xf numFmtId="0" fontId="24" fillId="0" borderId="0" xfId="0" applyFont="1" applyAlignment="1">
      <alignment horizontal="center" vertical="center"/>
    </xf>
    <xf numFmtId="0" fontId="5" fillId="0" borderId="0" xfId="0" applyFont="1" applyAlignment="1">
      <alignment vertical="center" wrapText="1"/>
    </xf>
    <xf numFmtId="0" fontId="5" fillId="0" borderId="0" xfId="0" applyFont="1" applyFill="1">
      <alignment vertical="center"/>
    </xf>
    <xf numFmtId="1" fontId="5" fillId="0" borderId="0" xfId="0" applyNumberFormat="1" applyFont="1" applyFill="1">
      <alignment vertical="center"/>
    </xf>
    <xf numFmtId="3" fontId="5" fillId="0" borderId="0" xfId="0" applyNumberFormat="1" applyFont="1" applyFill="1">
      <alignment vertical="center"/>
    </xf>
    <xf numFmtId="168" fontId="5" fillId="0" borderId="0" xfId="0" applyNumberFormat="1" applyFont="1" applyFill="1">
      <alignment vertical="center"/>
    </xf>
    <xf numFmtId="2" fontId="5" fillId="0" borderId="0" xfId="0" applyNumberFormat="1" applyFont="1" applyFill="1">
      <alignment vertical="center"/>
    </xf>
    <xf numFmtId="1" fontId="5" fillId="0" borderId="3" xfId="0" applyNumberFormat="1" applyFont="1" applyFill="1" applyBorder="1">
      <alignment vertical="center"/>
    </xf>
    <xf numFmtId="3" fontId="5" fillId="0" borderId="3" xfId="0" applyNumberFormat="1" applyFont="1" applyFill="1" applyBorder="1">
      <alignment vertical="center"/>
    </xf>
    <xf numFmtId="168" fontId="5" fillId="0" borderId="3" xfId="0" applyNumberFormat="1" applyFont="1" applyFill="1" applyBorder="1">
      <alignment vertical="center"/>
    </xf>
    <xf numFmtId="2" fontId="5" fillId="0" borderId="3" xfId="0" applyNumberFormat="1" applyFont="1" applyFill="1" applyBorder="1">
      <alignment vertical="center"/>
    </xf>
    <xf numFmtId="49" fontId="5" fillId="0" borderId="0" xfId="0" applyNumberFormat="1" applyFont="1" applyFill="1">
      <alignment vertical="center"/>
    </xf>
    <xf numFmtId="49" fontId="5" fillId="0" borderId="3" xfId="0" applyNumberFormat="1" applyFont="1" applyFill="1" applyBorder="1">
      <alignment vertical="center"/>
    </xf>
    <xf numFmtId="49" fontId="5" fillId="0" borderId="0" xfId="0" applyNumberFormat="1" applyFont="1" applyFill="1" applyAlignment="1">
      <alignment horizontal="center" vertical="center"/>
    </xf>
    <xf numFmtId="49" fontId="5" fillId="0" borderId="3" xfId="0" applyNumberFormat="1" applyFont="1" applyFill="1" applyBorder="1" applyAlignment="1">
      <alignment horizontal="center" vertical="center"/>
    </xf>
    <xf numFmtId="10" fontId="5" fillId="0" borderId="0" xfId="0" applyNumberFormat="1" applyFont="1" applyFill="1">
      <alignment vertical="center"/>
    </xf>
    <xf numFmtId="169" fontId="5" fillId="0" borderId="0" xfId="0" applyNumberFormat="1" applyFont="1" applyFill="1">
      <alignment vertical="center"/>
    </xf>
    <xf numFmtId="9" fontId="5" fillId="0" borderId="0" xfId="0" applyNumberFormat="1" applyFont="1" applyFill="1">
      <alignment vertical="center"/>
    </xf>
    <xf numFmtId="49" fontId="4" fillId="0" borderId="0" xfId="0" applyNumberFormat="1" applyFont="1" applyFill="1">
      <alignment vertical="center"/>
    </xf>
    <xf numFmtId="49" fontId="4" fillId="0" borderId="0" xfId="0" applyNumberFormat="1" applyFont="1" applyFill="1" applyAlignment="1">
      <alignment horizontal="center" vertical="center"/>
    </xf>
    <xf numFmtId="1" fontId="4" fillId="0" borderId="0" xfId="0" applyNumberFormat="1" applyFont="1" applyFill="1">
      <alignment vertical="center"/>
    </xf>
    <xf numFmtId="3" fontId="4" fillId="0" borderId="0" xfId="0" applyNumberFormat="1" applyFont="1" applyFill="1">
      <alignment vertical="center"/>
    </xf>
    <xf numFmtId="168" fontId="4" fillId="0" borderId="0" xfId="0" applyNumberFormat="1" applyFont="1" applyFill="1">
      <alignment vertical="center"/>
    </xf>
    <xf numFmtId="2" fontId="4" fillId="0" borderId="0" xfId="0" applyNumberFormat="1" applyFont="1" applyFill="1">
      <alignment vertical="center"/>
    </xf>
    <xf numFmtId="0" fontId="4" fillId="0" borderId="0" xfId="0" applyFont="1" applyFill="1">
      <alignment vertical="center"/>
    </xf>
    <xf numFmtId="172" fontId="8" fillId="0" borderId="0" xfId="0" applyNumberFormat="1" applyFont="1">
      <alignment vertical="center"/>
    </xf>
    <xf numFmtId="171" fontId="8" fillId="0" borderId="0" xfId="0" applyNumberFormat="1" applyFont="1">
      <alignment vertical="center"/>
    </xf>
    <xf numFmtId="0" fontId="26" fillId="6" borderId="0" xfId="0" applyFont="1" applyFill="1" applyAlignment="1">
      <alignment horizontal="center" vertical="center"/>
    </xf>
    <xf numFmtId="0" fontId="20" fillId="0" borderId="0" xfId="0" applyFont="1">
      <alignment vertical="center"/>
    </xf>
  </cellXfs>
  <cellStyles count="1">
    <cellStyle name="Normal" xfId="0" builtinId="0"/>
  </cellStyles>
  <dxfs count="7">
    <dxf>
      <font>
        <color rgb="FF9C0006"/>
      </font>
      <fill>
        <patternFill>
          <bgColor rgb="FFFFC7CE"/>
        </patternFill>
      </fill>
    </dxf>
    <dxf>
      <font>
        <color rgb="FF375623"/>
      </font>
      <fill>
        <patternFill>
          <bgColor rgb="FFE2EFDA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trlProps/ctrlProp1.xml><?xml version="1.0" encoding="utf-8"?>
<formControlPr xmlns="http://schemas.microsoft.com/office/spreadsheetml/2009/9/main" objectType="Button" lockText="1"/>
</file>

<file path=xl/ctrlProps/ctrlProp2.xml><?xml version="1.0" encoding="utf-8"?>
<formControlPr xmlns="http://schemas.microsoft.com/office/spreadsheetml/2009/9/main" objectType="Button" lockText="1"/>
</file>

<file path=xl/ctrlProps/ctrlProp3.xml><?xml version="1.0" encoding="utf-8"?>
<formControlPr xmlns="http://schemas.microsoft.com/office/spreadsheetml/2009/9/main" objectType="Button" lockText="1"/>
</file>

<file path=xl/ctrlProps/ctrlProp4.xml><?xml version="1.0" encoding="utf-8"?>
<formControlPr xmlns="http://schemas.microsoft.com/office/spreadsheetml/2009/9/main" objectType="Button" lockText="1"/>
</file>

<file path=xl/ctrlProps/ctrlProp5.xml><?xml version="1.0" encoding="utf-8"?>
<formControlPr xmlns="http://schemas.microsoft.com/office/spreadsheetml/2009/9/main" objectType="Button" lockText="1"/>
</file>

<file path=xl/ctrlProps/ctrlProp6.xml><?xml version="1.0" encoding="utf-8"?>
<formControlPr xmlns="http://schemas.microsoft.com/office/spreadsheetml/2009/9/main" objectType="Button" lockText="1"/>
</file>

<file path=xl/ctrlProps/ctrlProp7.xml><?xml version="1.0" encoding="utf-8"?>
<formControlPr xmlns="http://schemas.microsoft.com/office/spreadsheetml/2009/9/main" objectType="Button" lockText="1"/>
</file>

<file path=xl/ctrlProps/ctrlProp8.xml><?xml version="1.0" encoding="utf-8"?>
<formControlPr xmlns="http://schemas.microsoft.com/office/spreadsheetml/2009/9/main" objectType="Button" lockText="1"/>
</file>

<file path=xl/ctrlProps/ctrlProp9.xml><?xml version="1.0" encoding="utf-8"?>
<formControlPr xmlns="http://schemas.microsoft.com/office/spreadsheetml/2009/9/main" objectType="Button" lockText="1"/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>
        <xdr:from>
          <xdr:col>7</xdr:col>
          <xdr:colOff>0</xdr:colOff>
          <xdr:row>2</xdr:row>
          <xdr:rowOff>66675</xdr:rowOff>
        </xdr:from>
        <xdr:to>
          <xdr:col>8</xdr:col>
          <xdr:colOff>419100</xdr:colOff>
          <xdr:row>2</xdr:row>
          <xdr:rowOff>314325</xdr:rowOff>
        </xdr:to>
        <xdr:sp macro="" textlink="">
          <xdr:nvSpPr>
            <xdr:cNvPr id="2049" name="Button 1" hidden="1">
              <a:extLst>
                <a:ext uri="{63B3BB69-23CF-44E3-9099-C40C66FF867C}">
                  <a14:compatExt spid="_x0000_s2049"/>
                </a:ext>
                <a:ext uri="{FF2B5EF4-FFF2-40B4-BE49-F238E27FC236}">
                  <a16:creationId xmlns:a16="http://schemas.microsoft.com/office/drawing/2014/main" id="{00000000-0008-0000-0300-000001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27432" tIns="27432" rIns="27432" bIns="27432" anchor="ctr" upright="1"/>
            <a:lstStyle/>
            <a:p>
              <a:pPr algn="ctr" rtl="0">
                <a:defRPr sz="1000"/>
              </a:pPr>
              <a:r>
                <a:rPr lang="en-US" sz="1100" b="0" i="0" u="none" strike="noStrike" baseline="0">
                  <a:solidFill>
                    <a:srgbClr val="000000"/>
                  </a:solidFill>
                  <a:latin typeface="Aptos"/>
                </a:rPr>
                <a:t>Run SA-CCR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8</xdr:col>
          <xdr:colOff>514350</xdr:colOff>
          <xdr:row>2</xdr:row>
          <xdr:rowOff>66675</xdr:rowOff>
        </xdr:from>
        <xdr:to>
          <xdr:col>10</xdr:col>
          <xdr:colOff>228600</xdr:colOff>
          <xdr:row>2</xdr:row>
          <xdr:rowOff>314325</xdr:rowOff>
        </xdr:to>
        <xdr:sp macro="" textlink="">
          <xdr:nvSpPr>
            <xdr:cNvPr id="2050" name="Button 2" hidden="1">
              <a:extLst>
                <a:ext uri="{63B3BB69-23CF-44E3-9099-C40C66FF867C}">
                  <a14:compatExt spid="_x0000_s2050"/>
                </a:ext>
                <a:ext uri="{FF2B5EF4-FFF2-40B4-BE49-F238E27FC236}">
                  <a16:creationId xmlns:a16="http://schemas.microsoft.com/office/drawing/2014/main" id="{00000000-0008-0000-0300-000002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27432" tIns="27432" rIns="27432" bIns="27432" anchor="ctr" upright="1"/>
            <a:lstStyle/>
            <a:p>
              <a:pPr algn="ctr" rtl="0">
                <a:defRPr sz="1000"/>
              </a:pPr>
              <a:r>
                <a:rPr lang="en-US" sz="1100" b="0" i="0" u="none" strike="noStrike" baseline="0">
                  <a:solidFill>
                    <a:srgbClr val="000000"/>
                  </a:solidFill>
                  <a:latin typeface="Aptos"/>
                </a:rPr>
                <a:t>Validate inputs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10</xdr:col>
          <xdr:colOff>323850</xdr:colOff>
          <xdr:row>2</xdr:row>
          <xdr:rowOff>66675</xdr:rowOff>
        </xdr:from>
        <xdr:to>
          <xdr:col>11</xdr:col>
          <xdr:colOff>742950</xdr:colOff>
          <xdr:row>2</xdr:row>
          <xdr:rowOff>314325</xdr:rowOff>
        </xdr:to>
        <xdr:sp macro="" textlink="">
          <xdr:nvSpPr>
            <xdr:cNvPr id="2051" name="Button 3" hidden="1">
              <a:extLst>
                <a:ext uri="{63B3BB69-23CF-44E3-9099-C40C66FF867C}">
                  <a14:compatExt spid="_x0000_s2051"/>
                </a:ext>
                <a:ext uri="{FF2B5EF4-FFF2-40B4-BE49-F238E27FC236}">
                  <a16:creationId xmlns:a16="http://schemas.microsoft.com/office/drawing/2014/main" id="{00000000-0008-0000-0300-000003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27432" tIns="27432" rIns="27432" bIns="27432" anchor="ctr" upright="1"/>
            <a:lstStyle/>
            <a:p>
              <a:pPr algn="ctr" rtl="0">
                <a:defRPr sz="1000"/>
              </a:pPr>
              <a:r>
                <a:rPr lang="en-US" sz="1100" b="0" i="0" u="none" strike="noStrike" baseline="0">
                  <a:solidFill>
                    <a:srgbClr val="000000"/>
                  </a:solidFill>
                  <a:latin typeface="Aptos"/>
                </a:rPr>
                <a:t>Clear outputs</a:t>
              </a:r>
            </a:p>
          </xdr:txBody>
        </xdr:sp>
        <xdr:clientData fPrintsWithSheet="0"/>
      </xdr:twoCellAnchor>
    </mc:Choice>
    <mc:Fallback/>
  </mc:AlternateContent>
</xdr:wsDr>
</file>

<file path=xl/drawings/drawing2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>
        <xdr:from>
          <xdr:col>6</xdr:col>
          <xdr:colOff>0</xdr:colOff>
          <xdr:row>2</xdr:row>
          <xdr:rowOff>38100</xdr:rowOff>
        </xdr:from>
        <xdr:to>
          <xdr:col>8</xdr:col>
          <xdr:colOff>28575</xdr:colOff>
          <xdr:row>2</xdr:row>
          <xdr:rowOff>285750</xdr:rowOff>
        </xdr:to>
        <xdr:sp macro="" textlink="">
          <xdr:nvSpPr>
            <xdr:cNvPr id="3073" name="Button 1" hidden="1">
              <a:extLst>
                <a:ext uri="{63B3BB69-23CF-44E3-9099-C40C66FF867C}">
                  <a14:compatExt spid="_x0000_s3073"/>
                </a:ext>
                <a:ext uri="{FF2B5EF4-FFF2-40B4-BE49-F238E27FC236}">
                  <a16:creationId xmlns:a16="http://schemas.microsoft.com/office/drawing/2014/main" id="{00000000-0008-0000-0400-000001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27432" tIns="27432" rIns="27432" bIns="27432" anchor="ctr" upright="1"/>
            <a:lstStyle/>
            <a:p>
              <a:pPr algn="ctr" rtl="0">
                <a:defRPr sz="1000"/>
              </a:pPr>
              <a:r>
                <a:rPr lang="en-US" sz="1100" b="0" i="0" u="none" strike="noStrike" baseline="0">
                  <a:solidFill>
                    <a:srgbClr val="000000"/>
                  </a:solidFill>
                  <a:latin typeface="Aptos"/>
                </a:rPr>
                <a:t>Run SA-CCR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8</xdr:col>
          <xdr:colOff>123825</xdr:colOff>
          <xdr:row>2</xdr:row>
          <xdr:rowOff>38100</xdr:rowOff>
        </xdr:from>
        <xdr:to>
          <xdr:col>9</xdr:col>
          <xdr:colOff>200025</xdr:colOff>
          <xdr:row>2</xdr:row>
          <xdr:rowOff>285750</xdr:rowOff>
        </xdr:to>
        <xdr:sp macro="" textlink="">
          <xdr:nvSpPr>
            <xdr:cNvPr id="3074" name="Button 2" hidden="1">
              <a:extLst>
                <a:ext uri="{63B3BB69-23CF-44E3-9099-C40C66FF867C}">
                  <a14:compatExt spid="_x0000_s3074"/>
                </a:ext>
                <a:ext uri="{FF2B5EF4-FFF2-40B4-BE49-F238E27FC236}">
                  <a16:creationId xmlns:a16="http://schemas.microsoft.com/office/drawing/2014/main" id="{00000000-0008-0000-0400-000002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27432" tIns="27432" rIns="27432" bIns="27432" anchor="ctr" upright="1"/>
            <a:lstStyle/>
            <a:p>
              <a:pPr algn="ctr" rtl="0">
                <a:defRPr sz="1000"/>
              </a:pPr>
              <a:r>
                <a:rPr lang="en-US" sz="1100" b="0" i="0" u="none" strike="noStrike" baseline="0">
                  <a:solidFill>
                    <a:srgbClr val="000000"/>
                  </a:solidFill>
                  <a:latin typeface="Aptos"/>
                </a:rPr>
                <a:t>Validate inputs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9</xdr:col>
          <xdr:colOff>295275</xdr:colOff>
          <xdr:row>2</xdr:row>
          <xdr:rowOff>38100</xdr:rowOff>
        </xdr:from>
        <xdr:to>
          <xdr:col>10</xdr:col>
          <xdr:colOff>371475</xdr:colOff>
          <xdr:row>2</xdr:row>
          <xdr:rowOff>285750</xdr:rowOff>
        </xdr:to>
        <xdr:sp macro="" textlink="">
          <xdr:nvSpPr>
            <xdr:cNvPr id="3075" name="Button 3" hidden="1">
              <a:extLst>
                <a:ext uri="{63B3BB69-23CF-44E3-9099-C40C66FF867C}">
                  <a14:compatExt spid="_x0000_s3075"/>
                </a:ext>
                <a:ext uri="{FF2B5EF4-FFF2-40B4-BE49-F238E27FC236}">
                  <a16:creationId xmlns:a16="http://schemas.microsoft.com/office/drawing/2014/main" id="{00000000-0008-0000-0400-000003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27432" tIns="27432" rIns="27432" bIns="27432" anchor="ctr" upright="1"/>
            <a:lstStyle/>
            <a:p>
              <a:pPr algn="ctr" rtl="0">
                <a:defRPr sz="1000"/>
              </a:pPr>
              <a:r>
                <a:rPr lang="en-US" sz="1100" b="0" i="0" u="none" strike="noStrike" baseline="0">
                  <a:solidFill>
                    <a:srgbClr val="000000"/>
                  </a:solidFill>
                  <a:latin typeface="Aptos"/>
                </a:rPr>
                <a:t>Clear outputs</a:t>
              </a:r>
            </a:p>
          </xdr:txBody>
        </xdr:sp>
        <xdr:clientData fPrintsWithSheet="0"/>
      </xdr:twoCellAnchor>
    </mc:Choice>
    <mc:Fallback/>
  </mc:AlternateContent>
</xdr:wsDr>
</file>

<file path=xl/drawings/drawing3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>
        <xdr:from>
          <xdr:col>8</xdr:col>
          <xdr:colOff>0</xdr:colOff>
          <xdr:row>2</xdr:row>
          <xdr:rowOff>38100</xdr:rowOff>
        </xdr:from>
        <xdr:to>
          <xdr:col>9</xdr:col>
          <xdr:colOff>409575</xdr:colOff>
          <xdr:row>2</xdr:row>
          <xdr:rowOff>285750</xdr:rowOff>
        </xdr:to>
        <xdr:sp macro="" textlink="">
          <xdr:nvSpPr>
            <xdr:cNvPr id="4097" name="Button 1" hidden="1">
              <a:extLst>
                <a:ext uri="{63B3BB69-23CF-44E3-9099-C40C66FF867C}">
                  <a14:compatExt spid="_x0000_s4097"/>
                </a:ext>
                <a:ext uri="{FF2B5EF4-FFF2-40B4-BE49-F238E27FC236}">
                  <a16:creationId xmlns:a16="http://schemas.microsoft.com/office/drawing/2014/main" id="{00000000-0008-0000-0900-0000011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27432" tIns="27432" rIns="27432" bIns="27432" anchor="ctr" upright="1"/>
            <a:lstStyle/>
            <a:p>
              <a:pPr algn="ctr" rtl="0">
                <a:defRPr sz="1000"/>
              </a:pPr>
              <a:r>
                <a:rPr lang="en-US" sz="1100" b="0" i="0" u="none" strike="noStrike" baseline="0">
                  <a:solidFill>
                    <a:srgbClr val="000000"/>
                  </a:solidFill>
                  <a:latin typeface="Aptos"/>
                </a:rPr>
                <a:t>Run SA-CCR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9</xdr:col>
          <xdr:colOff>504825</xdr:colOff>
          <xdr:row>2</xdr:row>
          <xdr:rowOff>38100</xdr:rowOff>
        </xdr:from>
        <xdr:to>
          <xdr:col>10</xdr:col>
          <xdr:colOff>647700</xdr:colOff>
          <xdr:row>2</xdr:row>
          <xdr:rowOff>285750</xdr:rowOff>
        </xdr:to>
        <xdr:sp macro="" textlink="">
          <xdr:nvSpPr>
            <xdr:cNvPr id="4098" name="Button 2" hidden="1">
              <a:extLst>
                <a:ext uri="{63B3BB69-23CF-44E3-9099-C40C66FF867C}">
                  <a14:compatExt spid="_x0000_s4098"/>
                </a:ext>
                <a:ext uri="{FF2B5EF4-FFF2-40B4-BE49-F238E27FC236}">
                  <a16:creationId xmlns:a16="http://schemas.microsoft.com/office/drawing/2014/main" id="{00000000-0008-0000-0900-0000021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27432" tIns="27432" rIns="27432" bIns="27432" anchor="ctr" upright="1"/>
            <a:lstStyle/>
            <a:p>
              <a:pPr algn="ctr" rtl="0">
                <a:defRPr sz="1000"/>
              </a:pPr>
              <a:r>
                <a:rPr lang="en-US" sz="1100" b="0" i="0" u="none" strike="noStrike" baseline="0">
                  <a:solidFill>
                    <a:srgbClr val="000000"/>
                  </a:solidFill>
                  <a:latin typeface="Aptos"/>
                </a:rPr>
                <a:t>Validate inputs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10</xdr:col>
          <xdr:colOff>742950</xdr:colOff>
          <xdr:row>2</xdr:row>
          <xdr:rowOff>38100</xdr:rowOff>
        </xdr:from>
        <xdr:to>
          <xdr:col>11</xdr:col>
          <xdr:colOff>485775</xdr:colOff>
          <xdr:row>2</xdr:row>
          <xdr:rowOff>285750</xdr:rowOff>
        </xdr:to>
        <xdr:sp macro="" textlink="">
          <xdr:nvSpPr>
            <xdr:cNvPr id="4099" name="Button 3" hidden="1">
              <a:extLst>
                <a:ext uri="{63B3BB69-23CF-44E3-9099-C40C66FF867C}">
                  <a14:compatExt spid="_x0000_s4099"/>
                </a:ext>
                <a:ext uri="{FF2B5EF4-FFF2-40B4-BE49-F238E27FC236}">
                  <a16:creationId xmlns:a16="http://schemas.microsoft.com/office/drawing/2014/main" id="{00000000-0008-0000-0900-0000031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27432" tIns="27432" rIns="27432" bIns="27432" anchor="ctr" upright="1"/>
            <a:lstStyle/>
            <a:p>
              <a:pPr algn="ctr" rtl="0">
                <a:defRPr sz="1000"/>
              </a:pPr>
              <a:r>
                <a:rPr lang="en-US" sz="1100" b="0" i="0" u="none" strike="noStrike" baseline="0">
                  <a:solidFill>
                    <a:srgbClr val="000000"/>
                  </a:solidFill>
                  <a:latin typeface="Aptos"/>
                </a:rPr>
                <a:t>Clear outputs</a:t>
              </a:r>
            </a:p>
          </xdr:txBody>
        </xdr:sp>
        <xdr:clientData fPrintsWithSheet="0"/>
      </xdr:twoCellAnchor>
    </mc:Choice>
    <mc:Fallback/>
  </mc:AlternateContent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trlProp" Target="../ctrlProps/ctrlProp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openxmlformats.org/officeDocument/2006/relationships/ctrlProp" Target="../ctrlProps/ctrlProp3.xml"/><Relationship Id="rId4" Type="http://schemas.openxmlformats.org/officeDocument/2006/relationships/ctrlProp" Target="../ctrlProps/ctrlProp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trlProp" Target="../ctrlProps/ctrlProp4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2.xml"/><Relationship Id="rId5" Type="http://schemas.openxmlformats.org/officeDocument/2006/relationships/ctrlProp" Target="../ctrlProps/ctrlProp6.xml"/><Relationship Id="rId4" Type="http://schemas.openxmlformats.org/officeDocument/2006/relationships/ctrlProp" Target="../ctrlProps/ctrlProp5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trlProp" Target="../ctrlProps/ctrlProp7.xml"/><Relationship Id="rId2" Type="http://schemas.openxmlformats.org/officeDocument/2006/relationships/vmlDrawing" Target="../drawings/vmlDrawing3.vml"/><Relationship Id="rId1" Type="http://schemas.openxmlformats.org/officeDocument/2006/relationships/drawing" Target="../drawings/drawing3.xml"/><Relationship Id="rId5" Type="http://schemas.openxmlformats.org/officeDocument/2006/relationships/ctrlProp" Target="../ctrlProps/ctrlProp9.xml"/><Relationship Id="rId4" Type="http://schemas.openxmlformats.org/officeDocument/2006/relationships/ctrlProp" Target="../ctrlProps/ctrlProp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Readme">
    <tabColor rgb="FF1F3864"/>
    <pageSetUpPr fitToPage="1"/>
  </sheetPr>
  <dimension ref="A1:X70"/>
  <sheetViews>
    <sheetView tabSelected="1" showGridLines="0" zoomScaleNormal="100" workbookViewId="0">
      <pane ySplit="3" topLeftCell="A4" activePane="bottomLeft" state="frozen"/>
      <selection pane="bottomLeft" activeCell="C8" sqref="C8"/>
    </sheetView>
  </sheetViews>
  <sheetFormatPr defaultColWidth="0" defaultRowHeight="15" x14ac:dyDescent="0.25"/>
  <cols>
    <col min="1" max="2" width="4" customWidth="1"/>
    <col min="3" max="3" width="46" customWidth="1"/>
    <col min="4" max="4" width="126.875" customWidth="1"/>
    <col min="5" max="5" width="4.75" customWidth="1"/>
    <col min="6" max="24" width="0" hidden="1" customWidth="1"/>
    <col min="25" max="16384" width="9.125" hidden="1"/>
  </cols>
  <sheetData>
    <row r="1" spans="2:19" ht="24" customHeight="1" x14ac:dyDescent="0.25">
      <c r="B1" s="26" t="s">
        <v>0</v>
      </c>
      <c r="C1" s="27"/>
      <c r="D1" s="28"/>
      <c r="S1" s="29"/>
    </row>
    <row r="2" spans="2:19" ht="26.1" customHeight="1" x14ac:dyDescent="0.25">
      <c r="B2" s="30" t="s">
        <v>839</v>
      </c>
      <c r="C2" s="31"/>
      <c r="D2" s="32"/>
      <c r="S2" s="29"/>
    </row>
    <row r="3" spans="2:19" ht="33.950000000000003" customHeight="1" x14ac:dyDescent="0.25">
      <c r="C3" s="2" t="s">
        <v>1</v>
      </c>
    </row>
    <row r="4" spans="2:19" ht="9.9499999999999993" customHeight="1" x14ac:dyDescent="0.25"/>
    <row r="5" spans="2:19" ht="30" customHeight="1" x14ac:dyDescent="0.25">
      <c r="C5" s="33" t="s">
        <v>2</v>
      </c>
      <c r="D5" s="3"/>
    </row>
    <row r="6" spans="2:19" ht="30" customHeight="1" x14ac:dyDescent="0.25">
      <c r="C6" s="25" t="s">
        <v>3</v>
      </c>
      <c r="D6" s="34" t="s">
        <v>4</v>
      </c>
    </row>
    <row r="7" spans="2:19" ht="30" customHeight="1" x14ac:dyDescent="0.25">
      <c r="C7" s="25" t="s">
        <v>5</v>
      </c>
      <c r="D7" s="34" t="s">
        <v>6</v>
      </c>
    </row>
    <row r="8" spans="2:19" ht="30" customHeight="1" x14ac:dyDescent="0.25">
      <c r="C8" s="25" t="s">
        <v>7</v>
      </c>
      <c r="D8" s="34" t="s">
        <v>8</v>
      </c>
    </row>
    <row r="9" spans="2:19" ht="30" customHeight="1" x14ac:dyDescent="0.25">
      <c r="C9" s="25" t="s">
        <v>9</v>
      </c>
      <c r="D9" s="34" t="s">
        <v>10</v>
      </c>
    </row>
    <row r="10" spans="2:19" ht="30" customHeight="1" x14ac:dyDescent="0.25">
      <c r="C10" s="25" t="s">
        <v>11</v>
      </c>
      <c r="D10" s="34" t="s">
        <v>12</v>
      </c>
    </row>
    <row r="11" spans="2:19" ht="30" customHeight="1" x14ac:dyDescent="0.25">
      <c r="C11" s="25" t="s">
        <v>13</v>
      </c>
      <c r="D11" s="34" t="s">
        <v>14</v>
      </c>
    </row>
    <row r="12" spans="2:19" ht="30" customHeight="1" x14ac:dyDescent="0.25">
      <c r="C12" s="25" t="s">
        <v>15</v>
      </c>
      <c r="D12" s="34" t="s">
        <v>16</v>
      </c>
    </row>
    <row r="13" spans="2:19" ht="9.9499999999999993" customHeight="1" x14ac:dyDescent="0.25">
      <c r="C13" s="35"/>
      <c r="D13" s="36"/>
    </row>
    <row r="14" spans="2:19" ht="30" customHeight="1" x14ac:dyDescent="0.25">
      <c r="C14" s="33" t="s">
        <v>17</v>
      </c>
      <c r="D14" s="37"/>
    </row>
    <row r="15" spans="2:19" ht="30" customHeight="1" x14ac:dyDescent="0.25">
      <c r="C15" s="25" t="s">
        <v>18</v>
      </c>
      <c r="D15" s="34" t="s">
        <v>19</v>
      </c>
    </row>
    <row r="16" spans="2:19" ht="30" customHeight="1" x14ac:dyDescent="0.25">
      <c r="C16" s="25" t="s">
        <v>20</v>
      </c>
      <c r="D16" s="34" t="s">
        <v>21</v>
      </c>
    </row>
    <row r="17" spans="3:4" ht="24" x14ac:dyDescent="0.25">
      <c r="C17" s="25" t="s">
        <v>22</v>
      </c>
      <c r="D17" s="34" t="s">
        <v>801</v>
      </c>
    </row>
    <row r="18" spans="3:4" ht="30" customHeight="1" x14ac:dyDescent="0.25">
      <c r="C18" s="25" t="s">
        <v>23</v>
      </c>
      <c r="D18" s="34" t="s">
        <v>24</v>
      </c>
    </row>
    <row r="19" spans="3:4" ht="30" customHeight="1" x14ac:dyDescent="0.25">
      <c r="C19" s="25" t="s">
        <v>25</v>
      </c>
      <c r="D19" s="34" t="s">
        <v>26</v>
      </c>
    </row>
    <row r="20" spans="3:4" ht="30" customHeight="1" x14ac:dyDescent="0.25">
      <c r="C20" s="25" t="s">
        <v>27</v>
      </c>
      <c r="D20" s="34" t="s">
        <v>28</v>
      </c>
    </row>
    <row r="21" spans="3:4" ht="30" customHeight="1" x14ac:dyDescent="0.25">
      <c r="C21" s="25" t="s">
        <v>29</v>
      </c>
      <c r="D21" s="34" t="s">
        <v>30</v>
      </c>
    </row>
    <row r="22" spans="3:4" ht="9.9499999999999993" customHeight="1" x14ac:dyDescent="0.25">
      <c r="C22" s="35"/>
      <c r="D22" s="36"/>
    </row>
    <row r="23" spans="3:4" ht="30" customHeight="1" x14ac:dyDescent="0.25">
      <c r="C23" s="33" t="s">
        <v>31</v>
      </c>
      <c r="D23" s="37"/>
    </row>
    <row r="24" spans="3:4" ht="30" customHeight="1" x14ac:dyDescent="0.25">
      <c r="C24" s="25" t="s">
        <v>32</v>
      </c>
      <c r="D24" s="34" t="s">
        <v>815</v>
      </c>
    </row>
    <row r="25" spans="3:4" ht="30" customHeight="1" x14ac:dyDescent="0.25">
      <c r="C25" s="25" t="s">
        <v>33</v>
      </c>
      <c r="D25" s="34" t="s">
        <v>34</v>
      </c>
    </row>
    <row r="26" spans="3:4" ht="30" customHeight="1" x14ac:dyDescent="0.25">
      <c r="C26" s="25" t="s">
        <v>35</v>
      </c>
      <c r="D26" s="34" t="s">
        <v>36</v>
      </c>
    </row>
    <row r="27" spans="3:4" ht="30" customHeight="1" x14ac:dyDescent="0.25">
      <c r="C27" s="25" t="s">
        <v>37</v>
      </c>
      <c r="D27" s="34" t="s">
        <v>38</v>
      </c>
    </row>
    <row r="28" spans="3:4" ht="30" customHeight="1" x14ac:dyDescent="0.25">
      <c r="C28" s="25" t="s">
        <v>39</v>
      </c>
      <c r="D28" s="34" t="s">
        <v>40</v>
      </c>
    </row>
    <row r="29" spans="3:4" ht="30" customHeight="1" x14ac:dyDescent="0.25">
      <c r="C29" s="25" t="s">
        <v>41</v>
      </c>
      <c r="D29" s="34" t="s">
        <v>816</v>
      </c>
    </row>
    <row r="30" spans="3:4" ht="30" customHeight="1" x14ac:dyDescent="0.25">
      <c r="C30" s="25" t="s">
        <v>42</v>
      </c>
      <c r="D30" s="34" t="s">
        <v>802</v>
      </c>
    </row>
    <row r="31" spans="3:4" ht="30" customHeight="1" x14ac:dyDescent="0.25">
      <c r="C31" s="25" t="s">
        <v>43</v>
      </c>
      <c r="D31" s="34" t="s">
        <v>44</v>
      </c>
    </row>
    <row r="32" spans="3:4" ht="30" customHeight="1" x14ac:dyDescent="0.25">
      <c r="C32" s="25" t="s">
        <v>45</v>
      </c>
      <c r="D32" s="34" t="s">
        <v>46</v>
      </c>
    </row>
    <row r="33" spans="3:4" ht="30" customHeight="1" x14ac:dyDescent="0.25">
      <c r="C33" s="25" t="s">
        <v>47</v>
      </c>
      <c r="D33" s="34" t="s">
        <v>48</v>
      </c>
    </row>
    <row r="34" spans="3:4" ht="30" customHeight="1" x14ac:dyDescent="0.25">
      <c r="C34" s="25" t="s">
        <v>49</v>
      </c>
      <c r="D34" s="34" t="s">
        <v>50</v>
      </c>
    </row>
    <row r="35" spans="3:4" ht="9.9499999999999993" customHeight="1" x14ac:dyDescent="0.25">
      <c r="C35" s="35"/>
      <c r="D35" s="36"/>
    </row>
    <row r="36" spans="3:4" ht="30" customHeight="1" x14ac:dyDescent="0.25">
      <c r="C36" s="33" t="s">
        <v>51</v>
      </c>
      <c r="D36" s="37"/>
    </row>
    <row r="37" spans="3:4" ht="30" customHeight="1" x14ac:dyDescent="0.25">
      <c r="C37" s="25" t="s">
        <v>52</v>
      </c>
      <c r="D37" s="34" t="s">
        <v>53</v>
      </c>
    </row>
    <row r="38" spans="3:4" ht="30" customHeight="1" x14ac:dyDescent="0.25">
      <c r="C38" s="25" t="s">
        <v>54</v>
      </c>
      <c r="D38" s="34" t="s">
        <v>55</v>
      </c>
    </row>
    <row r="39" spans="3:4" ht="30" customHeight="1" x14ac:dyDescent="0.25">
      <c r="C39" s="25" t="s">
        <v>56</v>
      </c>
      <c r="D39" s="34" t="s">
        <v>57</v>
      </c>
    </row>
    <row r="40" spans="3:4" ht="30" customHeight="1" x14ac:dyDescent="0.25">
      <c r="C40" s="25" t="s">
        <v>58</v>
      </c>
      <c r="D40" s="34" t="s">
        <v>59</v>
      </c>
    </row>
    <row r="41" spans="3:4" ht="30" customHeight="1" x14ac:dyDescent="0.25">
      <c r="C41" s="25" t="s">
        <v>60</v>
      </c>
      <c r="D41" s="34" t="s">
        <v>61</v>
      </c>
    </row>
    <row r="42" spans="3:4" ht="30" customHeight="1" x14ac:dyDescent="0.25">
      <c r="C42" s="25" t="s">
        <v>62</v>
      </c>
      <c r="D42" s="34" t="s">
        <v>63</v>
      </c>
    </row>
    <row r="43" spans="3:4" ht="30" customHeight="1" x14ac:dyDescent="0.25">
      <c r="C43" s="25" t="s">
        <v>64</v>
      </c>
      <c r="D43" s="34" t="s">
        <v>65</v>
      </c>
    </row>
    <row r="44" spans="3:4" ht="30" customHeight="1" x14ac:dyDescent="0.25">
      <c r="C44" s="25" t="s">
        <v>66</v>
      </c>
      <c r="D44" s="34" t="s">
        <v>67</v>
      </c>
    </row>
    <row r="45" spans="3:4" ht="30" customHeight="1" x14ac:dyDescent="0.25">
      <c r="C45" s="25" t="s">
        <v>68</v>
      </c>
      <c r="D45" s="34" t="s">
        <v>69</v>
      </c>
    </row>
    <row r="46" spans="3:4" ht="30" customHeight="1" x14ac:dyDescent="0.25">
      <c r="C46" s="25" t="s">
        <v>70</v>
      </c>
      <c r="D46" s="34" t="s">
        <v>71</v>
      </c>
    </row>
    <row r="47" spans="3:4" ht="30" customHeight="1" x14ac:dyDescent="0.25">
      <c r="C47" s="25" t="s">
        <v>72</v>
      </c>
      <c r="D47" s="34" t="s">
        <v>73</v>
      </c>
    </row>
    <row r="48" spans="3:4" ht="9.9499999999999993" customHeight="1" x14ac:dyDescent="0.25">
      <c r="C48" s="35"/>
      <c r="D48" s="36"/>
    </row>
    <row r="49" spans="3:4" ht="30" customHeight="1" x14ac:dyDescent="0.25">
      <c r="C49" s="33" t="s">
        <v>74</v>
      </c>
      <c r="D49" s="37"/>
    </row>
    <row r="50" spans="3:4" ht="30" customHeight="1" x14ac:dyDescent="0.25">
      <c r="C50" s="25" t="s">
        <v>75</v>
      </c>
      <c r="D50" s="34" t="s">
        <v>76</v>
      </c>
    </row>
    <row r="51" spans="3:4" ht="30" customHeight="1" x14ac:dyDescent="0.25">
      <c r="C51" s="25" t="s">
        <v>77</v>
      </c>
      <c r="D51" s="34" t="s">
        <v>39</v>
      </c>
    </row>
    <row r="52" spans="3:4" ht="30" customHeight="1" x14ac:dyDescent="0.25">
      <c r="C52" s="25" t="s">
        <v>78</v>
      </c>
      <c r="D52" s="34" t="s">
        <v>79</v>
      </c>
    </row>
    <row r="53" spans="3:4" ht="30" customHeight="1" x14ac:dyDescent="0.25">
      <c r="C53" s="25" t="s">
        <v>80</v>
      </c>
      <c r="D53" s="34" t="s">
        <v>81</v>
      </c>
    </row>
    <row r="54" spans="3:4" ht="30" customHeight="1" x14ac:dyDescent="0.25">
      <c r="C54" s="25" t="s">
        <v>82</v>
      </c>
      <c r="D54" s="34" t="s">
        <v>83</v>
      </c>
    </row>
    <row r="55" spans="3:4" ht="30" customHeight="1" x14ac:dyDescent="0.25">
      <c r="C55" s="25" t="s">
        <v>84</v>
      </c>
      <c r="D55" s="34" t="s">
        <v>85</v>
      </c>
    </row>
    <row r="56" spans="3:4" ht="30" customHeight="1" x14ac:dyDescent="0.25">
      <c r="C56" s="25" t="s">
        <v>86</v>
      </c>
      <c r="D56" s="34" t="s">
        <v>87</v>
      </c>
    </row>
    <row r="57" spans="3:4" ht="30" customHeight="1" x14ac:dyDescent="0.25">
      <c r="C57" s="25" t="s">
        <v>88</v>
      </c>
      <c r="D57" s="34" t="s">
        <v>89</v>
      </c>
    </row>
    <row r="58" spans="3:4" ht="30" customHeight="1" x14ac:dyDescent="0.25">
      <c r="C58" s="25" t="s">
        <v>90</v>
      </c>
      <c r="D58" s="34" t="s">
        <v>91</v>
      </c>
    </row>
    <row r="59" spans="3:4" ht="30" customHeight="1" x14ac:dyDescent="0.25">
      <c r="C59" s="25" t="s">
        <v>92</v>
      </c>
      <c r="D59" s="34" t="s">
        <v>93</v>
      </c>
    </row>
    <row r="60" spans="3:4" ht="9.9499999999999993" customHeight="1" x14ac:dyDescent="0.25">
      <c r="C60" s="35"/>
      <c r="D60" s="36"/>
    </row>
    <row r="61" spans="3:4" ht="30" customHeight="1" x14ac:dyDescent="0.25">
      <c r="C61" s="33" t="s">
        <v>94</v>
      </c>
      <c r="D61" s="37"/>
    </row>
    <row r="62" spans="3:4" ht="36" x14ac:dyDescent="0.25">
      <c r="C62" s="25" t="s">
        <v>95</v>
      </c>
      <c r="D62" s="34" t="s">
        <v>803</v>
      </c>
    </row>
    <row r="63" spans="3:4" ht="30" customHeight="1" x14ac:dyDescent="0.25">
      <c r="C63" s="25" t="s">
        <v>805</v>
      </c>
      <c r="D63" s="34" t="s">
        <v>804</v>
      </c>
    </row>
    <row r="64" spans="3:4" ht="30" customHeight="1" x14ac:dyDescent="0.25">
      <c r="C64" s="25" t="s">
        <v>96</v>
      </c>
      <c r="D64" s="34" t="s">
        <v>817</v>
      </c>
    </row>
    <row r="65" spans="3:4" ht="30" customHeight="1" x14ac:dyDescent="0.25">
      <c r="C65" s="25" t="s">
        <v>97</v>
      </c>
      <c r="D65" s="34" t="s">
        <v>838</v>
      </c>
    </row>
    <row r="66" spans="3:4" ht="30" customHeight="1" x14ac:dyDescent="0.25">
      <c r="C66" s="25" t="s">
        <v>98</v>
      </c>
      <c r="D66" s="34" t="s">
        <v>99</v>
      </c>
    </row>
    <row r="67" spans="3:4" ht="30" customHeight="1" x14ac:dyDescent="0.25">
      <c r="C67" s="25" t="s">
        <v>100</v>
      </c>
      <c r="D67" s="34" t="s">
        <v>101</v>
      </c>
    </row>
    <row r="68" spans="3:4" ht="9.9499999999999993" customHeight="1" x14ac:dyDescent="0.25">
      <c r="C68" s="35"/>
      <c r="D68" s="36"/>
    </row>
    <row r="69" spans="3:4" ht="30" customHeight="1" x14ac:dyDescent="0.25">
      <c r="C69" s="33" t="s">
        <v>102</v>
      </c>
      <c r="D69" s="37"/>
    </row>
    <row r="70" spans="3:4" ht="30" customHeight="1" x14ac:dyDescent="0.25">
      <c r="C70" s="25" t="s">
        <v>103</v>
      </c>
      <c r="D70" s="34" t="s">
        <v>104</v>
      </c>
    </row>
  </sheetData>
  <pageMargins left="0.4" right="0.4" top="0.5" bottom="0.5" header="0.3" footer="0.3"/>
  <pageSetup paperSize="9" fitToHeight="0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Params">
    <tabColor rgb="FFBF9000"/>
    <pageSetUpPr fitToPage="1"/>
  </sheetPr>
  <dimension ref="A1:X64"/>
  <sheetViews>
    <sheetView showGridLines="0" zoomScaleNormal="100" workbookViewId="0">
      <pane ySplit="3" topLeftCell="A4" activePane="bottomLeft" state="frozen"/>
      <selection pane="bottomLeft" sqref="A1:XFD2"/>
    </sheetView>
  </sheetViews>
  <sheetFormatPr defaultColWidth="0" defaultRowHeight="15" x14ac:dyDescent="0.25"/>
  <cols>
    <col min="1" max="2" width="4" customWidth="1"/>
    <col min="3" max="3" width="25.625" customWidth="1"/>
    <col min="4" max="4" width="50.625" customWidth="1"/>
    <col min="5" max="10" width="15.625" customWidth="1"/>
    <col min="11" max="11" width="40.625" customWidth="1"/>
    <col min="12" max="12" width="9" customWidth="1"/>
    <col min="13" max="24" width="0" hidden="1" customWidth="1"/>
    <col min="25" max="16384" width="9" hidden="1"/>
  </cols>
  <sheetData>
    <row r="1" spans="2:19" ht="24" customHeight="1" x14ac:dyDescent="0.25">
      <c r="B1" s="26" t="s">
        <v>0</v>
      </c>
      <c r="C1" s="27"/>
      <c r="D1" s="28"/>
      <c r="E1" s="28"/>
      <c r="F1" s="28"/>
      <c r="G1" s="28"/>
      <c r="H1" s="28"/>
      <c r="I1" s="28"/>
      <c r="J1" s="28"/>
      <c r="K1" s="28"/>
      <c r="S1" s="29"/>
    </row>
    <row r="2" spans="2:19" ht="26.1" customHeight="1" x14ac:dyDescent="0.25">
      <c r="B2" s="30" t="s">
        <v>105</v>
      </c>
      <c r="C2" s="31"/>
      <c r="D2" s="32"/>
      <c r="E2" s="32"/>
      <c r="F2" s="32"/>
      <c r="G2" s="32"/>
      <c r="H2" s="32"/>
      <c r="I2" s="32"/>
      <c r="J2" s="32"/>
      <c r="K2" s="32"/>
      <c r="S2" s="29"/>
    </row>
    <row r="3" spans="2:19" ht="30" customHeight="1" x14ac:dyDescent="0.25">
      <c r="C3" s="2" t="s">
        <v>106</v>
      </c>
    </row>
    <row r="4" spans="2:19" ht="9.9499999999999993" customHeight="1" x14ac:dyDescent="0.25"/>
    <row r="5" spans="2:19" ht="30" customHeight="1" x14ac:dyDescent="0.25">
      <c r="C5" s="38" t="s">
        <v>102</v>
      </c>
      <c r="D5" s="38" t="s">
        <v>107</v>
      </c>
      <c r="E5" s="39" t="s">
        <v>108</v>
      </c>
      <c r="F5" s="40" t="s">
        <v>109</v>
      </c>
      <c r="G5" s="41"/>
      <c r="H5" s="41"/>
      <c r="I5" s="41"/>
      <c r="J5" s="41"/>
      <c r="K5" s="41"/>
    </row>
    <row r="6" spans="2:19" ht="20.100000000000001" customHeight="1" x14ac:dyDescent="0.25">
      <c r="C6" s="4" t="s">
        <v>110</v>
      </c>
      <c r="D6" s="36" t="s">
        <v>111</v>
      </c>
      <c r="E6" s="42">
        <v>46295</v>
      </c>
      <c r="F6" s="43"/>
      <c r="G6" s="36"/>
      <c r="H6" s="36"/>
      <c r="I6" s="36"/>
      <c r="J6" s="36"/>
    </row>
    <row r="7" spans="2:19" ht="20.100000000000001" customHeight="1" x14ac:dyDescent="0.25">
      <c r="C7" s="4" t="s">
        <v>112</v>
      </c>
      <c r="D7" s="36" t="s">
        <v>113</v>
      </c>
      <c r="E7" s="44" t="s">
        <v>114</v>
      </c>
      <c r="F7" s="43"/>
      <c r="G7" s="36"/>
      <c r="H7" s="36"/>
      <c r="I7" s="36"/>
      <c r="J7" s="36"/>
    </row>
    <row r="8" spans="2:19" ht="20.100000000000001" customHeight="1" x14ac:dyDescent="0.25">
      <c r="C8" s="4" t="s">
        <v>115</v>
      </c>
      <c r="D8" s="36" t="s">
        <v>116</v>
      </c>
      <c r="E8" s="45">
        <v>1.4</v>
      </c>
      <c r="F8" s="43" t="s">
        <v>117</v>
      </c>
      <c r="G8" s="36"/>
      <c r="H8" s="36"/>
      <c r="I8" s="36"/>
      <c r="J8" s="36"/>
    </row>
    <row r="9" spans="2:19" ht="20.100000000000001" customHeight="1" x14ac:dyDescent="0.25">
      <c r="C9" s="4" t="s">
        <v>118</v>
      </c>
      <c r="D9" s="36" t="s">
        <v>119</v>
      </c>
      <c r="E9" s="46">
        <v>0.05</v>
      </c>
      <c r="F9" s="43" t="s">
        <v>120</v>
      </c>
      <c r="G9" s="36"/>
      <c r="H9" s="36"/>
      <c r="I9" s="36"/>
      <c r="J9" s="36"/>
    </row>
    <row r="10" spans="2:19" ht="20.100000000000001" customHeight="1" x14ac:dyDescent="0.25">
      <c r="C10" s="4" t="s">
        <v>121</v>
      </c>
      <c r="D10" s="36" t="s">
        <v>122</v>
      </c>
      <c r="E10" s="45">
        <v>365</v>
      </c>
      <c r="F10" s="43"/>
      <c r="G10" s="36"/>
      <c r="H10" s="36"/>
      <c r="I10" s="36"/>
      <c r="J10" s="36"/>
    </row>
    <row r="11" spans="2:19" ht="20.100000000000001" customHeight="1" x14ac:dyDescent="0.25">
      <c r="C11" s="4" t="s">
        <v>123</v>
      </c>
      <c r="D11" s="36" t="s">
        <v>124</v>
      </c>
      <c r="E11" s="45">
        <v>250</v>
      </c>
      <c r="F11" s="43" t="s">
        <v>125</v>
      </c>
      <c r="G11" s="36"/>
      <c r="H11" s="36"/>
      <c r="I11" s="36"/>
      <c r="J11" s="36"/>
    </row>
    <row r="12" spans="2:19" ht="20.100000000000001" customHeight="1" x14ac:dyDescent="0.25">
      <c r="C12" s="4" t="s">
        <v>126</v>
      </c>
      <c r="D12" s="36" t="s">
        <v>127</v>
      </c>
      <c r="E12" s="45">
        <v>10</v>
      </c>
      <c r="F12" s="43" t="s">
        <v>128</v>
      </c>
      <c r="G12" s="36"/>
      <c r="H12" s="36"/>
      <c r="I12" s="36"/>
      <c r="J12" s="36"/>
    </row>
    <row r="13" spans="2:19" ht="20.100000000000001" customHeight="1" x14ac:dyDescent="0.25">
      <c r="C13" s="4" t="s">
        <v>129</v>
      </c>
      <c r="D13" s="36" t="s">
        <v>130</v>
      </c>
      <c r="E13" s="45">
        <v>10</v>
      </c>
      <c r="F13" s="43" t="s">
        <v>131</v>
      </c>
      <c r="G13" s="36"/>
      <c r="H13" s="36"/>
      <c r="I13" s="36"/>
      <c r="J13" s="36"/>
    </row>
    <row r="14" spans="2:19" ht="20.100000000000001" customHeight="1" x14ac:dyDescent="0.25">
      <c r="C14" s="4" t="s">
        <v>132</v>
      </c>
      <c r="D14" s="36" t="s">
        <v>133</v>
      </c>
      <c r="E14" s="45">
        <v>10</v>
      </c>
      <c r="F14" s="43" t="s">
        <v>134</v>
      </c>
      <c r="G14" s="36"/>
      <c r="H14" s="36"/>
      <c r="I14" s="36"/>
      <c r="J14" s="36"/>
    </row>
    <row r="15" spans="2:19" ht="20.100000000000001" customHeight="1" x14ac:dyDescent="0.25">
      <c r="C15" s="4" t="s">
        <v>135</v>
      </c>
      <c r="D15" s="36" t="s">
        <v>818</v>
      </c>
      <c r="E15" s="45">
        <v>5</v>
      </c>
      <c r="F15" s="43" t="s">
        <v>136</v>
      </c>
      <c r="G15" s="36"/>
      <c r="H15" s="36"/>
      <c r="I15" s="36"/>
      <c r="J15" s="36"/>
    </row>
    <row r="16" spans="2:19" ht="20.100000000000001" customHeight="1" x14ac:dyDescent="0.25">
      <c r="C16" s="4" t="s">
        <v>137</v>
      </c>
      <c r="D16" s="36" t="s">
        <v>138</v>
      </c>
      <c r="E16" s="45">
        <v>20</v>
      </c>
      <c r="F16" s="43" t="s">
        <v>134</v>
      </c>
      <c r="G16" s="36"/>
      <c r="H16" s="36"/>
      <c r="I16" s="36"/>
      <c r="J16" s="36"/>
    </row>
    <row r="17" spans="3:11" ht="20.100000000000001" customHeight="1" x14ac:dyDescent="0.25">
      <c r="C17" s="4" t="s">
        <v>139</v>
      </c>
      <c r="D17" s="36" t="s">
        <v>140</v>
      </c>
      <c r="E17" s="45">
        <v>0.5</v>
      </c>
      <c r="F17" s="43" t="s">
        <v>141</v>
      </c>
      <c r="G17" s="36"/>
      <c r="H17" s="36"/>
      <c r="I17" s="36"/>
      <c r="J17" s="36"/>
    </row>
    <row r="18" spans="3:11" ht="20.100000000000001" customHeight="1" x14ac:dyDescent="0.25">
      <c r="C18" s="4" t="s">
        <v>142</v>
      </c>
      <c r="D18" s="36" t="s">
        <v>143</v>
      </c>
      <c r="E18" s="45">
        <v>5</v>
      </c>
      <c r="F18" s="43" t="s">
        <v>144</v>
      </c>
      <c r="G18" s="36"/>
      <c r="H18" s="36"/>
      <c r="I18" s="36"/>
      <c r="J18" s="36"/>
    </row>
    <row r="19" spans="3:11" ht="20.100000000000001" customHeight="1" x14ac:dyDescent="0.25">
      <c r="C19" s="4" t="s">
        <v>145</v>
      </c>
      <c r="D19" s="36" t="s">
        <v>146</v>
      </c>
      <c r="E19" s="45">
        <v>0.7</v>
      </c>
      <c r="F19" s="43" t="s">
        <v>147</v>
      </c>
      <c r="G19" s="36"/>
      <c r="H19" s="36"/>
      <c r="I19" s="36"/>
      <c r="J19" s="36"/>
    </row>
    <row r="20" spans="3:11" ht="20.100000000000001" customHeight="1" x14ac:dyDescent="0.25">
      <c r="C20" s="4" t="s">
        <v>148</v>
      </c>
      <c r="D20" s="36" t="s">
        <v>149</v>
      </c>
      <c r="E20" s="45">
        <v>0.7</v>
      </c>
      <c r="F20" s="43" t="s">
        <v>147</v>
      </c>
      <c r="G20" s="36"/>
      <c r="H20" s="36"/>
      <c r="I20" s="36"/>
      <c r="J20" s="36"/>
    </row>
    <row r="21" spans="3:11" ht="20.100000000000001" customHeight="1" x14ac:dyDescent="0.25">
      <c r="C21" s="4" t="s">
        <v>150</v>
      </c>
      <c r="D21" s="36" t="s">
        <v>151</v>
      </c>
      <c r="E21" s="45">
        <v>0.3</v>
      </c>
      <c r="F21" s="43" t="s">
        <v>147</v>
      </c>
      <c r="G21" s="36"/>
      <c r="H21" s="36"/>
      <c r="I21" s="36"/>
      <c r="J21" s="36"/>
    </row>
    <row r="22" spans="3:11" ht="20.100000000000001" customHeight="1" x14ac:dyDescent="0.25">
      <c r="C22" s="4" t="s">
        <v>152</v>
      </c>
      <c r="D22" s="36" t="s">
        <v>153</v>
      </c>
      <c r="E22" s="47" t="b">
        <v>1</v>
      </c>
      <c r="F22" s="43" t="s">
        <v>806</v>
      </c>
      <c r="G22" s="36"/>
      <c r="H22" s="36"/>
      <c r="I22" s="36"/>
      <c r="J22" s="36"/>
    </row>
    <row r="23" spans="3:11" ht="20.100000000000001" customHeight="1" x14ac:dyDescent="0.25">
      <c r="C23" s="4" t="s">
        <v>154</v>
      </c>
      <c r="D23" s="36" t="s">
        <v>155</v>
      </c>
      <c r="E23" s="44" t="s">
        <v>156</v>
      </c>
      <c r="F23" s="43" t="s">
        <v>157</v>
      </c>
      <c r="G23" s="36"/>
      <c r="H23" s="36"/>
      <c r="I23" s="43" t="s">
        <v>163</v>
      </c>
      <c r="J23" s="36"/>
    </row>
    <row r="24" spans="3:11" ht="20.100000000000001" customHeight="1" x14ac:dyDescent="0.25">
      <c r="C24" s="4" t="s">
        <v>158</v>
      </c>
      <c r="D24" s="36" t="s">
        <v>159</v>
      </c>
      <c r="E24" s="46">
        <v>1E-3</v>
      </c>
      <c r="F24" s="43" t="s">
        <v>160</v>
      </c>
      <c r="G24" s="36"/>
      <c r="H24" s="36"/>
      <c r="I24" s="36"/>
      <c r="J24" s="36"/>
    </row>
    <row r="25" spans="3:11" ht="20.100000000000001" customHeight="1" x14ac:dyDescent="0.25">
      <c r="C25" s="4" t="s">
        <v>161</v>
      </c>
      <c r="D25" s="36" t="s">
        <v>162</v>
      </c>
      <c r="E25" s="45">
        <v>0.1</v>
      </c>
      <c r="F25" s="43" t="s">
        <v>160</v>
      </c>
      <c r="G25" s="36"/>
      <c r="H25" s="36"/>
      <c r="I25" s="36"/>
      <c r="J25" s="36"/>
    </row>
    <row r="26" spans="3:11" ht="9.9499999999999993" customHeight="1" x14ac:dyDescent="0.25"/>
    <row r="27" spans="3:11" ht="20.100000000000001" customHeight="1" x14ac:dyDescent="0.25">
      <c r="C27" s="48" t="s">
        <v>164</v>
      </c>
    </row>
    <row r="28" spans="3:11" ht="30" customHeight="1" x14ac:dyDescent="0.25">
      <c r="C28" s="38" t="s">
        <v>165</v>
      </c>
      <c r="D28" s="49" t="s">
        <v>166</v>
      </c>
      <c r="E28" s="49" t="s">
        <v>167</v>
      </c>
      <c r="F28" s="49" t="s">
        <v>168</v>
      </c>
      <c r="G28" s="49" t="s">
        <v>169</v>
      </c>
      <c r="H28" s="49" t="s">
        <v>170</v>
      </c>
      <c r="I28" s="49" t="s">
        <v>171</v>
      </c>
      <c r="J28" s="49" t="s">
        <v>172</v>
      </c>
      <c r="K28" s="38" t="s">
        <v>109</v>
      </c>
    </row>
    <row r="29" spans="3:11" ht="20.100000000000001" customHeight="1" x14ac:dyDescent="0.25">
      <c r="C29" s="4" t="s">
        <v>42</v>
      </c>
      <c r="D29" s="50" t="s">
        <v>42</v>
      </c>
      <c r="E29" s="50"/>
      <c r="F29" s="51">
        <v>5.0000000000000001E-3</v>
      </c>
      <c r="G29" s="52"/>
      <c r="H29" s="52">
        <v>0.5</v>
      </c>
      <c r="I29" s="53"/>
      <c r="J29" s="44" t="s">
        <v>173</v>
      </c>
      <c r="K29" s="43" t="s">
        <v>174</v>
      </c>
    </row>
    <row r="30" spans="3:11" ht="20.100000000000001" customHeight="1" x14ac:dyDescent="0.25">
      <c r="C30" s="4" t="s">
        <v>43</v>
      </c>
      <c r="D30" s="50" t="s">
        <v>43</v>
      </c>
      <c r="E30" s="50"/>
      <c r="F30" s="51">
        <v>0.04</v>
      </c>
      <c r="G30" s="52"/>
      <c r="H30" s="52">
        <v>0.15</v>
      </c>
      <c r="I30" s="53"/>
      <c r="J30" s="44" t="s">
        <v>173</v>
      </c>
      <c r="K30" s="43" t="s">
        <v>175</v>
      </c>
    </row>
    <row r="31" spans="3:11" ht="20.100000000000001" customHeight="1" x14ac:dyDescent="0.25">
      <c r="C31" s="4" t="s">
        <v>176</v>
      </c>
      <c r="D31" s="50" t="s">
        <v>177</v>
      </c>
      <c r="E31" s="50" t="s">
        <v>178</v>
      </c>
      <c r="F31" s="51">
        <v>3.8E-3</v>
      </c>
      <c r="G31" s="52">
        <v>0.5</v>
      </c>
      <c r="H31" s="52">
        <v>1</v>
      </c>
      <c r="I31" s="53"/>
      <c r="J31" s="44" t="s">
        <v>173</v>
      </c>
      <c r="K31" s="43" t="s">
        <v>179</v>
      </c>
    </row>
    <row r="32" spans="3:11" ht="20.100000000000001" customHeight="1" x14ac:dyDescent="0.25">
      <c r="C32" s="4" t="s">
        <v>180</v>
      </c>
      <c r="D32" s="50" t="s">
        <v>177</v>
      </c>
      <c r="E32" s="50" t="s">
        <v>181</v>
      </c>
      <c r="F32" s="51">
        <v>3.8E-3</v>
      </c>
      <c r="G32" s="52">
        <v>0.5</v>
      </c>
      <c r="H32" s="52">
        <v>1</v>
      </c>
      <c r="I32" s="53"/>
      <c r="J32" s="44" t="s">
        <v>173</v>
      </c>
      <c r="K32" s="43" t="s">
        <v>179</v>
      </c>
    </row>
    <row r="33" spans="3:11" ht="20.100000000000001" customHeight="1" x14ac:dyDescent="0.25">
      <c r="C33" s="4" t="s">
        <v>182</v>
      </c>
      <c r="D33" s="50" t="s">
        <v>177</v>
      </c>
      <c r="E33" s="50" t="s">
        <v>183</v>
      </c>
      <c r="F33" s="51">
        <v>4.1999999999999997E-3</v>
      </c>
      <c r="G33" s="52">
        <v>0.5</v>
      </c>
      <c r="H33" s="52">
        <v>1</v>
      </c>
      <c r="I33" s="53"/>
      <c r="J33" s="44" t="s">
        <v>173</v>
      </c>
      <c r="K33" s="43" t="s">
        <v>179</v>
      </c>
    </row>
    <row r="34" spans="3:11" ht="20.100000000000001" customHeight="1" x14ac:dyDescent="0.25">
      <c r="C34" s="4" t="s">
        <v>184</v>
      </c>
      <c r="D34" s="50" t="s">
        <v>177</v>
      </c>
      <c r="E34" s="50" t="s">
        <v>185</v>
      </c>
      <c r="F34" s="51">
        <v>5.4000000000000003E-3</v>
      </c>
      <c r="G34" s="52">
        <v>0.5</v>
      </c>
      <c r="H34" s="52">
        <v>1</v>
      </c>
      <c r="I34" s="53"/>
      <c r="J34" s="44" t="s">
        <v>173</v>
      </c>
      <c r="K34" s="43" t="s">
        <v>179</v>
      </c>
    </row>
    <row r="35" spans="3:11" ht="20.100000000000001" customHeight="1" x14ac:dyDescent="0.25">
      <c r="C35" s="4" t="s">
        <v>186</v>
      </c>
      <c r="D35" s="50" t="s">
        <v>177</v>
      </c>
      <c r="E35" s="50" t="s">
        <v>187</v>
      </c>
      <c r="F35" s="51">
        <v>1.06E-2</v>
      </c>
      <c r="G35" s="52">
        <v>0.5</v>
      </c>
      <c r="H35" s="52">
        <v>1</v>
      </c>
      <c r="I35" s="53"/>
      <c r="J35" s="44" t="s">
        <v>173</v>
      </c>
      <c r="K35" s="43" t="s">
        <v>179</v>
      </c>
    </row>
    <row r="36" spans="3:11" ht="20.100000000000001" customHeight="1" x14ac:dyDescent="0.25">
      <c r="C36" s="4" t="s">
        <v>188</v>
      </c>
      <c r="D36" s="50" t="s">
        <v>177</v>
      </c>
      <c r="E36" s="50" t="s">
        <v>189</v>
      </c>
      <c r="F36" s="51">
        <v>1.6E-2</v>
      </c>
      <c r="G36" s="52">
        <v>0.5</v>
      </c>
      <c r="H36" s="52">
        <v>1</v>
      </c>
      <c r="I36" s="53"/>
      <c r="J36" s="44" t="s">
        <v>173</v>
      </c>
      <c r="K36" s="43" t="s">
        <v>179</v>
      </c>
    </row>
    <row r="37" spans="3:11" ht="20.100000000000001" customHeight="1" x14ac:dyDescent="0.25">
      <c r="C37" s="4" t="s">
        <v>190</v>
      </c>
      <c r="D37" s="50" t="s">
        <v>177</v>
      </c>
      <c r="E37" s="50" t="s">
        <v>191</v>
      </c>
      <c r="F37" s="51">
        <v>0.06</v>
      </c>
      <c r="G37" s="52">
        <v>0.5</v>
      </c>
      <c r="H37" s="52">
        <v>1</v>
      </c>
      <c r="I37" s="53"/>
      <c r="J37" s="44" t="s">
        <v>173</v>
      </c>
      <c r="K37" s="43" t="s">
        <v>179</v>
      </c>
    </row>
    <row r="38" spans="3:11" ht="20.100000000000001" customHeight="1" x14ac:dyDescent="0.25">
      <c r="C38" s="4" t="s">
        <v>192</v>
      </c>
      <c r="D38" s="50" t="s">
        <v>177</v>
      </c>
      <c r="E38" s="50" t="s">
        <v>193</v>
      </c>
      <c r="F38" s="51">
        <v>3.8E-3</v>
      </c>
      <c r="G38" s="52">
        <v>0.5</v>
      </c>
      <c r="H38" s="52">
        <v>1</v>
      </c>
      <c r="I38" s="53"/>
      <c r="J38" s="44" t="s">
        <v>173</v>
      </c>
      <c r="K38" s="43" t="s">
        <v>194</v>
      </c>
    </row>
    <row r="39" spans="3:11" ht="20.100000000000001" customHeight="1" x14ac:dyDescent="0.25">
      <c r="C39" s="4" t="s">
        <v>195</v>
      </c>
      <c r="D39" s="50" t="s">
        <v>177</v>
      </c>
      <c r="E39" s="50" t="s">
        <v>196</v>
      </c>
      <c r="F39" s="51">
        <v>4.1999999999999997E-3</v>
      </c>
      <c r="G39" s="52">
        <v>0.5</v>
      </c>
      <c r="H39" s="52">
        <v>1</v>
      </c>
      <c r="I39" s="53"/>
      <c r="J39" s="44" t="s">
        <v>173</v>
      </c>
      <c r="K39" s="43" t="s">
        <v>194</v>
      </c>
    </row>
    <row r="40" spans="3:11" ht="20.100000000000001" customHeight="1" x14ac:dyDescent="0.25">
      <c r="C40" s="4" t="s">
        <v>197</v>
      </c>
      <c r="D40" s="50" t="s">
        <v>177</v>
      </c>
      <c r="E40" s="50" t="s">
        <v>198</v>
      </c>
      <c r="F40" s="51">
        <v>5.4000000000000003E-3</v>
      </c>
      <c r="G40" s="52">
        <v>0.5</v>
      </c>
      <c r="H40" s="52">
        <v>1</v>
      </c>
      <c r="I40" s="53"/>
      <c r="J40" s="44" t="s">
        <v>173</v>
      </c>
      <c r="K40" s="43" t="s">
        <v>194</v>
      </c>
    </row>
    <row r="41" spans="3:11" ht="20.100000000000001" customHeight="1" x14ac:dyDescent="0.25">
      <c r="C41" s="4" t="s">
        <v>199</v>
      </c>
      <c r="D41" s="50" t="s">
        <v>177</v>
      </c>
      <c r="E41" s="50" t="s">
        <v>200</v>
      </c>
      <c r="F41" s="51">
        <v>1.06E-2</v>
      </c>
      <c r="G41" s="52">
        <v>0.5</v>
      </c>
      <c r="H41" s="52">
        <v>1</v>
      </c>
      <c r="I41" s="53"/>
      <c r="J41" s="44" t="s">
        <v>173</v>
      </c>
      <c r="K41" s="43" t="s">
        <v>194</v>
      </c>
    </row>
    <row r="42" spans="3:11" ht="20.100000000000001" customHeight="1" x14ac:dyDescent="0.25">
      <c r="C42" s="4" t="s">
        <v>201</v>
      </c>
      <c r="D42" s="50" t="s">
        <v>177</v>
      </c>
      <c r="E42" s="50" t="s">
        <v>202</v>
      </c>
      <c r="F42" s="51">
        <v>1.6E-2</v>
      </c>
      <c r="G42" s="52">
        <v>0.5</v>
      </c>
      <c r="H42" s="52">
        <v>1</v>
      </c>
      <c r="I42" s="53"/>
      <c r="J42" s="44" t="s">
        <v>173</v>
      </c>
      <c r="K42" s="43" t="s">
        <v>194</v>
      </c>
    </row>
    <row r="43" spans="3:11" ht="20.100000000000001" customHeight="1" x14ac:dyDescent="0.25">
      <c r="C43" s="4" t="s">
        <v>203</v>
      </c>
      <c r="D43" s="50" t="s">
        <v>177</v>
      </c>
      <c r="E43" s="50" t="s">
        <v>204</v>
      </c>
      <c r="F43" s="51">
        <v>0.06</v>
      </c>
      <c r="G43" s="52">
        <v>0.5</v>
      </c>
      <c r="H43" s="52">
        <v>1</v>
      </c>
      <c r="I43" s="53"/>
      <c r="J43" s="44" t="s">
        <v>173</v>
      </c>
      <c r="K43" s="43" t="s">
        <v>194</v>
      </c>
    </row>
    <row r="44" spans="3:11" ht="20.100000000000001" customHeight="1" x14ac:dyDescent="0.25">
      <c r="C44" s="4" t="s">
        <v>205</v>
      </c>
      <c r="D44" s="50" t="s">
        <v>177</v>
      </c>
      <c r="E44" s="50" t="s">
        <v>206</v>
      </c>
      <c r="F44" s="51">
        <v>3.8E-3</v>
      </c>
      <c r="G44" s="52">
        <v>0.8</v>
      </c>
      <c r="H44" s="52">
        <v>0.8</v>
      </c>
      <c r="I44" s="53"/>
      <c r="J44" s="44" t="s">
        <v>173</v>
      </c>
      <c r="K44" s="43" t="s">
        <v>207</v>
      </c>
    </row>
    <row r="45" spans="3:11" ht="20.100000000000001" customHeight="1" x14ac:dyDescent="0.25">
      <c r="C45" s="4" t="s">
        <v>208</v>
      </c>
      <c r="D45" s="50" t="s">
        <v>177</v>
      </c>
      <c r="E45" s="50" t="s">
        <v>209</v>
      </c>
      <c r="F45" s="51">
        <v>1.06E-2</v>
      </c>
      <c r="G45" s="52">
        <v>0.8</v>
      </c>
      <c r="H45" s="52">
        <v>0.8</v>
      </c>
      <c r="I45" s="53"/>
      <c r="J45" s="44" t="s">
        <v>173</v>
      </c>
      <c r="K45" s="43" t="s">
        <v>207</v>
      </c>
    </row>
    <row r="46" spans="3:11" ht="20.100000000000001" customHeight="1" x14ac:dyDescent="0.25">
      <c r="C46" s="4" t="s">
        <v>210</v>
      </c>
      <c r="D46" s="50" t="s">
        <v>211</v>
      </c>
      <c r="E46" s="50" t="s">
        <v>212</v>
      </c>
      <c r="F46" s="51">
        <v>0.32</v>
      </c>
      <c r="G46" s="52">
        <v>0.5</v>
      </c>
      <c r="H46" s="52">
        <v>1.2</v>
      </c>
      <c r="I46" s="53"/>
      <c r="J46" s="44" t="s">
        <v>173</v>
      </c>
      <c r="K46" s="43" t="s">
        <v>213</v>
      </c>
    </row>
    <row r="47" spans="3:11" ht="20.100000000000001" customHeight="1" x14ac:dyDescent="0.25">
      <c r="C47" s="4" t="s">
        <v>214</v>
      </c>
      <c r="D47" s="50" t="s">
        <v>211</v>
      </c>
      <c r="E47" s="50" t="s">
        <v>215</v>
      </c>
      <c r="F47" s="51">
        <v>0.2</v>
      </c>
      <c r="G47" s="52">
        <v>0.8</v>
      </c>
      <c r="H47" s="52">
        <v>0.75</v>
      </c>
      <c r="I47" s="53"/>
      <c r="J47" s="44" t="s">
        <v>173</v>
      </c>
      <c r="K47" s="43" t="s">
        <v>213</v>
      </c>
    </row>
    <row r="48" spans="3:11" ht="20.100000000000001" customHeight="1" x14ac:dyDescent="0.25">
      <c r="C48" s="4" t="s">
        <v>216</v>
      </c>
      <c r="D48" s="50" t="s">
        <v>47</v>
      </c>
      <c r="E48" s="50" t="s">
        <v>217</v>
      </c>
      <c r="F48" s="51">
        <v>0.4</v>
      </c>
      <c r="G48" s="52">
        <v>0.4</v>
      </c>
      <c r="H48" s="52">
        <v>1.5</v>
      </c>
      <c r="I48" s="44" t="s">
        <v>218</v>
      </c>
      <c r="J48" s="44" t="s">
        <v>173</v>
      </c>
      <c r="K48" s="43" t="s">
        <v>179</v>
      </c>
    </row>
    <row r="49" spans="3:11" ht="20.100000000000001" customHeight="1" x14ac:dyDescent="0.25">
      <c r="C49" s="4" t="s">
        <v>219</v>
      </c>
      <c r="D49" s="50" t="s">
        <v>47</v>
      </c>
      <c r="E49" s="50" t="s">
        <v>220</v>
      </c>
      <c r="F49" s="51">
        <v>0.18</v>
      </c>
      <c r="G49" s="52">
        <v>0.4</v>
      </c>
      <c r="H49" s="52">
        <v>0.7</v>
      </c>
      <c r="I49" s="44" t="s">
        <v>218</v>
      </c>
      <c r="J49" s="44" t="s">
        <v>173</v>
      </c>
      <c r="K49" s="43" t="s">
        <v>179</v>
      </c>
    </row>
    <row r="50" spans="3:11" ht="20.100000000000001" customHeight="1" x14ac:dyDescent="0.25">
      <c r="C50" s="4" t="s">
        <v>221</v>
      </c>
      <c r="D50" s="50" t="s">
        <v>47</v>
      </c>
      <c r="E50" s="50" t="s">
        <v>222</v>
      </c>
      <c r="F50" s="51">
        <v>0.18</v>
      </c>
      <c r="G50" s="52">
        <v>0.4</v>
      </c>
      <c r="H50" s="52">
        <v>0.7</v>
      </c>
      <c r="I50" s="44" t="s">
        <v>222</v>
      </c>
      <c r="J50" s="44" t="s">
        <v>173</v>
      </c>
      <c r="K50" s="43" t="s">
        <v>179</v>
      </c>
    </row>
    <row r="51" spans="3:11" ht="20.100000000000001" customHeight="1" x14ac:dyDescent="0.25">
      <c r="C51" s="4" t="s">
        <v>223</v>
      </c>
      <c r="D51" s="50" t="s">
        <v>47</v>
      </c>
      <c r="E51" s="50" t="s">
        <v>224</v>
      </c>
      <c r="F51" s="51">
        <v>0.18</v>
      </c>
      <c r="G51" s="52">
        <v>0.4</v>
      </c>
      <c r="H51" s="52">
        <v>0.7</v>
      </c>
      <c r="I51" s="44" t="s">
        <v>224</v>
      </c>
      <c r="J51" s="44" t="s">
        <v>173</v>
      </c>
      <c r="K51" s="43" t="s">
        <v>179</v>
      </c>
    </row>
    <row r="52" spans="3:11" ht="20.100000000000001" customHeight="1" x14ac:dyDescent="0.25">
      <c r="C52" s="4" t="s">
        <v>225</v>
      </c>
      <c r="D52" s="50" t="s">
        <v>47</v>
      </c>
      <c r="E52" s="50" t="s">
        <v>226</v>
      </c>
      <c r="F52" s="51">
        <v>0.18</v>
      </c>
      <c r="G52" s="52">
        <v>0.4</v>
      </c>
      <c r="H52" s="52">
        <v>0.7</v>
      </c>
      <c r="I52" s="44" t="s">
        <v>226</v>
      </c>
      <c r="J52" s="44" t="s">
        <v>173</v>
      </c>
      <c r="K52" s="43" t="s">
        <v>179</v>
      </c>
    </row>
    <row r="53" spans="3:11" ht="20.100000000000001" customHeight="1" x14ac:dyDescent="0.25">
      <c r="C53" s="4" t="s">
        <v>227</v>
      </c>
      <c r="D53" s="50" t="s">
        <v>47</v>
      </c>
      <c r="E53" s="50" t="s">
        <v>228</v>
      </c>
      <c r="F53" s="51">
        <v>0.18</v>
      </c>
      <c r="G53" s="52">
        <v>0.4</v>
      </c>
      <c r="H53" s="52">
        <v>0.7</v>
      </c>
      <c r="I53" s="44" t="s">
        <v>228</v>
      </c>
      <c r="J53" s="44" t="s">
        <v>156</v>
      </c>
      <c r="K53" s="43" t="s">
        <v>807</v>
      </c>
    </row>
    <row r="54" spans="3:11" ht="20.100000000000001" customHeight="1" x14ac:dyDescent="0.25">
      <c r="C54" s="4" t="s">
        <v>229</v>
      </c>
      <c r="D54" s="50" t="s">
        <v>229</v>
      </c>
      <c r="E54" s="50"/>
      <c r="F54" s="51">
        <v>0.08</v>
      </c>
      <c r="G54" s="52"/>
      <c r="H54" s="52">
        <v>1.5</v>
      </c>
      <c r="I54" s="53"/>
      <c r="J54" s="44" t="s">
        <v>156</v>
      </c>
      <c r="K54" s="43" t="s">
        <v>230</v>
      </c>
    </row>
    <row r="55" spans="3:11" ht="20.100000000000001" customHeight="1" x14ac:dyDescent="0.25"/>
    <row r="56" spans="3:11" ht="20.100000000000001" customHeight="1" x14ac:dyDescent="0.25">
      <c r="C56" s="48" t="s">
        <v>231</v>
      </c>
    </row>
    <row r="57" spans="3:11" ht="30" customHeight="1" x14ac:dyDescent="0.25">
      <c r="C57" s="54" t="s">
        <v>232</v>
      </c>
      <c r="D57" s="54" t="s">
        <v>233</v>
      </c>
      <c r="E57" s="55" t="s">
        <v>234</v>
      </c>
    </row>
    <row r="58" spans="3:11" ht="20.100000000000001" customHeight="1" x14ac:dyDescent="0.25">
      <c r="C58" s="8" t="s">
        <v>114</v>
      </c>
      <c r="D58" s="36" t="s">
        <v>235</v>
      </c>
      <c r="E58" s="56">
        <v>1</v>
      </c>
    </row>
    <row r="59" spans="3:11" ht="20.100000000000001" customHeight="1" x14ac:dyDescent="0.25">
      <c r="C59" s="8" t="s">
        <v>236</v>
      </c>
      <c r="D59" s="36" t="s">
        <v>237</v>
      </c>
      <c r="E59" s="56">
        <v>0.86</v>
      </c>
    </row>
    <row r="60" spans="3:11" ht="20.100000000000001" customHeight="1" x14ac:dyDescent="0.25">
      <c r="C60" s="8" t="s">
        <v>238</v>
      </c>
      <c r="D60" s="36" t="s">
        <v>239</v>
      </c>
      <c r="E60" s="56">
        <v>1.1599999999999999</v>
      </c>
    </row>
    <row r="61" spans="3:11" ht="20.100000000000001" customHeight="1" x14ac:dyDescent="0.25">
      <c r="C61" s="8" t="s">
        <v>240</v>
      </c>
      <c r="D61" s="36" t="s">
        <v>241</v>
      </c>
      <c r="E61" s="56">
        <v>5.7999999999999996E-3</v>
      </c>
    </row>
    <row r="62" spans="3:11" ht="20.100000000000001" customHeight="1" x14ac:dyDescent="0.25">
      <c r="C62" s="8" t="s">
        <v>242</v>
      </c>
      <c r="D62" s="36" t="s">
        <v>243</v>
      </c>
      <c r="E62" s="56">
        <v>1.07</v>
      </c>
    </row>
    <row r="63" spans="3:11" ht="20.100000000000001" customHeight="1" x14ac:dyDescent="0.25">
      <c r="D63" s="57" t="s">
        <v>244</v>
      </c>
    </row>
    <row r="64" spans="3:11" ht="20.100000000000001" customHeight="1" x14ac:dyDescent="0.25"/>
  </sheetData>
  <conditionalFormatting sqref="C29:C54">
    <cfRule type="expression" dxfId="5" priority="1">
      <formula>AND(C29&lt;&gt;"",COUNTIF($C$29:$C$54,C29)&gt;1)</formula>
    </cfRule>
  </conditionalFormatting>
  <conditionalFormatting sqref="C58:C77">
    <cfRule type="expression" dxfId="4" priority="2">
      <formula>AND(C58&lt;&gt;"",COUNTIF($C$58:$C$77,C58)&gt;1)</formula>
    </cfRule>
  </conditionalFormatting>
  <dataValidations count="29">
    <dataValidation type="date" allowBlank="1" showInputMessage="1" showErrorMessage="1" errorTitle="Invalid reporting date" error="Enter a date between 2000 and 2100." promptTitle="Reporting date" prompt="Date the exposures are calculated for. Maturities and dates are measured from it." sqref="E6" xr:uid="{00000000-0002-0000-0100-000000000000}">
      <formula1>36526</formula1>
      <formula2>73415</formula2>
    </dataValidation>
    <dataValidation type="custom" allowBlank="1" showInputMessage="1" showErrorMessage="1" errorTitle="Invalid currency" error="Enter a three-letter ISO currency code, e.g. EUR." promptTitle="Reporting currency" prompt="ISO code, e.g. EUR. Every amount is converted into it with the FX table below." sqref="E7" xr:uid="{00000000-0002-0000-0100-000001000000}">
      <formula1>AND(ISTEXT(ReportingCcy),LEN(ReportingCcy)=3)</formula1>
    </dataValidation>
    <dataValidation type="decimal" operator="greaterThan" allowBlank="1" showInputMessage="1" showErrorMessage="1" errorTitle="Invalid alpha" error="Alpha must be a number greater than zero. Regulatory value: 1.4." promptTitle="Alpha" prompt="Multiplier on RC + PFE. Regulatory value 1.4 (CRE52.1, CRR Art. 274(2))." sqref="E8" xr:uid="{00000000-0002-0000-0100-000002000000}">
      <formula1>0</formula1>
    </dataValidation>
    <dataValidation type="decimal" allowBlank="1" showInputMessage="1" showErrorMessage="1" errorTitle="Invalid floor" error="Enter a percentage from 0% to below 100%. Regulatory value: 5%." promptTitle="Multiplier floor" prompt="Floor of the PFE multiplier, as a percentage. Regulatory value 5% (CRE52.23)." sqref="E9" xr:uid="{00000000-0002-0000-0100-000003000000}">
      <formula1>0</formula1>
      <formula2>0.9999</formula2>
    </dataValidation>
    <dataValidation type="decimal" allowBlank="1" showInputMessage="1" showErrorMessage="1" errorTitle="Invalid day count" error="Enter a number from 360 to 366. Normally 365." promptTitle="Days per year" prompt="Calendar days per year for S, E, M and T. Normally 365." sqref="E10" xr:uid="{00000000-0002-0000-0100-000004000000}">
      <formula1>360</formula1>
      <formula2>366</formula2>
    </dataValidation>
    <dataValidation type="whole" allowBlank="1" showInputMessage="1" showErrorMessage="1" errorTitle="Invalid business days" error="Enter a whole number from 200 to 366. Regulatory value: 250." promptTitle="Business days per year" prompt="Converts MPOR and the maturity floors into years. Regulatory value 250 (CRE52.48, 52.52)." sqref="E11" xr:uid="{00000000-0002-0000-0100-000005000000}">
      <formula1>200</formula1>
      <formula2>366</formula2>
    </dataValidation>
    <dataValidation type="whole" allowBlank="1" showInputMessage="1" showErrorMessage="1" errorTitle="Invalid minimum maturity" error="Enter a whole number of business days from 0 to 250. Regulatory value: 10." promptTitle="Minimum maturity" prompt="Floor on M for the unmargined maturity factor, in business days. Regulatory value 10 (CRE52.48)." sqref="E12" xr:uid="{00000000-0002-0000-0100-000006000000}">
      <formula1>0</formula1>
      <formula2>250</formula2>
    </dataValidation>
    <dataValidation type="whole" allowBlank="1" showInputMessage="1" showErrorMessage="1" errorTitle="Invalid duration floor" error="Enter a whole number of business days from 0 to 250 (0 = no floor). Regulatory value: 10." promptTitle="Supervisory duration floor" prompt="Floor on S and E for the supervisory duration, in business days; 0 = no floor. Regulatory value 10 (CRE52.34, CRR Art. 279b)." sqref="E13" xr:uid="{00000000-0002-0000-0100-000007000000}">
      <formula1>0</formula1>
      <formula2>250</formula2>
    </dataValidation>
    <dataValidation type="whole" allowBlank="1" showInputMessage="1" showErrorMessage="1" errorTitle="Invalid MPOR floor" error="Enter a whole number of business days from 1 to 250." promptTitle="MPOR floor, bilateral" prompt="Minimum MPOR for a bilateral, daily-margined netting set, in business days. Regulatory value 10 (CRE52.50)." sqref="E14" xr:uid="{00000000-0002-0000-0100-000008000000}">
      <formula1>1</formula1>
      <formula2>250</formula2>
    </dataValidation>
    <dataValidation type="whole" allowBlank="1" showInputMessage="1" showErrorMessage="1" errorTitle="Invalid MPOR floor" error="Enter a whole number of business days from 1 to 250." promptTitle="MPOR floor, client clearing" prompt="Minimum MPOR for a cleared netting set, in business days. Regulatory value 5 (CRE54)." sqref="E15" xr:uid="{00000000-0002-0000-0100-000009000000}">
      <formula1>1</formula1>
      <formula2>250</formula2>
    </dataValidation>
    <dataValidation type="whole" allowBlank="1" showInputMessage="1" showErrorMessage="1" errorTitle="Invalid MPOR floor" error="Enter a whole number of business days from 1 to 250." promptTitle="MPOR floor, large netting set" prompt="Minimum MPOR when a netting set has more than 5,000 trades or illiquid collateral, in business days. Regulatory value 20 (CRE52.50)." sqref="E16" xr:uid="{00000000-0002-0000-0100-00000A000000}">
      <formula1>1</formula1>
      <formula2>250</formula2>
    </dataValidation>
    <dataValidation type="decimal" allowBlank="1" showInputMessage="1" showErrorMessage="1" errorTitle="Invalid basis factor" error="Enter a number from 0 to 1. Regulatory value: 0.5." promptTitle="Basis factor" prompt="Supervisory factor multiplier for basis transactions. Regulatory value 0.5 (CRE52.46)." sqref="E17" xr:uid="{00000000-0002-0000-0100-00000B000000}">
      <formula1>0</formula1>
      <formula2>1</formula2>
    </dataValidation>
    <dataValidation type="decimal" allowBlank="1" showInputMessage="1" showErrorMessage="1" errorTitle="Invalid volatility factor" error="Enter a number from 0 to 10. Regulatory value: 5." promptTitle="Volatility factor" prompt="Supervisory factor multiplier for volatility transactions. Regulatory value 5 (CRE52.47)." sqref="E18" xr:uid="{00000000-0002-0000-0100-00000C000000}">
      <formula1>0</formula1>
      <formula2>10</formula2>
    </dataValidation>
    <dataValidation type="custom" allowBlank="1" showInputMessage="1" showErrorMessage="1" errorTitle="Invalid IR correlation" error="Each correlation must be from 0 to 1, and the three together must form a valid correlation matrix." promptTitle="IR correlation 1-2" prompt="Correlation between maturity buckets. Regulatory values: 1-2 and 2-3 = 0.7, 1-3 = 0.3 (CRE52.57)." sqref="E19" xr:uid="{00000000-0002-0000-0100-00000D000000}">
      <formula1>AND(ISNUMBER(IRCorrBucket12),ISNUMBER(IRCorrBucket23),ISNUMBER(IRCorrBucket13),MIN(IRCorrBucket12,IRCorrBucket23,IRCorrBucket13)&gt;=0,MAX(IRCorrBucket12,IRCorrBucket23,IRCorrBucket13)&lt;=1,1-IRCorrBucket12^2-IRCorrBucket23^2-IRCorrBucket13^2+2*IRCorrBucket12*IRCorrBucket23*IRCorrBucket13&gt;=0)</formula1>
    </dataValidation>
    <dataValidation type="custom" allowBlank="1" showInputMessage="1" showErrorMessage="1" errorTitle="Invalid IR correlation" error="Each correlation must be from 0 to 1, and the three together must form a valid correlation matrix." promptTitle="IR correlation 2-3" prompt="Correlation between maturity buckets. Regulatory values: 1-2 and 2-3 = 0.7, 1-3 = 0.3 (CRE52.57)." sqref="E20" xr:uid="{00000000-0002-0000-0100-00000E000000}">
      <formula1>AND(ISNUMBER(IRCorrBucket12),ISNUMBER(IRCorrBucket23),ISNUMBER(IRCorrBucket13),MIN(IRCorrBucket12,IRCorrBucket23,IRCorrBucket13)&gt;=0,MAX(IRCorrBucket12,IRCorrBucket23,IRCorrBucket13)&lt;=1,1-IRCorrBucket12^2-IRCorrBucket23^2-IRCorrBucket13^2+2*IRCorrBucket12*IRCorrBucket23*IRCorrBucket13&gt;=0)</formula1>
    </dataValidation>
    <dataValidation type="custom" allowBlank="1" showInputMessage="1" showErrorMessage="1" errorTitle="Invalid IR correlation" error="Each correlation must be from 0 to 1, and the three together must form a valid correlation matrix." promptTitle="IR correlation 1-3" prompt="Correlation between maturity buckets. Regulatory values: 1-2 and 2-3 = 0.7, 1-3 = 0.3 (CRE52.57)." sqref="E21" xr:uid="{00000000-0002-0000-0100-00000F000000}">
      <formula1>AND(ISNUMBER(IRCorrBucket12),ISNUMBER(IRCorrBucket23),ISNUMBER(IRCorrBucket13),MIN(IRCorrBucket12,IRCorrBucket23,IRCorrBucket13)&gt;=0,MAX(IRCorrBucket12,IRCorrBucket23,IRCorrBucket13)&lt;=1,1-IRCorrBucket12^2-IRCorrBucket23^2-IRCorrBucket13^2+2*IRCorrBucket12*IRCorrBucket23*IRCorrBucket13&gt;=0)</formula1>
    </dataValidation>
    <dataValidation type="list" allowBlank="1" showInputMessage="1" showErrorMessage="1" errorTitle="Invalid choice" error="Choose TRUE or FALSE." promptTitle="IR bucket offset" prompt="TRUE = bucket formula with offsets. FALSE = sum of absolute bucket values (Basel only). Under CRR only TRUE is allowed (Art. 280a(3))." sqref="E22" xr:uid="{00000000-0002-0000-0100-000010000000}">
      <formula1>"TRUE,FALSE"</formula1>
    </dataValidation>
    <dataValidation type="list" allowBlank="1" showInputMessage="1" showErrorMessage="1" errorTitle="Invalid regime" error="Choose CRR or BCBS." promptTitle="Default regime" prompt="CRR = EU rules; BCBS = Basel CRE52. Used for every netting set without its own regime. Blank means CRR." sqref="E23" xr:uid="{00000000-0002-0000-0100-000011000000}">
      <formula1>"CRR,BCBS"</formula1>
    </dataValidation>
    <dataValidation type="decimal" allowBlank="1" showInputMessage="1" showErrorMessage="1" errorTitle="Invalid IR threshold" error="Enter a percentage from 0% to 10%. Value: 0.1%." promptTitle="Lambda threshold, IR" prompt="CRR shift for IR options with negative rates, as a percentage. Value 0.1% (Del. Reg. 2021/931 Art. 5)." sqref="E24" xr:uid="{00000000-0002-0000-0100-000012000000}">
      <formula1>0</formula1>
      <formula2>0.1</formula2>
    </dataValidation>
    <dataValidation type="decimal" allowBlank="1" showInputMessage="1" showErrorMessage="1" errorTitle="Invalid commodity threshold" error="Enter a number from 0 to 1. Value: 0.10." promptTitle="Lambda threshold, commodity" prompt="CRR shift for commodity options with negative prices. Value 0.10 (Del. Reg. 2021/931 Art. 5)." sqref="E25" xr:uid="{00000000-0002-0000-0100-000013000000}">
      <formula1>0</formula1>
      <formula2>1</formula2>
    </dataValidation>
    <dataValidation type="custom" allowBlank="1" showInputMessage="1" showErrorMessage="1" errorTitle="Invalid or duplicate key" error="Enter a text key that is not already used in this table." promptTitle="Supervisory factor key" prompt="Unique key of the row, e.g. CR_BBB. A key listed twice with different values stops the run." sqref="C29:C54" xr:uid="{00000000-0002-0000-0100-000014000000}">
      <formula1>AND(ISTEXT(C29),COUNTIF($C$29:$C$54,C29)=1)</formula1>
    </dataValidation>
    <dataValidation type="list" allowBlank="1" showInputMessage="1" showErrorMessage="1" errorTitle="Invalid asset class" error="Choose IR, FX, CR, EQ, CO or OT." promptTitle="Asset class" prompt="IR, FX, CR (credit), EQ (equity), CO (commodity) or OT (other risks, CRR Art. 280f)." sqref="D29:D55" xr:uid="{00000000-0002-0000-0100-000015000000}">
      <formula1>"IR,FX,CR,EQ,CO,OT"</formula1>
    </dataValidation>
    <dataValidation type="decimal" allowBlank="1" showInputMessage="1" showErrorMessage="1" errorTitle="Invalid supervisory factor" error="Enter a percentage from 0% to 100%." promptTitle="Supervisory factor" prompt="Supervisory factor as a percentage (CRE52.72; CRR Art. 280a to 280f)." sqref="F29:F54" xr:uid="{00000000-0002-0000-0100-000016000000}">
      <formula1>0</formula1>
      <formula2>1</formula2>
    </dataValidation>
    <dataValidation type="decimal" allowBlank="1" showInputMessage="1" showErrorMessage="1" errorTitle="Invalid correlation" error="Enter a percentage from 0% to 100%." promptTitle="Correlation" prompt="Correlation with the systematic factor, for credit, equity and commodity (CRE52.72). Leave blank for IR, FX and OT." sqref="G29:G54" xr:uid="{00000000-0002-0000-0100-000017000000}">
      <formula1>0</formula1>
      <formula2>1</formula2>
    </dataValidation>
    <dataValidation type="decimal" allowBlank="1" showInputMessage="1" showErrorMessage="1" errorTitle="Invalid volatility" error="Enter a percentage from 0% to 500%." promptTitle="Supervisory option volatility" prompt="Volatility used in the supervisory delta of options (CRE52.72)." sqref="H29:H54" xr:uid="{00000000-0002-0000-0100-000018000000}">
      <formula1>0</formula1>
      <formula2>5</formula2>
    </dataValidation>
    <dataValidation type="list" allowBlank="1" showInputMessage="1" showErrorMessage="1" errorTitle="Invalid hedging set" error="Choose ENERGY, METALS, AGRICULTURAL, OTHER or CLIMATIC." promptTitle="Commodity hedging set" prompt="Commodity rows only (CRE52.69). CLIMATIC is the CRR climatic-conditions hedging set (Art. 277a(1)(e)). Leave blank for other asset classes." sqref="I29:I54" xr:uid="{00000000-0002-0000-0100-000019000000}">
      <formula1>"ENERGY,METALS,AGRICULTURAL,OTHER,CLIMATIC"</formula1>
    </dataValidation>
    <dataValidation type="list" allowBlank="1" showInputMessage="1" showErrorMessage="1" errorTitle="Invalid regime" error="Choose BOTH, CRR or BCBS." promptTitle="Regimes" prompt="Regimes in which the row applies: BOTH, CRR only or BCBS only." sqref="J29:J54" xr:uid="{00000000-0002-0000-0100-00001A000000}">
      <formula1>"BOTH,CRR,BCBS"</formula1>
    </dataValidation>
    <dataValidation type="custom" allowBlank="1" showInputMessage="1" showErrorMessage="1" errorTitle="Invalid or duplicate currency" error="Enter a three-letter ISO code that is not already in the table." promptTitle="Currency" prompt="ISO code, e.g. USD. Add currencies directly below the last row, with no blank rows." sqref="C58:C77" xr:uid="{00000000-0002-0000-0100-00001B000000}">
      <formula1>AND(ISTEXT(C58),LEN(C58)=3,COUNTIF($C$58:$C$77,C58)=1)</formula1>
    </dataValidation>
    <dataValidation type="custom" allowBlank="1" showInputMessage="1" showErrorMessage="1" errorTitle="Invalid FX rate" error="Enter a number greater than zero; the reporting currency's rate must be 1." promptTitle="FX rate" prompt="Units of the reporting currency per 1 unit of this currency. The reporting currency itself is 1." sqref="E58:E77" xr:uid="{00000000-0002-0000-0100-00001C000000}">
      <formula1>AND(ISNUMBER(E58),E58&gt;0,OR(UPPER(C58)&lt;&gt;UPPER(ReportingCcy),E58=1))</formula1>
    </dataValidation>
  </dataValidations>
  <pageMargins left="0.4" right="0.4" top="0.5" bottom="0.5" header="0.3" footer="0.3"/>
  <pageSetup paperSize="9"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NettingSets">
    <tabColor rgb="FFBF9000"/>
    <pageSetUpPr fitToPage="1"/>
  </sheetPr>
  <dimension ref="B1:S434"/>
  <sheetViews>
    <sheetView showGridLines="0" zoomScaleNormal="100" workbookViewId="0">
      <pane ySplit="6" topLeftCell="A7" activePane="bottomLeft" state="frozen"/>
      <selection pane="bottomLeft" activeCell="D11" sqref="D11"/>
    </sheetView>
  </sheetViews>
  <sheetFormatPr defaultRowHeight="15" x14ac:dyDescent="0.25"/>
  <cols>
    <col min="1" max="2" width="4" customWidth="1"/>
    <col min="3" max="3" width="20.625" style="36" customWidth="1"/>
    <col min="4" max="4" width="50.625" style="36" customWidth="1"/>
    <col min="5" max="16" width="10.625" style="36" customWidth="1"/>
    <col min="17" max="17" width="15.625" style="36" customWidth="1"/>
  </cols>
  <sheetData>
    <row r="1" spans="2:19" ht="24" customHeight="1" x14ac:dyDescent="0.25">
      <c r="B1" s="26" t="s">
        <v>0</v>
      </c>
      <c r="C1" s="27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28"/>
      <c r="P1" s="28"/>
      <c r="Q1" s="28"/>
      <c r="S1" s="29"/>
    </row>
    <row r="2" spans="2:19" ht="26.1" customHeight="1" x14ac:dyDescent="0.25">
      <c r="B2" s="30" t="s">
        <v>245</v>
      </c>
      <c r="C2" s="31"/>
      <c r="D2" s="32"/>
      <c r="E2" s="32"/>
      <c r="F2" s="32"/>
      <c r="G2" s="32"/>
      <c r="H2" s="32"/>
      <c r="I2" s="32"/>
      <c r="J2" s="32"/>
      <c r="K2" s="32"/>
      <c r="L2" s="32"/>
      <c r="M2" s="32"/>
      <c r="N2" s="32"/>
      <c r="O2" s="32"/>
      <c r="P2" s="32"/>
      <c r="Q2" s="32"/>
      <c r="S2" s="29"/>
    </row>
    <row r="3" spans="2:19" ht="30" customHeight="1" x14ac:dyDescent="0.25">
      <c r="C3" s="43" t="s">
        <v>840</v>
      </c>
      <c r="D3"/>
      <c r="E3"/>
      <c r="F3"/>
      <c r="G3"/>
      <c r="H3"/>
      <c r="I3"/>
      <c r="J3"/>
      <c r="K3"/>
      <c r="L3"/>
      <c r="M3"/>
      <c r="N3"/>
      <c r="O3"/>
      <c r="P3"/>
      <c r="Q3"/>
    </row>
    <row r="4" spans="2:19" ht="9.9499999999999993" customHeight="1" x14ac:dyDescent="0.25">
      <c r="C4" s="43"/>
      <c r="D4"/>
      <c r="E4"/>
      <c r="F4"/>
      <c r="G4"/>
      <c r="H4"/>
      <c r="I4"/>
      <c r="J4"/>
      <c r="K4"/>
      <c r="L4"/>
      <c r="M4"/>
      <c r="N4"/>
      <c r="O4"/>
      <c r="P4"/>
      <c r="Q4"/>
    </row>
    <row r="5" spans="2:19" ht="9.9499999999999993" customHeight="1" x14ac:dyDescent="0.25">
      <c r="C5"/>
      <c r="D5"/>
      <c r="E5"/>
      <c r="F5"/>
      <c r="G5"/>
      <c r="H5"/>
      <c r="I5"/>
      <c r="J5"/>
      <c r="K5"/>
      <c r="L5"/>
      <c r="M5"/>
      <c r="N5"/>
      <c r="O5"/>
      <c r="P5"/>
      <c r="Q5"/>
    </row>
    <row r="6" spans="2:19" s="36" customFormat="1" ht="50.1" customHeight="1" x14ac:dyDescent="0.25">
      <c r="C6" s="58" t="s">
        <v>246</v>
      </c>
      <c r="D6" s="58" t="s">
        <v>247</v>
      </c>
      <c r="E6" s="59" t="s">
        <v>248</v>
      </c>
      <c r="F6" s="59" t="s">
        <v>841</v>
      </c>
      <c r="G6" s="59" t="s">
        <v>249</v>
      </c>
      <c r="H6" s="59" t="s">
        <v>250</v>
      </c>
      <c r="I6" s="59" t="s">
        <v>251</v>
      </c>
      <c r="J6" s="59" t="s">
        <v>252</v>
      </c>
      <c r="K6" s="59" t="s">
        <v>253</v>
      </c>
      <c r="L6" s="59" t="s">
        <v>254</v>
      </c>
      <c r="M6" s="59" t="s">
        <v>255</v>
      </c>
      <c r="N6" s="59" t="s">
        <v>256</v>
      </c>
      <c r="O6" s="59" t="s">
        <v>257</v>
      </c>
      <c r="P6" s="59" t="s">
        <v>258</v>
      </c>
      <c r="Q6" s="59" t="s">
        <v>842</v>
      </c>
    </row>
    <row r="7" spans="2:19" ht="20.100000000000001" customHeight="1" x14ac:dyDescent="0.25">
      <c r="C7" s="60" t="s">
        <v>259</v>
      </c>
      <c r="D7" s="47" t="s">
        <v>260</v>
      </c>
      <c r="E7" s="44" t="s">
        <v>261</v>
      </c>
      <c r="F7" s="44" t="s">
        <v>261</v>
      </c>
      <c r="G7" s="61"/>
      <c r="H7" s="44" t="s">
        <v>261</v>
      </c>
      <c r="I7" s="44" t="s">
        <v>261</v>
      </c>
      <c r="J7" s="62"/>
      <c r="K7" s="63">
        <v>0</v>
      </c>
      <c r="L7" s="63">
        <v>0</v>
      </c>
      <c r="M7" s="63">
        <v>0</v>
      </c>
      <c r="N7" s="63">
        <v>0</v>
      </c>
      <c r="O7" s="64"/>
      <c r="P7" s="44" t="s">
        <v>262</v>
      </c>
      <c r="Q7" s="44"/>
    </row>
    <row r="8" spans="2:19" ht="20.100000000000001" customHeight="1" x14ac:dyDescent="0.25">
      <c r="C8" s="60" t="s">
        <v>263</v>
      </c>
      <c r="D8" s="47" t="s">
        <v>264</v>
      </c>
      <c r="E8" s="44" t="s">
        <v>261</v>
      </c>
      <c r="F8" s="44" t="s">
        <v>261</v>
      </c>
      <c r="G8" s="61"/>
      <c r="H8" s="44" t="s">
        <v>261</v>
      </c>
      <c r="I8" s="44" t="s">
        <v>261</v>
      </c>
      <c r="J8" s="62"/>
      <c r="K8" s="63">
        <v>0</v>
      </c>
      <c r="L8" s="63">
        <v>0</v>
      </c>
      <c r="M8" s="63">
        <v>0</v>
      </c>
      <c r="N8" s="63">
        <v>0</v>
      </c>
      <c r="O8" s="64"/>
      <c r="P8" s="44" t="s">
        <v>262</v>
      </c>
      <c r="Q8" s="44"/>
    </row>
    <row r="9" spans="2:19" ht="20.100000000000001" customHeight="1" x14ac:dyDescent="0.25">
      <c r="C9" s="60" t="s">
        <v>265</v>
      </c>
      <c r="D9" s="47" t="s">
        <v>266</v>
      </c>
      <c r="E9" s="44" t="s">
        <v>261</v>
      </c>
      <c r="F9" s="44" t="s">
        <v>261</v>
      </c>
      <c r="G9" s="61"/>
      <c r="H9" s="44" t="s">
        <v>261</v>
      </c>
      <c r="I9" s="44" t="s">
        <v>261</v>
      </c>
      <c r="J9" s="62"/>
      <c r="K9" s="63">
        <v>0</v>
      </c>
      <c r="L9" s="63">
        <v>0</v>
      </c>
      <c r="M9" s="63">
        <v>0</v>
      </c>
      <c r="N9" s="63">
        <v>0</v>
      </c>
      <c r="O9" s="64"/>
      <c r="P9" s="44" t="s">
        <v>262</v>
      </c>
      <c r="Q9" s="44"/>
    </row>
    <row r="10" spans="2:19" ht="20.100000000000001" customHeight="1" x14ac:dyDescent="0.25">
      <c r="C10" s="60" t="s">
        <v>267</v>
      </c>
      <c r="D10" s="47" t="s">
        <v>268</v>
      </c>
      <c r="E10" s="44" t="s">
        <v>261</v>
      </c>
      <c r="F10" s="44" t="s">
        <v>261</v>
      </c>
      <c r="G10" s="61"/>
      <c r="H10" s="44" t="s">
        <v>261</v>
      </c>
      <c r="I10" s="44" t="s">
        <v>261</v>
      </c>
      <c r="J10" s="62"/>
      <c r="K10" s="63">
        <v>0</v>
      </c>
      <c r="L10" s="63">
        <v>0</v>
      </c>
      <c r="M10" s="63">
        <v>0</v>
      </c>
      <c r="N10" s="63">
        <v>0</v>
      </c>
      <c r="O10" s="64"/>
      <c r="P10" s="44" t="s">
        <v>262</v>
      </c>
      <c r="Q10" s="44"/>
    </row>
    <row r="11" spans="2:19" ht="20.100000000000001" customHeight="1" x14ac:dyDescent="0.25">
      <c r="C11" s="60" t="s">
        <v>269</v>
      </c>
      <c r="D11" s="47" t="s">
        <v>270</v>
      </c>
      <c r="E11" s="44" t="s">
        <v>271</v>
      </c>
      <c r="F11" s="44" t="s">
        <v>261</v>
      </c>
      <c r="G11" s="61">
        <v>5</v>
      </c>
      <c r="H11" s="44" t="s">
        <v>261</v>
      </c>
      <c r="I11" s="44" t="s">
        <v>261</v>
      </c>
      <c r="J11" s="62"/>
      <c r="K11" s="63">
        <v>50</v>
      </c>
      <c r="L11" s="63">
        <v>150</v>
      </c>
      <c r="M11" s="63">
        <v>0</v>
      </c>
      <c r="N11" s="63">
        <v>5</v>
      </c>
      <c r="O11" s="64"/>
      <c r="P11" s="44" t="s">
        <v>262</v>
      </c>
      <c r="Q11" s="44"/>
    </row>
    <row r="12" spans="2:19" ht="20.100000000000001" customHeight="1" x14ac:dyDescent="0.25">
      <c r="C12" s="60" t="s">
        <v>272</v>
      </c>
      <c r="D12" s="47" t="s">
        <v>273</v>
      </c>
      <c r="E12" s="44" t="s">
        <v>271</v>
      </c>
      <c r="F12" s="44" t="s">
        <v>261</v>
      </c>
      <c r="G12" s="61">
        <v>5</v>
      </c>
      <c r="H12" s="44" t="s">
        <v>261</v>
      </c>
      <c r="I12" s="44" t="s">
        <v>261</v>
      </c>
      <c r="J12" s="62"/>
      <c r="K12" s="63">
        <v>50</v>
      </c>
      <c r="L12" s="63">
        <v>150</v>
      </c>
      <c r="M12" s="63">
        <v>0</v>
      </c>
      <c r="N12" s="63">
        <v>5</v>
      </c>
      <c r="O12" s="64"/>
      <c r="P12" s="44" t="s">
        <v>156</v>
      </c>
      <c r="Q12" s="44"/>
    </row>
    <row r="13" spans="2:19" ht="20.100000000000001" customHeight="1" x14ac:dyDescent="0.25">
      <c r="C13" s="60" t="s">
        <v>274</v>
      </c>
      <c r="D13" s="47" t="s">
        <v>275</v>
      </c>
      <c r="E13" s="44" t="s">
        <v>271</v>
      </c>
      <c r="F13" s="44" t="s">
        <v>261</v>
      </c>
      <c r="G13" s="61">
        <v>1</v>
      </c>
      <c r="H13" s="44" t="s">
        <v>261</v>
      </c>
      <c r="I13" s="44" t="s">
        <v>261</v>
      </c>
      <c r="J13" s="62"/>
      <c r="K13" s="63">
        <v>-1300000000</v>
      </c>
      <c r="L13" s="63">
        <v>0</v>
      </c>
      <c r="M13" s="63">
        <v>0</v>
      </c>
      <c r="N13" s="63">
        <v>0</v>
      </c>
      <c r="O13" s="64"/>
      <c r="P13" s="44" t="s">
        <v>262</v>
      </c>
      <c r="Q13" s="44"/>
    </row>
    <row r="14" spans="2:19" ht="20.100000000000001" customHeight="1" x14ac:dyDescent="0.25">
      <c r="C14" s="60" t="s">
        <v>276</v>
      </c>
      <c r="D14" s="47" t="s">
        <v>277</v>
      </c>
      <c r="E14" s="44" t="s">
        <v>271</v>
      </c>
      <c r="F14" s="44" t="s">
        <v>261</v>
      </c>
      <c r="G14" s="61">
        <v>1</v>
      </c>
      <c r="H14" s="44" t="s">
        <v>261</v>
      </c>
      <c r="I14" s="44" t="s">
        <v>261</v>
      </c>
      <c r="J14" s="62"/>
      <c r="K14" s="63">
        <v>-1300000000</v>
      </c>
      <c r="L14" s="63">
        <v>0</v>
      </c>
      <c r="M14" s="63">
        <v>0</v>
      </c>
      <c r="N14" s="63">
        <v>0</v>
      </c>
      <c r="O14" s="64"/>
      <c r="P14" s="44" t="s">
        <v>156</v>
      </c>
      <c r="Q14" s="44"/>
    </row>
    <row r="15" spans="2:19" ht="20.100000000000001" customHeight="1" x14ac:dyDescent="0.25">
      <c r="C15" s="60" t="s">
        <v>278</v>
      </c>
      <c r="D15" s="47" t="s">
        <v>279</v>
      </c>
      <c r="E15" s="44" t="s">
        <v>261</v>
      </c>
      <c r="F15" s="44" t="s">
        <v>261</v>
      </c>
      <c r="G15" s="61"/>
      <c r="H15" s="44" t="s">
        <v>261</v>
      </c>
      <c r="I15" s="44" t="s">
        <v>261</v>
      </c>
      <c r="J15" s="62"/>
      <c r="K15" s="63">
        <v>0</v>
      </c>
      <c r="L15" s="63">
        <v>0</v>
      </c>
      <c r="M15" s="63">
        <v>0</v>
      </c>
      <c r="N15" s="63">
        <v>0</v>
      </c>
      <c r="O15" s="64"/>
      <c r="P15" s="44" t="s">
        <v>156</v>
      </c>
      <c r="Q15" s="44"/>
    </row>
    <row r="16" spans="2:19" ht="20.100000000000001" customHeight="1" x14ac:dyDescent="0.25">
      <c r="C16" s="60" t="s">
        <v>280</v>
      </c>
      <c r="D16" s="47" t="s">
        <v>281</v>
      </c>
      <c r="E16" s="44" t="s">
        <v>261</v>
      </c>
      <c r="F16" s="44" t="s">
        <v>261</v>
      </c>
      <c r="G16" s="61"/>
      <c r="H16" s="44" t="s">
        <v>261</v>
      </c>
      <c r="I16" s="44" t="s">
        <v>261</v>
      </c>
      <c r="J16" s="62"/>
      <c r="K16" s="63">
        <v>0</v>
      </c>
      <c r="L16" s="63">
        <v>0</v>
      </c>
      <c r="M16" s="63">
        <v>0</v>
      </c>
      <c r="N16" s="63">
        <v>0</v>
      </c>
      <c r="O16" s="64"/>
      <c r="P16" s="44" t="s">
        <v>156</v>
      </c>
      <c r="Q16" s="44"/>
    </row>
    <row r="17" spans="3:17" ht="20.100000000000001" customHeight="1" x14ac:dyDescent="0.25">
      <c r="C17" s="60" t="s">
        <v>282</v>
      </c>
      <c r="D17" s="47" t="s">
        <v>283</v>
      </c>
      <c r="E17" s="44" t="s">
        <v>261</v>
      </c>
      <c r="F17" s="44" t="s">
        <v>261</v>
      </c>
      <c r="G17" s="61"/>
      <c r="H17" s="44" t="s">
        <v>261</v>
      </c>
      <c r="I17" s="44" t="s">
        <v>261</v>
      </c>
      <c r="J17" s="62"/>
      <c r="K17" s="63">
        <v>0</v>
      </c>
      <c r="L17" s="63">
        <v>0</v>
      </c>
      <c r="M17" s="63">
        <v>0</v>
      </c>
      <c r="N17" s="63">
        <v>0</v>
      </c>
      <c r="O17" s="64"/>
      <c r="P17" s="44" t="s">
        <v>262</v>
      </c>
      <c r="Q17" s="44"/>
    </row>
    <row r="18" spans="3:17" ht="20.100000000000001" customHeight="1" x14ac:dyDescent="0.25">
      <c r="C18" s="60" t="s">
        <v>284</v>
      </c>
      <c r="D18" s="47" t="s">
        <v>285</v>
      </c>
      <c r="E18" s="44" t="s">
        <v>261</v>
      </c>
      <c r="F18" s="44" t="s">
        <v>261</v>
      </c>
      <c r="G18" s="61"/>
      <c r="H18" s="44" t="s">
        <v>261</v>
      </c>
      <c r="I18" s="44" t="s">
        <v>261</v>
      </c>
      <c r="J18" s="62"/>
      <c r="K18" s="63">
        <v>0</v>
      </c>
      <c r="L18" s="63">
        <v>0</v>
      </c>
      <c r="M18" s="63">
        <v>0</v>
      </c>
      <c r="N18" s="63">
        <v>0</v>
      </c>
      <c r="O18" s="64"/>
      <c r="P18" s="44" t="s">
        <v>156</v>
      </c>
      <c r="Q18" s="44"/>
    </row>
    <row r="19" spans="3:17" ht="20.100000000000001" customHeight="1" x14ac:dyDescent="0.25">
      <c r="C19" s="60" t="s">
        <v>286</v>
      </c>
      <c r="D19" s="47" t="s">
        <v>287</v>
      </c>
      <c r="E19" s="44" t="s">
        <v>261</v>
      </c>
      <c r="F19" s="44" t="s">
        <v>261</v>
      </c>
      <c r="G19" s="61"/>
      <c r="H19" s="44" t="s">
        <v>261</v>
      </c>
      <c r="I19" s="44" t="s">
        <v>261</v>
      </c>
      <c r="J19" s="62"/>
      <c r="K19" s="63">
        <v>0</v>
      </c>
      <c r="L19" s="63">
        <v>0</v>
      </c>
      <c r="M19" s="63">
        <v>0</v>
      </c>
      <c r="N19" s="63">
        <v>0</v>
      </c>
      <c r="O19" s="64"/>
      <c r="P19" s="44" t="s">
        <v>156</v>
      </c>
      <c r="Q19" s="44"/>
    </row>
    <row r="20" spans="3:17" ht="20.100000000000001" customHeight="1" x14ac:dyDescent="0.25">
      <c r="C20" s="60" t="s">
        <v>288</v>
      </c>
      <c r="D20" s="47" t="s">
        <v>289</v>
      </c>
      <c r="E20" s="44" t="s">
        <v>261</v>
      </c>
      <c r="F20" s="44" t="s">
        <v>261</v>
      </c>
      <c r="G20" s="61"/>
      <c r="H20" s="44" t="s">
        <v>261</v>
      </c>
      <c r="I20" s="44" t="s">
        <v>261</v>
      </c>
      <c r="J20" s="62"/>
      <c r="K20" s="63">
        <v>0</v>
      </c>
      <c r="L20" s="63">
        <v>0</v>
      </c>
      <c r="M20" s="63">
        <v>0</v>
      </c>
      <c r="N20" s="63">
        <v>0</v>
      </c>
      <c r="O20" s="64"/>
      <c r="P20" s="44" t="s">
        <v>156</v>
      </c>
      <c r="Q20" s="44"/>
    </row>
    <row r="21" spans="3:17" ht="20.100000000000001" customHeight="1" x14ac:dyDescent="0.25">
      <c r="C21" s="60" t="s">
        <v>290</v>
      </c>
      <c r="D21" s="47" t="s">
        <v>291</v>
      </c>
      <c r="E21" s="44" t="s">
        <v>261</v>
      </c>
      <c r="F21" s="44" t="s">
        <v>261</v>
      </c>
      <c r="G21" s="61"/>
      <c r="H21" s="44" t="s">
        <v>261</v>
      </c>
      <c r="I21" s="44" t="s">
        <v>261</v>
      </c>
      <c r="J21" s="62"/>
      <c r="K21" s="63">
        <v>0</v>
      </c>
      <c r="L21" s="63">
        <v>0</v>
      </c>
      <c r="M21" s="63">
        <v>0</v>
      </c>
      <c r="N21" s="63">
        <v>0</v>
      </c>
      <c r="O21" s="64"/>
      <c r="P21" s="44"/>
      <c r="Q21" s="44"/>
    </row>
    <row r="22" spans="3:17" ht="20.100000000000001" customHeight="1" x14ac:dyDescent="0.25">
      <c r="C22" s="60" t="s">
        <v>292</v>
      </c>
      <c r="D22" s="47" t="s">
        <v>293</v>
      </c>
      <c r="E22" s="44" t="s">
        <v>271</v>
      </c>
      <c r="F22" s="44" t="s">
        <v>261</v>
      </c>
      <c r="G22" s="61">
        <v>1</v>
      </c>
      <c r="H22" s="44" t="s">
        <v>261</v>
      </c>
      <c r="I22" s="44" t="s">
        <v>261</v>
      </c>
      <c r="J22" s="62"/>
      <c r="K22" s="63">
        <v>1500000</v>
      </c>
      <c r="L22" s="63">
        <v>2000000</v>
      </c>
      <c r="M22" s="63">
        <v>0</v>
      </c>
      <c r="N22" s="63">
        <v>250000</v>
      </c>
      <c r="O22" s="64"/>
      <c r="P22" s="44"/>
      <c r="Q22" s="44"/>
    </row>
    <row r="23" spans="3:17" ht="20.100000000000001" customHeight="1" x14ac:dyDescent="0.25">
      <c r="C23" s="60" t="s">
        <v>843</v>
      </c>
      <c r="D23" s="47" t="s">
        <v>844</v>
      </c>
      <c r="E23" s="44" t="s">
        <v>261</v>
      </c>
      <c r="F23" s="44" t="s">
        <v>261</v>
      </c>
      <c r="G23" s="61"/>
      <c r="H23" s="44" t="s">
        <v>261</v>
      </c>
      <c r="I23" s="44" t="s">
        <v>261</v>
      </c>
      <c r="J23" s="62"/>
      <c r="K23" s="63">
        <v>0</v>
      </c>
      <c r="L23" s="63">
        <v>0</v>
      </c>
      <c r="M23" s="63">
        <v>0</v>
      </c>
      <c r="N23" s="63">
        <v>0</v>
      </c>
      <c r="O23" s="64"/>
      <c r="P23" s="44" t="s">
        <v>262</v>
      </c>
      <c r="Q23" s="44"/>
    </row>
    <row r="24" spans="3:17" ht="20.100000000000001" customHeight="1" x14ac:dyDescent="0.25">
      <c r="C24" s="60"/>
      <c r="D24" s="47"/>
      <c r="E24" s="44"/>
      <c r="F24" s="44"/>
      <c r="G24" s="61"/>
      <c r="H24" s="44"/>
      <c r="I24" s="44"/>
      <c r="J24" s="62"/>
      <c r="K24" s="63"/>
      <c r="L24" s="63"/>
      <c r="M24" s="63"/>
      <c r="N24" s="63"/>
      <c r="O24" s="64"/>
      <c r="P24" s="44"/>
      <c r="Q24" s="44"/>
    </row>
    <row r="25" spans="3:17" ht="20.100000000000001" customHeight="1" x14ac:dyDescent="0.25">
      <c r="C25" s="60"/>
      <c r="D25" s="47"/>
      <c r="E25" s="44"/>
      <c r="F25" s="44"/>
      <c r="G25" s="61"/>
      <c r="H25" s="44"/>
      <c r="I25" s="44"/>
      <c r="J25" s="62"/>
      <c r="K25" s="63"/>
      <c r="L25" s="63"/>
      <c r="M25" s="63"/>
      <c r="N25" s="63"/>
      <c r="O25" s="64"/>
      <c r="P25" s="44"/>
      <c r="Q25" s="44"/>
    </row>
    <row r="26" spans="3:17" ht="20.100000000000001" customHeight="1" x14ac:dyDescent="0.25">
      <c r="C26" s="60"/>
      <c r="D26" s="47"/>
      <c r="E26" s="44"/>
      <c r="F26" s="44"/>
      <c r="G26" s="61"/>
      <c r="H26" s="44"/>
      <c r="I26" s="44"/>
      <c r="J26" s="62"/>
      <c r="K26" s="63"/>
      <c r="L26" s="63"/>
      <c r="M26" s="63"/>
      <c r="N26" s="63"/>
      <c r="O26" s="64"/>
      <c r="P26" s="44"/>
      <c r="Q26" s="44"/>
    </row>
    <row r="27" spans="3:17" ht="20.100000000000001" customHeight="1" x14ac:dyDescent="0.25">
      <c r="C27" s="60"/>
      <c r="D27" s="47"/>
      <c r="E27" s="44"/>
      <c r="F27" s="44"/>
      <c r="G27" s="61"/>
      <c r="H27" s="44"/>
      <c r="I27" s="44"/>
      <c r="J27" s="62"/>
      <c r="K27" s="63"/>
      <c r="L27" s="63"/>
      <c r="M27" s="63"/>
      <c r="N27" s="63"/>
      <c r="O27" s="64"/>
      <c r="P27" s="44"/>
      <c r="Q27" s="44"/>
    </row>
    <row r="28" spans="3:17" ht="20.100000000000001" customHeight="1" x14ac:dyDescent="0.25">
      <c r="C28" s="60"/>
      <c r="D28" s="47"/>
      <c r="E28" s="44"/>
      <c r="F28" s="44"/>
      <c r="G28" s="61"/>
      <c r="H28" s="44"/>
      <c r="I28" s="44"/>
      <c r="J28" s="62"/>
      <c r="K28" s="63"/>
      <c r="L28" s="63"/>
      <c r="M28" s="63"/>
      <c r="N28" s="63"/>
      <c r="O28" s="64"/>
      <c r="P28" s="44"/>
      <c r="Q28" s="44"/>
    </row>
    <row r="29" spans="3:17" ht="20.100000000000001" customHeight="1" x14ac:dyDescent="0.25">
      <c r="C29" s="60"/>
      <c r="D29" s="47"/>
      <c r="E29" s="44"/>
      <c r="F29" s="44"/>
      <c r="G29" s="61"/>
      <c r="H29" s="44"/>
      <c r="I29" s="44"/>
      <c r="J29" s="62"/>
      <c r="K29" s="63"/>
      <c r="L29" s="63"/>
      <c r="M29" s="63"/>
      <c r="N29" s="63"/>
      <c r="O29" s="64"/>
      <c r="P29" s="44"/>
      <c r="Q29" s="44"/>
    </row>
    <row r="30" spans="3:17" ht="20.100000000000001" customHeight="1" x14ac:dyDescent="0.25">
      <c r="C30" s="60"/>
      <c r="D30" s="47"/>
      <c r="E30" s="44"/>
      <c r="F30" s="44"/>
      <c r="G30" s="61"/>
      <c r="H30" s="44"/>
      <c r="I30" s="44"/>
      <c r="J30" s="62"/>
      <c r="K30" s="63"/>
      <c r="L30" s="63"/>
      <c r="M30" s="63"/>
      <c r="N30" s="63"/>
      <c r="O30" s="64"/>
      <c r="P30" s="44"/>
      <c r="Q30" s="44"/>
    </row>
    <row r="31" spans="3:17" ht="20.100000000000001" customHeight="1" x14ac:dyDescent="0.25">
      <c r="C31" s="60"/>
      <c r="D31" s="47"/>
      <c r="E31" s="44"/>
      <c r="F31" s="44"/>
      <c r="G31" s="61"/>
      <c r="H31" s="44"/>
      <c r="I31" s="44"/>
      <c r="J31" s="62"/>
      <c r="K31" s="63"/>
      <c r="L31" s="63"/>
      <c r="M31" s="63"/>
      <c r="N31" s="63"/>
      <c r="O31" s="64"/>
      <c r="P31" s="44"/>
      <c r="Q31" s="44"/>
    </row>
    <row r="32" spans="3:17" ht="20.100000000000001" customHeight="1" x14ac:dyDescent="0.25">
      <c r="C32" s="60"/>
      <c r="D32" s="47"/>
      <c r="E32" s="44"/>
      <c r="F32" s="44"/>
      <c r="G32" s="61"/>
      <c r="H32" s="44"/>
      <c r="I32" s="44"/>
      <c r="J32" s="62"/>
      <c r="K32" s="63"/>
      <c r="L32" s="63"/>
      <c r="M32" s="63"/>
      <c r="N32" s="63"/>
      <c r="O32" s="64"/>
      <c r="P32" s="44"/>
      <c r="Q32" s="44"/>
    </row>
    <row r="33" spans="3:17" ht="20.100000000000001" customHeight="1" x14ac:dyDescent="0.25">
      <c r="C33" s="60"/>
      <c r="D33" s="47"/>
      <c r="E33" s="44"/>
      <c r="F33" s="44"/>
      <c r="G33" s="61"/>
      <c r="H33" s="44"/>
      <c r="I33" s="44"/>
      <c r="J33" s="62"/>
      <c r="K33" s="63"/>
      <c r="L33" s="63"/>
      <c r="M33" s="63"/>
      <c r="N33" s="63"/>
      <c r="O33" s="64"/>
      <c r="P33" s="44"/>
      <c r="Q33" s="44"/>
    </row>
    <row r="34" spans="3:17" ht="20.100000000000001" customHeight="1" x14ac:dyDescent="0.25">
      <c r="C34" s="60"/>
      <c r="D34" s="47"/>
      <c r="E34" s="44"/>
      <c r="F34" s="44"/>
      <c r="G34" s="61"/>
      <c r="H34" s="44"/>
      <c r="I34" s="44"/>
      <c r="J34" s="62"/>
      <c r="K34" s="63"/>
      <c r="L34" s="63"/>
      <c r="M34" s="63"/>
      <c r="N34" s="63"/>
      <c r="O34" s="64"/>
      <c r="P34" s="44"/>
      <c r="Q34" s="44"/>
    </row>
    <row r="35" spans="3:17" ht="20.100000000000001" customHeight="1" x14ac:dyDescent="0.25">
      <c r="C35" s="60"/>
      <c r="D35" s="47"/>
      <c r="E35" s="44"/>
      <c r="F35" s="44"/>
      <c r="G35" s="61"/>
      <c r="H35" s="44"/>
      <c r="I35" s="44"/>
      <c r="J35" s="62"/>
      <c r="K35" s="63"/>
      <c r="L35" s="63"/>
      <c r="M35" s="63"/>
      <c r="N35" s="63"/>
      <c r="O35" s="64"/>
      <c r="P35" s="44"/>
      <c r="Q35" s="44"/>
    </row>
    <row r="36" spans="3:17" ht="20.100000000000001" customHeight="1" x14ac:dyDescent="0.25">
      <c r="C36" s="60"/>
      <c r="D36" s="47"/>
      <c r="E36" s="44"/>
      <c r="F36" s="44"/>
      <c r="G36" s="61"/>
      <c r="H36" s="44"/>
      <c r="I36" s="44"/>
      <c r="J36" s="62"/>
      <c r="K36" s="63"/>
      <c r="L36" s="63"/>
      <c r="M36" s="63"/>
      <c r="N36" s="63"/>
      <c r="O36" s="64"/>
      <c r="P36" s="44"/>
      <c r="Q36" s="44"/>
    </row>
    <row r="37" spans="3:17" ht="20.100000000000001" customHeight="1" x14ac:dyDescent="0.25">
      <c r="C37" s="60"/>
      <c r="D37" s="47"/>
      <c r="E37" s="44"/>
      <c r="F37" s="44"/>
      <c r="G37" s="61"/>
      <c r="H37" s="44"/>
      <c r="I37" s="44"/>
      <c r="J37" s="62"/>
      <c r="K37" s="63"/>
      <c r="L37" s="63"/>
      <c r="M37" s="63"/>
      <c r="N37" s="63"/>
      <c r="O37" s="64"/>
      <c r="P37" s="44"/>
      <c r="Q37" s="44"/>
    </row>
    <row r="38" spans="3:17" ht="20.100000000000001" customHeight="1" x14ac:dyDescent="0.25">
      <c r="C38" s="60"/>
      <c r="D38" s="47"/>
      <c r="E38" s="44"/>
      <c r="F38" s="44"/>
      <c r="G38" s="61"/>
      <c r="H38" s="44"/>
      <c r="I38" s="44"/>
      <c r="J38" s="62"/>
      <c r="K38" s="63"/>
      <c r="L38" s="63"/>
      <c r="M38" s="63"/>
      <c r="N38" s="63"/>
      <c r="O38" s="64"/>
      <c r="P38" s="44"/>
      <c r="Q38" s="44"/>
    </row>
    <row r="39" spans="3:17" ht="20.100000000000001" customHeight="1" x14ac:dyDescent="0.25">
      <c r="C39" s="60"/>
      <c r="D39" s="47"/>
      <c r="E39" s="44"/>
      <c r="F39" s="44"/>
      <c r="G39" s="61"/>
      <c r="H39" s="44"/>
      <c r="I39" s="44"/>
      <c r="J39" s="62"/>
      <c r="K39" s="63"/>
      <c r="L39" s="63"/>
      <c r="M39" s="63"/>
      <c r="N39" s="63"/>
      <c r="O39" s="64"/>
      <c r="P39" s="44"/>
      <c r="Q39" s="44"/>
    </row>
    <row r="40" spans="3:17" ht="20.100000000000001" customHeight="1" x14ac:dyDescent="0.25">
      <c r="C40" s="60"/>
      <c r="D40" s="47"/>
      <c r="E40" s="44"/>
      <c r="F40" s="44"/>
      <c r="G40" s="61"/>
      <c r="H40" s="44"/>
      <c r="I40" s="44"/>
      <c r="J40" s="62"/>
      <c r="K40" s="63"/>
      <c r="L40" s="63"/>
      <c r="M40" s="63"/>
      <c r="N40" s="63"/>
      <c r="O40" s="64"/>
      <c r="P40" s="44"/>
      <c r="Q40" s="44"/>
    </row>
    <row r="41" spans="3:17" ht="20.100000000000001" customHeight="1" x14ac:dyDescent="0.25">
      <c r="C41" s="60"/>
      <c r="D41" s="47"/>
      <c r="E41" s="44"/>
      <c r="F41" s="44"/>
      <c r="G41" s="61"/>
      <c r="H41" s="44"/>
      <c r="I41" s="44"/>
      <c r="J41" s="62"/>
      <c r="K41" s="63"/>
      <c r="L41" s="63"/>
      <c r="M41" s="63"/>
      <c r="N41" s="63"/>
      <c r="O41" s="64"/>
      <c r="P41" s="44"/>
      <c r="Q41" s="44"/>
    </row>
    <row r="42" spans="3:17" ht="20.100000000000001" customHeight="1" x14ac:dyDescent="0.25">
      <c r="C42" s="60"/>
      <c r="D42" s="47"/>
      <c r="E42" s="44"/>
      <c r="F42" s="44"/>
      <c r="G42" s="61"/>
      <c r="H42" s="44"/>
      <c r="I42" s="44"/>
      <c r="J42" s="62"/>
      <c r="K42" s="63"/>
      <c r="L42" s="63"/>
      <c r="M42" s="63"/>
      <c r="N42" s="63"/>
      <c r="O42" s="64"/>
      <c r="P42" s="44"/>
      <c r="Q42" s="44"/>
    </row>
    <row r="43" spans="3:17" ht="20.100000000000001" customHeight="1" x14ac:dyDescent="0.25">
      <c r="C43" s="60"/>
      <c r="D43" s="47"/>
      <c r="E43" s="44"/>
      <c r="F43" s="44"/>
      <c r="G43" s="61"/>
      <c r="H43" s="44"/>
      <c r="I43" s="44"/>
      <c r="J43" s="62"/>
      <c r="K43" s="63"/>
      <c r="L43" s="63"/>
      <c r="M43" s="63"/>
      <c r="N43" s="63"/>
      <c r="O43" s="64"/>
      <c r="P43" s="44"/>
      <c r="Q43" s="44"/>
    </row>
    <row r="44" spans="3:17" ht="20.100000000000001" customHeight="1" x14ac:dyDescent="0.25">
      <c r="C44" s="60"/>
      <c r="D44" s="47"/>
      <c r="E44" s="44"/>
      <c r="F44" s="44"/>
      <c r="G44" s="61"/>
      <c r="H44" s="44"/>
      <c r="I44" s="44"/>
      <c r="J44" s="62"/>
      <c r="K44" s="63"/>
      <c r="L44" s="63"/>
      <c r="M44" s="63"/>
      <c r="N44" s="63"/>
      <c r="O44" s="64"/>
      <c r="P44" s="44"/>
      <c r="Q44" s="44"/>
    </row>
    <row r="45" spans="3:17" ht="20.100000000000001" customHeight="1" x14ac:dyDescent="0.25">
      <c r="C45" s="60"/>
      <c r="D45" s="47"/>
      <c r="E45" s="44"/>
      <c r="F45" s="44"/>
      <c r="G45" s="61"/>
      <c r="H45" s="44"/>
      <c r="I45" s="44"/>
      <c r="J45" s="62"/>
      <c r="K45" s="63"/>
      <c r="L45" s="63"/>
      <c r="M45" s="63"/>
      <c r="N45" s="63"/>
      <c r="O45" s="64"/>
      <c r="P45" s="44"/>
      <c r="Q45" s="44"/>
    </row>
    <row r="46" spans="3:17" ht="20.100000000000001" customHeight="1" x14ac:dyDescent="0.25">
      <c r="C46" s="60"/>
      <c r="D46" s="47"/>
      <c r="E46" s="44"/>
      <c r="F46" s="44"/>
      <c r="G46" s="61"/>
      <c r="H46" s="44"/>
      <c r="I46" s="44"/>
      <c r="J46" s="62"/>
      <c r="K46" s="63"/>
      <c r="L46" s="63"/>
      <c r="M46" s="63"/>
      <c r="N46" s="63"/>
      <c r="O46" s="64"/>
      <c r="P46" s="44"/>
      <c r="Q46" s="44"/>
    </row>
    <row r="47" spans="3:17" ht="20.100000000000001" customHeight="1" x14ac:dyDescent="0.25">
      <c r="C47" s="60"/>
      <c r="D47" s="47"/>
      <c r="E47" s="44"/>
      <c r="F47" s="44"/>
      <c r="G47" s="61"/>
      <c r="H47" s="44"/>
      <c r="I47" s="44"/>
      <c r="J47" s="62"/>
      <c r="K47" s="63"/>
      <c r="L47" s="63"/>
      <c r="M47" s="63"/>
      <c r="N47" s="63"/>
      <c r="O47" s="64"/>
      <c r="P47" s="44"/>
      <c r="Q47" s="44"/>
    </row>
    <row r="48" spans="3:17" ht="20.100000000000001" customHeight="1" x14ac:dyDescent="0.25">
      <c r="C48" s="60"/>
      <c r="D48" s="47"/>
      <c r="E48" s="44"/>
      <c r="F48" s="44"/>
      <c r="G48" s="61"/>
      <c r="H48" s="44"/>
      <c r="I48" s="44"/>
      <c r="J48" s="62"/>
      <c r="K48" s="63"/>
      <c r="L48" s="63"/>
      <c r="M48" s="63"/>
      <c r="N48" s="63"/>
      <c r="O48" s="64"/>
      <c r="P48" s="44"/>
      <c r="Q48" s="44"/>
    </row>
    <row r="49" spans="3:17" ht="20.100000000000001" customHeight="1" x14ac:dyDescent="0.25">
      <c r="C49" s="60"/>
      <c r="D49" s="47"/>
      <c r="E49" s="44"/>
      <c r="F49" s="44"/>
      <c r="G49" s="61"/>
      <c r="H49" s="44"/>
      <c r="I49" s="44"/>
      <c r="J49" s="62"/>
      <c r="K49" s="63"/>
      <c r="L49" s="63"/>
      <c r="M49" s="63"/>
      <c r="N49" s="63"/>
      <c r="O49" s="64"/>
      <c r="P49" s="44"/>
      <c r="Q49" s="44"/>
    </row>
    <row r="50" spans="3:17" ht="20.100000000000001" customHeight="1" x14ac:dyDescent="0.25">
      <c r="C50" s="60"/>
      <c r="D50" s="47"/>
      <c r="E50" s="44"/>
      <c r="F50" s="44"/>
      <c r="G50" s="61"/>
      <c r="H50" s="44"/>
      <c r="I50" s="44"/>
      <c r="J50" s="62"/>
      <c r="K50" s="63"/>
      <c r="L50" s="63"/>
      <c r="M50" s="63"/>
      <c r="N50" s="63"/>
      <c r="O50" s="64"/>
      <c r="P50" s="44"/>
      <c r="Q50" s="44"/>
    </row>
    <row r="51" spans="3:17" ht="20.100000000000001" customHeight="1" x14ac:dyDescent="0.25">
      <c r="C51" s="60"/>
      <c r="D51" s="47"/>
      <c r="E51" s="44"/>
      <c r="F51" s="44"/>
      <c r="G51" s="61"/>
      <c r="H51" s="44"/>
      <c r="I51" s="44"/>
      <c r="J51" s="62"/>
      <c r="K51" s="63"/>
      <c r="L51" s="63"/>
      <c r="M51" s="63"/>
      <c r="N51" s="63"/>
      <c r="O51" s="64"/>
      <c r="P51" s="44"/>
      <c r="Q51" s="44"/>
    </row>
    <row r="52" spans="3:17" ht="20.100000000000001" customHeight="1" x14ac:dyDescent="0.25">
      <c r="C52" s="60"/>
      <c r="D52" s="47"/>
      <c r="E52" s="44"/>
      <c r="F52" s="44"/>
      <c r="G52" s="61"/>
      <c r="H52" s="44"/>
      <c r="I52" s="44"/>
      <c r="J52" s="62"/>
      <c r="K52" s="63"/>
      <c r="L52" s="63"/>
      <c r="M52" s="63"/>
      <c r="N52" s="63"/>
      <c r="O52" s="64"/>
      <c r="P52" s="44"/>
      <c r="Q52" s="44"/>
    </row>
    <row r="53" spans="3:17" ht="20.100000000000001" customHeight="1" x14ac:dyDescent="0.25">
      <c r="C53" s="60"/>
      <c r="D53" s="47"/>
      <c r="E53" s="44"/>
      <c r="F53" s="44"/>
      <c r="G53" s="61"/>
      <c r="H53" s="44"/>
      <c r="I53" s="44"/>
      <c r="J53" s="62"/>
      <c r="K53" s="63"/>
      <c r="L53" s="63"/>
      <c r="M53" s="63"/>
      <c r="N53" s="63"/>
      <c r="O53" s="64"/>
      <c r="P53" s="44"/>
      <c r="Q53" s="44"/>
    </row>
    <row r="54" spans="3:17" ht="20.100000000000001" customHeight="1" x14ac:dyDescent="0.25">
      <c r="C54" s="60"/>
      <c r="D54" s="47"/>
      <c r="E54" s="44"/>
      <c r="F54" s="44"/>
      <c r="G54" s="61"/>
      <c r="H54" s="44"/>
      <c r="I54" s="44"/>
      <c r="J54" s="62"/>
      <c r="K54" s="63"/>
      <c r="L54" s="63"/>
      <c r="M54" s="63"/>
      <c r="N54" s="63"/>
      <c r="O54" s="64"/>
      <c r="P54" s="44"/>
      <c r="Q54" s="44"/>
    </row>
    <row r="55" spans="3:17" ht="20.100000000000001" customHeight="1" x14ac:dyDescent="0.25">
      <c r="C55" s="60"/>
      <c r="D55" s="47"/>
      <c r="E55" s="44"/>
      <c r="F55" s="44"/>
      <c r="G55" s="61"/>
      <c r="H55" s="44"/>
      <c r="I55" s="44"/>
      <c r="J55" s="62"/>
      <c r="K55" s="63"/>
      <c r="L55" s="63"/>
      <c r="M55" s="63"/>
      <c r="N55" s="63"/>
      <c r="O55" s="64"/>
      <c r="P55" s="44"/>
      <c r="Q55" s="44"/>
    </row>
    <row r="56" spans="3:17" ht="20.100000000000001" customHeight="1" x14ac:dyDescent="0.25">
      <c r="C56" s="60"/>
      <c r="D56" s="47"/>
      <c r="E56" s="44"/>
      <c r="F56" s="44"/>
      <c r="G56" s="61"/>
      <c r="H56" s="44"/>
      <c r="I56" s="44"/>
      <c r="J56" s="62"/>
      <c r="K56" s="63"/>
      <c r="L56" s="63"/>
      <c r="M56" s="63"/>
      <c r="N56" s="63"/>
      <c r="O56" s="64"/>
      <c r="P56" s="44"/>
      <c r="Q56" s="44"/>
    </row>
    <row r="57" spans="3:17" ht="20.100000000000001" customHeight="1" x14ac:dyDescent="0.25">
      <c r="C57" s="60"/>
      <c r="D57" s="47"/>
      <c r="E57" s="44"/>
      <c r="F57" s="44"/>
      <c r="G57" s="61"/>
      <c r="H57" s="44"/>
      <c r="I57" s="44"/>
      <c r="J57" s="62"/>
      <c r="K57" s="63"/>
      <c r="L57" s="63"/>
      <c r="M57" s="63"/>
      <c r="N57" s="63"/>
      <c r="O57" s="64"/>
      <c r="P57" s="44"/>
      <c r="Q57" s="44"/>
    </row>
    <row r="58" spans="3:17" ht="20.100000000000001" customHeight="1" x14ac:dyDescent="0.25">
      <c r="C58" s="60"/>
      <c r="D58" s="47"/>
      <c r="E58" s="44"/>
      <c r="F58" s="44"/>
      <c r="G58" s="61"/>
      <c r="H58" s="44"/>
      <c r="I58" s="44"/>
      <c r="J58" s="62"/>
      <c r="K58" s="63"/>
      <c r="L58" s="63"/>
      <c r="M58" s="63"/>
      <c r="N58" s="63"/>
      <c r="O58" s="64"/>
      <c r="P58" s="44"/>
      <c r="Q58" s="44"/>
    </row>
    <row r="59" spans="3:17" ht="20.100000000000001" customHeight="1" x14ac:dyDescent="0.25">
      <c r="C59" s="60"/>
      <c r="D59" s="47"/>
      <c r="E59" s="44"/>
      <c r="F59" s="44"/>
      <c r="G59" s="61"/>
      <c r="H59" s="44"/>
      <c r="I59" s="44"/>
      <c r="J59" s="62"/>
      <c r="K59" s="63"/>
      <c r="L59" s="63"/>
      <c r="M59" s="63"/>
      <c r="N59" s="63"/>
      <c r="O59" s="64"/>
      <c r="P59" s="44"/>
      <c r="Q59" s="44"/>
    </row>
    <row r="60" spans="3:17" ht="20.100000000000001" customHeight="1" x14ac:dyDescent="0.25">
      <c r="C60" s="60"/>
      <c r="D60" s="47"/>
      <c r="E60" s="44"/>
      <c r="F60" s="44"/>
      <c r="G60" s="61"/>
      <c r="H60" s="44"/>
      <c r="I60" s="44"/>
      <c r="J60" s="62"/>
      <c r="K60" s="63"/>
      <c r="L60" s="63"/>
      <c r="M60" s="63"/>
      <c r="N60" s="63"/>
      <c r="O60" s="64"/>
      <c r="P60" s="44"/>
      <c r="Q60" s="44"/>
    </row>
    <row r="61" spans="3:17" ht="20.100000000000001" customHeight="1" x14ac:dyDescent="0.25">
      <c r="C61" s="60"/>
      <c r="D61" s="47"/>
      <c r="E61" s="44"/>
      <c r="F61" s="44"/>
      <c r="G61" s="61"/>
      <c r="H61" s="44"/>
      <c r="I61" s="44"/>
      <c r="J61" s="62"/>
      <c r="K61" s="63"/>
      <c r="L61" s="63"/>
      <c r="M61" s="63"/>
      <c r="N61" s="63"/>
      <c r="O61" s="64"/>
      <c r="P61" s="44"/>
      <c r="Q61" s="44"/>
    </row>
    <row r="62" spans="3:17" ht="20.100000000000001" customHeight="1" x14ac:dyDescent="0.25">
      <c r="C62" s="60"/>
      <c r="D62" s="47"/>
      <c r="E62" s="44"/>
      <c r="F62" s="44"/>
      <c r="G62" s="61"/>
      <c r="H62" s="44"/>
      <c r="I62" s="44"/>
      <c r="J62" s="62"/>
      <c r="K62" s="63"/>
      <c r="L62" s="63"/>
      <c r="M62" s="63"/>
      <c r="N62" s="63"/>
      <c r="O62" s="64"/>
      <c r="P62" s="44"/>
      <c r="Q62" s="44"/>
    </row>
    <row r="63" spans="3:17" ht="20.100000000000001" customHeight="1" x14ac:dyDescent="0.25">
      <c r="C63" s="60"/>
      <c r="D63" s="47"/>
      <c r="E63" s="44"/>
      <c r="F63" s="44"/>
      <c r="G63" s="61"/>
      <c r="H63" s="44"/>
      <c r="I63" s="44"/>
      <c r="J63" s="62"/>
      <c r="K63" s="63"/>
      <c r="L63" s="63"/>
      <c r="M63" s="63"/>
      <c r="N63" s="63"/>
      <c r="O63" s="64"/>
      <c r="P63" s="44"/>
      <c r="Q63" s="44"/>
    </row>
    <row r="64" spans="3:17" ht="20.100000000000001" customHeight="1" x14ac:dyDescent="0.25">
      <c r="C64" s="60"/>
      <c r="D64" s="47"/>
      <c r="E64" s="44"/>
      <c r="F64" s="44"/>
      <c r="G64" s="61"/>
      <c r="H64" s="44"/>
      <c r="I64" s="44"/>
      <c r="J64" s="62"/>
      <c r="K64" s="63"/>
      <c r="L64" s="63"/>
      <c r="M64" s="63"/>
      <c r="N64" s="63"/>
      <c r="O64" s="64"/>
      <c r="P64" s="44"/>
      <c r="Q64" s="44"/>
    </row>
    <row r="65" spans="3:17" ht="20.100000000000001" customHeight="1" x14ac:dyDescent="0.25">
      <c r="C65" s="60"/>
      <c r="D65" s="47"/>
      <c r="E65" s="44"/>
      <c r="F65" s="44"/>
      <c r="G65" s="61"/>
      <c r="H65" s="44"/>
      <c r="I65" s="44"/>
      <c r="J65" s="62"/>
      <c r="K65" s="63"/>
      <c r="L65" s="63"/>
      <c r="M65" s="63"/>
      <c r="N65" s="63"/>
      <c r="O65" s="64"/>
      <c r="P65" s="44"/>
      <c r="Q65" s="44"/>
    </row>
    <row r="66" spans="3:17" ht="20.100000000000001" customHeight="1" x14ac:dyDescent="0.25">
      <c r="C66" s="60"/>
      <c r="D66" s="47"/>
      <c r="E66" s="44"/>
      <c r="F66" s="44"/>
      <c r="G66" s="61"/>
      <c r="H66" s="44"/>
      <c r="I66" s="44"/>
      <c r="J66" s="62"/>
      <c r="K66" s="63"/>
      <c r="L66" s="63"/>
      <c r="M66" s="63"/>
      <c r="N66" s="63"/>
      <c r="O66" s="64"/>
      <c r="P66" s="44"/>
      <c r="Q66" s="44"/>
    </row>
    <row r="67" spans="3:17" ht="20.100000000000001" customHeight="1" x14ac:dyDescent="0.25">
      <c r="C67" s="60"/>
      <c r="D67" s="47"/>
      <c r="E67" s="44"/>
      <c r="F67" s="44"/>
      <c r="G67" s="61"/>
      <c r="H67" s="44"/>
      <c r="I67" s="44"/>
      <c r="J67" s="62"/>
      <c r="K67" s="63"/>
      <c r="L67" s="63"/>
      <c r="M67" s="63"/>
      <c r="N67" s="63"/>
      <c r="O67" s="64"/>
      <c r="P67" s="44"/>
      <c r="Q67" s="44"/>
    </row>
    <row r="68" spans="3:17" ht="20.100000000000001" customHeight="1" x14ac:dyDescent="0.25">
      <c r="C68" s="60"/>
      <c r="D68" s="47"/>
      <c r="E68" s="44"/>
      <c r="F68" s="44"/>
      <c r="G68" s="61"/>
      <c r="H68" s="44"/>
      <c r="I68" s="44"/>
      <c r="J68" s="62"/>
      <c r="K68" s="63"/>
      <c r="L68" s="63"/>
      <c r="M68" s="63"/>
      <c r="N68" s="63"/>
      <c r="O68" s="64"/>
      <c r="P68" s="44"/>
      <c r="Q68" s="44"/>
    </row>
    <row r="69" spans="3:17" ht="20.100000000000001" customHeight="1" x14ac:dyDescent="0.25">
      <c r="C69" s="60"/>
      <c r="D69" s="47"/>
      <c r="E69" s="44"/>
      <c r="F69" s="44"/>
      <c r="G69" s="61"/>
      <c r="H69" s="44"/>
      <c r="I69" s="44"/>
      <c r="J69" s="62"/>
      <c r="K69" s="63"/>
      <c r="L69" s="63"/>
      <c r="M69" s="63"/>
      <c r="N69" s="63"/>
      <c r="O69" s="64"/>
      <c r="P69" s="44"/>
      <c r="Q69" s="44"/>
    </row>
    <row r="70" spans="3:17" ht="20.100000000000001" customHeight="1" x14ac:dyDescent="0.25">
      <c r="C70" s="60"/>
      <c r="D70" s="47"/>
      <c r="E70" s="44"/>
      <c r="F70" s="44"/>
      <c r="G70" s="61"/>
      <c r="H70" s="44"/>
      <c r="I70" s="44"/>
      <c r="J70" s="62"/>
      <c r="K70" s="63"/>
      <c r="L70" s="63"/>
      <c r="M70" s="63"/>
      <c r="N70" s="63"/>
      <c r="O70" s="64"/>
      <c r="P70" s="44"/>
      <c r="Q70" s="44"/>
    </row>
    <row r="71" spans="3:17" ht="20.100000000000001" customHeight="1" x14ac:dyDescent="0.25">
      <c r="C71" s="60"/>
      <c r="D71" s="47"/>
      <c r="E71" s="44"/>
      <c r="F71" s="44"/>
      <c r="G71" s="61"/>
      <c r="H71" s="44"/>
      <c r="I71" s="44"/>
      <c r="J71" s="62"/>
      <c r="K71" s="63"/>
      <c r="L71" s="63"/>
      <c r="M71" s="63"/>
      <c r="N71" s="63"/>
      <c r="O71" s="64"/>
      <c r="P71" s="44"/>
      <c r="Q71" s="44"/>
    </row>
    <row r="72" spans="3:17" ht="20.100000000000001" customHeight="1" x14ac:dyDescent="0.25">
      <c r="C72" s="60"/>
      <c r="D72" s="47"/>
      <c r="E72" s="44"/>
      <c r="F72" s="44"/>
      <c r="G72" s="61"/>
      <c r="H72" s="44"/>
      <c r="I72" s="44"/>
      <c r="J72" s="62"/>
      <c r="K72" s="63"/>
      <c r="L72" s="63"/>
      <c r="M72" s="63"/>
      <c r="N72" s="63"/>
      <c r="O72" s="64"/>
      <c r="P72" s="44"/>
      <c r="Q72" s="44"/>
    </row>
    <row r="73" spans="3:17" ht="20.100000000000001" customHeight="1" x14ac:dyDescent="0.25">
      <c r="C73" s="60"/>
      <c r="D73" s="47"/>
      <c r="E73" s="44"/>
      <c r="F73" s="44"/>
      <c r="G73" s="61"/>
      <c r="H73" s="44"/>
      <c r="I73" s="44"/>
      <c r="J73" s="62"/>
      <c r="K73" s="63"/>
      <c r="L73" s="63"/>
      <c r="M73" s="63"/>
      <c r="N73" s="63"/>
      <c r="O73" s="64"/>
      <c r="P73" s="44"/>
      <c r="Q73" s="44"/>
    </row>
    <row r="74" spans="3:17" ht="20.100000000000001" customHeight="1" x14ac:dyDescent="0.25">
      <c r="C74" s="60"/>
      <c r="D74" s="47"/>
      <c r="E74" s="44"/>
      <c r="F74" s="44"/>
      <c r="G74" s="61"/>
      <c r="H74" s="44"/>
      <c r="I74" s="44"/>
      <c r="J74" s="62"/>
      <c r="K74" s="63"/>
      <c r="L74" s="63"/>
      <c r="M74" s="63"/>
      <c r="N74" s="63"/>
      <c r="O74" s="64"/>
      <c r="P74" s="44"/>
      <c r="Q74" s="44"/>
    </row>
    <row r="75" spans="3:17" ht="20.100000000000001" customHeight="1" x14ac:dyDescent="0.25">
      <c r="C75" s="60"/>
      <c r="D75" s="47"/>
      <c r="E75" s="44"/>
      <c r="F75" s="44"/>
      <c r="G75" s="61"/>
      <c r="H75" s="44"/>
      <c r="I75" s="44"/>
      <c r="J75" s="62"/>
      <c r="K75" s="63"/>
      <c r="L75" s="63"/>
      <c r="M75" s="63"/>
      <c r="N75" s="63"/>
      <c r="O75" s="64"/>
      <c r="P75" s="44"/>
      <c r="Q75" s="44"/>
    </row>
    <row r="76" spans="3:17" ht="20.100000000000001" customHeight="1" x14ac:dyDescent="0.25">
      <c r="C76" s="60"/>
      <c r="D76" s="47"/>
      <c r="E76" s="44"/>
      <c r="F76" s="44"/>
      <c r="G76" s="61"/>
      <c r="H76" s="44"/>
      <c r="I76" s="44"/>
      <c r="J76" s="62"/>
      <c r="K76" s="63"/>
      <c r="L76" s="63"/>
      <c r="M76" s="63"/>
      <c r="N76" s="63"/>
      <c r="O76" s="64"/>
      <c r="P76" s="44"/>
      <c r="Q76" s="44"/>
    </row>
    <row r="77" spans="3:17" ht="20.100000000000001" customHeight="1" x14ac:dyDescent="0.25">
      <c r="C77" s="60"/>
      <c r="D77" s="47"/>
      <c r="E77" s="44"/>
      <c r="F77" s="44"/>
      <c r="G77" s="61"/>
      <c r="H77" s="44"/>
      <c r="I77" s="44"/>
      <c r="J77" s="62"/>
      <c r="K77" s="63"/>
      <c r="L77" s="63"/>
      <c r="M77" s="63"/>
      <c r="N77" s="63"/>
      <c r="O77" s="64"/>
      <c r="P77" s="44"/>
      <c r="Q77" s="44"/>
    </row>
    <row r="78" spans="3:17" ht="20.100000000000001" customHeight="1" x14ac:dyDescent="0.25">
      <c r="C78" s="60"/>
      <c r="D78" s="47"/>
      <c r="E78" s="44"/>
      <c r="F78" s="44"/>
      <c r="G78" s="61"/>
      <c r="H78" s="44"/>
      <c r="I78" s="44"/>
      <c r="J78" s="62"/>
      <c r="K78" s="63"/>
      <c r="L78" s="63"/>
      <c r="M78" s="63"/>
      <c r="N78" s="63"/>
      <c r="O78" s="64"/>
      <c r="P78" s="44"/>
      <c r="Q78" s="44"/>
    </row>
    <row r="79" spans="3:17" ht="20.100000000000001" customHeight="1" x14ac:dyDescent="0.25">
      <c r="C79" s="60"/>
      <c r="D79" s="47"/>
      <c r="E79" s="44"/>
      <c r="F79" s="44"/>
      <c r="G79" s="61"/>
      <c r="H79" s="44"/>
      <c r="I79" s="44"/>
      <c r="J79" s="62"/>
      <c r="K79" s="63"/>
      <c r="L79" s="63"/>
      <c r="M79" s="63"/>
      <c r="N79" s="63"/>
      <c r="O79" s="64"/>
      <c r="P79" s="44"/>
      <c r="Q79" s="44"/>
    </row>
    <row r="80" spans="3:17" ht="20.100000000000001" customHeight="1" x14ac:dyDescent="0.25">
      <c r="C80" s="60"/>
      <c r="D80" s="47"/>
      <c r="E80" s="44"/>
      <c r="F80" s="44"/>
      <c r="G80" s="61"/>
      <c r="H80" s="44"/>
      <c r="I80" s="44"/>
      <c r="J80" s="62"/>
      <c r="K80" s="63"/>
      <c r="L80" s="63"/>
      <c r="M80" s="63"/>
      <c r="N80" s="63"/>
      <c r="O80" s="64"/>
      <c r="P80" s="44"/>
      <c r="Q80" s="44"/>
    </row>
    <row r="81" spans="3:17" ht="20.100000000000001" customHeight="1" x14ac:dyDescent="0.25">
      <c r="C81" s="60"/>
      <c r="D81" s="47"/>
      <c r="E81" s="44"/>
      <c r="F81" s="44"/>
      <c r="G81" s="61"/>
      <c r="H81" s="44"/>
      <c r="I81" s="44"/>
      <c r="J81" s="62"/>
      <c r="K81" s="63"/>
      <c r="L81" s="63"/>
      <c r="M81" s="63"/>
      <c r="N81" s="63"/>
      <c r="O81" s="64"/>
      <c r="P81" s="44"/>
      <c r="Q81" s="44"/>
    </row>
    <row r="82" spans="3:17" ht="20.100000000000001" customHeight="1" x14ac:dyDescent="0.25">
      <c r="C82" s="60"/>
      <c r="D82" s="47"/>
      <c r="E82" s="44"/>
      <c r="F82" s="44"/>
      <c r="G82" s="61"/>
      <c r="H82" s="44"/>
      <c r="I82" s="44"/>
      <c r="J82" s="62"/>
      <c r="K82" s="63"/>
      <c r="L82" s="63"/>
      <c r="M82" s="63"/>
      <c r="N82" s="63"/>
      <c r="O82" s="64"/>
      <c r="P82" s="44"/>
      <c r="Q82" s="44"/>
    </row>
    <row r="83" spans="3:17" ht="20.100000000000001" customHeight="1" x14ac:dyDescent="0.25">
      <c r="C83" s="60"/>
      <c r="D83" s="47"/>
      <c r="E83" s="44"/>
      <c r="F83" s="44"/>
      <c r="G83" s="61"/>
      <c r="H83" s="44"/>
      <c r="I83" s="44"/>
      <c r="J83" s="62"/>
      <c r="K83" s="63"/>
      <c r="L83" s="63"/>
      <c r="M83" s="63"/>
      <c r="N83" s="63"/>
      <c r="O83" s="64"/>
      <c r="P83" s="44"/>
      <c r="Q83" s="44"/>
    </row>
    <row r="84" spans="3:17" ht="20.100000000000001" customHeight="1" x14ac:dyDescent="0.25">
      <c r="C84" s="60"/>
      <c r="D84" s="47"/>
      <c r="E84" s="44"/>
      <c r="F84" s="44"/>
      <c r="G84" s="61"/>
      <c r="H84" s="44"/>
      <c r="I84" s="44"/>
      <c r="J84" s="62"/>
      <c r="K84" s="63"/>
      <c r="L84" s="63"/>
      <c r="M84" s="63"/>
      <c r="N84" s="63"/>
      <c r="O84" s="64"/>
      <c r="P84" s="44"/>
      <c r="Q84" s="44"/>
    </row>
    <row r="85" spans="3:17" ht="20.100000000000001" customHeight="1" x14ac:dyDescent="0.25">
      <c r="C85" s="60"/>
      <c r="D85" s="47"/>
      <c r="E85" s="44"/>
      <c r="F85" s="44"/>
      <c r="G85" s="61"/>
      <c r="H85" s="44"/>
      <c r="I85" s="44"/>
      <c r="J85" s="62"/>
      <c r="K85" s="63"/>
      <c r="L85" s="63"/>
      <c r="M85" s="63"/>
      <c r="N85" s="63"/>
      <c r="O85" s="64"/>
      <c r="P85" s="44"/>
      <c r="Q85" s="44"/>
    </row>
    <row r="86" spans="3:17" ht="20.100000000000001" customHeight="1" x14ac:dyDescent="0.25">
      <c r="C86" s="60"/>
      <c r="D86" s="47"/>
      <c r="E86" s="44"/>
      <c r="F86" s="44"/>
      <c r="G86" s="61"/>
      <c r="H86" s="44"/>
      <c r="I86" s="44"/>
      <c r="J86" s="62"/>
      <c r="K86" s="63"/>
      <c r="L86" s="63"/>
      <c r="M86" s="63"/>
      <c r="N86" s="63"/>
      <c r="O86" s="64"/>
      <c r="P86" s="44"/>
      <c r="Q86" s="44"/>
    </row>
    <row r="87" spans="3:17" ht="20.100000000000001" customHeight="1" x14ac:dyDescent="0.25">
      <c r="C87" s="60"/>
      <c r="D87" s="47"/>
      <c r="E87" s="44"/>
      <c r="F87" s="44"/>
      <c r="G87" s="61"/>
      <c r="H87" s="44"/>
      <c r="I87" s="44"/>
      <c r="J87" s="62"/>
      <c r="K87" s="63"/>
      <c r="L87" s="63"/>
      <c r="M87" s="63"/>
      <c r="N87" s="63"/>
      <c r="O87" s="64"/>
      <c r="P87" s="44"/>
      <c r="Q87" s="44"/>
    </row>
    <row r="88" spans="3:17" ht="20.100000000000001" customHeight="1" x14ac:dyDescent="0.25">
      <c r="C88" s="60"/>
      <c r="D88" s="47"/>
      <c r="E88" s="44"/>
      <c r="F88" s="44"/>
      <c r="G88" s="61"/>
      <c r="H88" s="44"/>
      <c r="I88" s="44"/>
      <c r="J88" s="62"/>
      <c r="K88" s="63"/>
      <c r="L88" s="63"/>
      <c r="M88" s="63"/>
      <c r="N88" s="63"/>
      <c r="O88" s="64"/>
      <c r="P88" s="44"/>
      <c r="Q88" s="44"/>
    </row>
    <row r="89" spans="3:17" ht="20.100000000000001" customHeight="1" x14ac:dyDescent="0.25">
      <c r="C89" s="60"/>
      <c r="D89" s="47"/>
      <c r="E89" s="44"/>
      <c r="F89" s="44"/>
      <c r="G89" s="61"/>
      <c r="H89" s="44"/>
      <c r="I89" s="44"/>
      <c r="J89" s="62"/>
      <c r="K89" s="63"/>
      <c r="L89" s="63"/>
      <c r="M89" s="63"/>
      <c r="N89" s="63"/>
      <c r="O89" s="64"/>
      <c r="P89" s="44"/>
      <c r="Q89" s="44"/>
    </row>
    <row r="90" spans="3:17" ht="20.100000000000001" customHeight="1" x14ac:dyDescent="0.25">
      <c r="C90" s="60"/>
      <c r="D90" s="47"/>
      <c r="E90" s="44"/>
      <c r="F90" s="44"/>
      <c r="G90" s="61"/>
      <c r="H90" s="44"/>
      <c r="I90" s="44"/>
      <c r="J90" s="62"/>
      <c r="K90" s="63"/>
      <c r="L90" s="63"/>
      <c r="M90" s="63"/>
      <c r="N90" s="63"/>
      <c r="O90" s="64"/>
      <c r="P90" s="44"/>
      <c r="Q90" s="44"/>
    </row>
    <row r="91" spans="3:17" ht="20.100000000000001" customHeight="1" x14ac:dyDescent="0.25">
      <c r="C91" s="60"/>
      <c r="D91" s="47"/>
      <c r="E91" s="44"/>
      <c r="F91" s="44"/>
      <c r="G91" s="61"/>
      <c r="H91" s="44"/>
      <c r="I91" s="44"/>
      <c r="J91" s="62"/>
      <c r="K91" s="63"/>
      <c r="L91" s="63"/>
      <c r="M91" s="63"/>
      <c r="N91" s="63"/>
      <c r="O91" s="64"/>
      <c r="P91" s="44"/>
      <c r="Q91" s="44"/>
    </row>
    <row r="92" spans="3:17" ht="20.100000000000001" customHeight="1" x14ac:dyDescent="0.25">
      <c r="C92" s="60"/>
      <c r="D92" s="47"/>
      <c r="E92" s="44"/>
      <c r="F92" s="44"/>
      <c r="G92" s="61"/>
      <c r="H92" s="44"/>
      <c r="I92" s="44"/>
      <c r="J92" s="62"/>
      <c r="K92" s="63"/>
      <c r="L92" s="63"/>
      <c r="M92" s="63"/>
      <c r="N92" s="63"/>
      <c r="O92" s="64"/>
      <c r="P92" s="44"/>
      <c r="Q92" s="44"/>
    </row>
    <row r="93" spans="3:17" ht="20.100000000000001" customHeight="1" x14ac:dyDescent="0.25">
      <c r="C93" s="60"/>
      <c r="D93" s="47"/>
      <c r="E93" s="44"/>
      <c r="F93" s="44"/>
      <c r="G93" s="61"/>
      <c r="H93" s="44"/>
      <c r="I93" s="44"/>
      <c r="J93" s="62"/>
      <c r="K93" s="63"/>
      <c r="L93" s="63"/>
      <c r="M93" s="63"/>
      <c r="N93" s="63"/>
      <c r="O93" s="64"/>
      <c r="P93" s="44"/>
      <c r="Q93" s="44"/>
    </row>
    <row r="94" spans="3:17" ht="20.100000000000001" customHeight="1" x14ac:dyDescent="0.25">
      <c r="C94" s="60"/>
      <c r="D94" s="47"/>
      <c r="E94" s="44"/>
      <c r="F94" s="44"/>
      <c r="G94" s="61"/>
      <c r="H94" s="44"/>
      <c r="I94" s="44"/>
      <c r="J94" s="62"/>
      <c r="K94" s="63"/>
      <c r="L94" s="63"/>
      <c r="M94" s="63"/>
      <c r="N94" s="63"/>
      <c r="O94" s="64"/>
      <c r="P94" s="44"/>
      <c r="Q94" s="44"/>
    </row>
    <row r="95" spans="3:17" ht="20.100000000000001" customHeight="1" x14ac:dyDescent="0.25">
      <c r="C95" s="60"/>
      <c r="D95" s="47"/>
      <c r="E95" s="44"/>
      <c r="F95" s="44"/>
      <c r="G95" s="61"/>
      <c r="H95" s="44"/>
      <c r="I95" s="44"/>
      <c r="J95" s="62"/>
      <c r="K95" s="63"/>
      <c r="L95" s="63"/>
      <c r="M95" s="63"/>
      <c r="N95" s="63"/>
      <c r="O95" s="64"/>
      <c r="P95" s="44"/>
      <c r="Q95" s="44"/>
    </row>
    <row r="96" spans="3:17" ht="20.100000000000001" customHeight="1" x14ac:dyDescent="0.25">
      <c r="C96" s="60"/>
      <c r="D96" s="47"/>
      <c r="E96" s="44"/>
      <c r="F96" s="44"/>
      <c r="G96" s="61"/>
      <c r="H96" s="44"/>
      <c r="I96" s="44"/>
      <c r="J96" s="62"/>
      <c r="K96" s="63"/>
      <c r="L96" s="63"/>
      <c r="M96" s="63"/>
      <c r="N96" s="63"/>
      <c r="O96" s="64"/>
      <c r="P96" s="44"/>
      <c r="Q96" s="44"/>
    </row>
    <row r="97" spans="3:17" ht="20.100000000000001" customHeight="1" x14ac:dyDescent="0.25">
      <c r="C97" s="60"/>
      <c r="D97" s="47"/>
      <c r="E97" s="44"/>
      <c r="F97" s="44"/>
      <c r="G97" s="61"/>
      <c r="H97" s="44"/>
      <c r="I97" s="44"/>
      <c r="J97" s="62"/>
      <c r="K97" s="63"/>
      <c r="L97" s="63"/>
      <c r="M97" s="63"/>
      <c r="N97" s="63"/>
      <c r="O97" s="64"/>
      <c r="P97" s="44"/>
      <c r="Q97" s="44"/>
    </row>
    <row r="98" spans="3:17" ht="20.100000000000001" customHeight="1" x14ac:dyDescent="0.25">
      <c r="C98" s="60"/>
      <c r="D98" s="47"/>
      <c r="E98" s="44"/>
      <c r="F98" s="44"/>
      <c r="G98" s="61"/>
      <c r="H98" s="44"/>
      <c r="I98" s="44"/>
      <c r="J98" s="62"/>
      <c r="K98" s="63"/>
      <c r="L98" s="63"/>
      <c r="M98" s="63"/>
      <c r="N98" s="63"/>
      <c r="O98" s="64"/>
      <c r="P98" s="44"/>
      <c r="Q98" s="44"/>
    </row>
    <row r="99" spans="3:17" ht="20.100000000000001" customHeight="1" x14ac:dyDescent="0.25">
      <c r="C99" s="60"/>
      <c r="D99" s="47"/>
      <c r="E99" s="44"/>
      <c r="F99" s="44"/>
      <c r="G99" s="61"/>
      <c r="H99" s="44"/>
      <c r="I99" s="44"/>
      <c r="J99" s="62"/>
      <c r="K99" s="63"/>
      <c r="L99" s="63"/>
      <c r="M99" s="63"/>
      <c r="N99" s="63"/>
      <c r="O99" s="64"/>
      <c r="P99" s="44"/>
      <c r="Q99" s="44"/>
    </row>
    <row r="100" spans="3:17" ht="20.100000000000001" customHeight="1" x14ac:dyDescent="0.25">
      <c r="C100" s="60"/>
      <c r="D100" s="47"/>
      <c r="E100" s="44"/>
      <c r="F100" s="44"/>
      <c r="G100" s="61"/>
      <c r="H100" s="44"/>
      <c r="I100" s="44"/>
      <c r="J100" s="62"/>
      <c r="K100" s="63"/>
      <c r="L100" s="63"/>
      <c r="M100" s="63"/>
      <c r="N100" s="63"/>
      <c r="O100" s="64"/>
      <c r="P100" s="44"/>
      <c r="Q100" s="44"/>
    </row>
    <row r="101" spans="3:17" ht="20.100000000000001" customHeight="1" x14ac:dyDescent="0.25">
      <c r="C101" s="60"/>
      <c r="D101" s="47"/>
      <c r="E101" s="44"/>
      <c r="F101" s="44"/>
      <c r="G101" s="61"/>
      <c r="H101" s="44"/>
      <c r="I101" s="44"/>
      <c r="J101" s="62"/>
      <c r="K101" s="63"/>
      <c r="L101" s="63"/>
      <c r="M101" s="63"/>
      <c r="N101" s="63"/>
      <c r="O101" s="64"/>
      <c r="P101" s="44"/>
      <c r="Q101" s="44"/>
    </row>
    <row r="102" spans="3:17" ht="20.100000000000001" customHeight="1" x14ac:dyDescent="0.25">
      <c r="C102" s="60"/>
      <c r="D102" s="47"/>
      <c r="E102" s="44"/>
      <c r="F102" s="44"/>
      <c r="G102" s="61"/>
      <c r="H102" s="44"/>
      <c r="I102" s="44"/>
      <c r="J102" s="62"/>
      <c r="K102" s="63"/>
      <c r="L102" s="63"/>
      <c r="M102" s="63"/>
      <c r="N102" s="63"/>
      <c r="O102" s="64"/>
      <c r="P102" s="44"/>
      <c r="Q102" s="44"/>
    </row>
    <row r="103" spans="3:17" ht="20.100000000000001" customHeight="1" x14ac:dyDescent="0.25">
      <c r="C103" s="60"/>
      <c r="D103" s="47"/>
      <c r="E103" s="44"/>
      <c r="F103" s="44"/>
      <c r="G103" s="61"/>
      <c r="H103" s="44"/>
      <c r="I103" s="44"/>
      <c r="J103" s="62"/>
      <c r="K103" s="63"/>
      <c r="L103" s="63"/>
      <c r="M103" s="63"/>
      <c r="N103" s="63"/>
      <c r="O103" s="64"/>
      <c r="P103" s="44"/>
      <c r="Q103" s="44"/>
    </row>
    <row r="104" spans="3:17" ht="20.100000000000001" customHeight="1" x14ac:dyDescent="0.25">
      <c r="C104" s="60"/>
      <c r="D104" s="47"/>
      <c r="E104" s="44"/>
      <c r="F104" s="44"/>
      <c r="G104" s="61"/>
      <c r="H104" s="44"/>
      <c r="I104" s="44"/>
      <c r="J104" s="62"/>
      <c r="K104" s="63"/>
      <c r="L104" s="63"/>
      <c r="M104" s="63"/>
      <c r="N104" s="63"/>
      <c r="O104" s="64"/>
      <c r="P104" s="44"/>
      <c r="Q104" s="44"/>
    </row>
    <row r="105" spans="3:17" ht="20.100000000000001" customHeight="1" x14ac:dyDescent="0.25">
      <c r="C105" s="60"/>
      <c r="D105" s="47"/>
      <c r="E105" s="44"/>
      <c r="F105" s="44"/>
      <c r="G105" s="61"/>
      <c r="H105" s="44"/>
      <c r="I105" s="44"/>
      <c r="J105" s="62"/>
      <c r="K105" s="63"/>
      <c r="L105" s="63"/>
      <c r="M105" s="63"/>
      <c r="N105" s="63"/>
      <c r="O105" s="64"/>
      <c r="P105" s="44"/>
      <c r="Q105" s="44"/>
    </row>
    <row r="106" spans="3:17" ht="20.100000000000001" customHeight="1" x14ac:dyDescent="0.25">
      <c r="C106" s="60"/>
      <c r="D106" s="47"/>
      <c r="E106" s="44"/>
      <c r="F106" s="44"/>
      <c r="G106" s="61"/>
      <c r="H106" s="44"/>
      <c r="I106" s="44"/>
      <c r="J106" s="62"/>
      <c r="K106" s="63"/>
      <c r="L106" s="63"/>
      <c r="M106" s="63"/>
      <c r="N106" s="63"/>
      <c r="O106" s="64"/>
      <c r="P106" s="44"/>
      <c r="Q106" s="44"/>
    </row>
    <row r="107" spans="3:17" ht="20.100000000000001" customHeight="1" x14ac:dyDescent="0.25">
      <c r="C107" s="60"/>
      <c r="D107" s="47"/>
      <c r="E107" s="44"/>
      <c r="F107" s="44"/>
      <c r="G107" s="61"/>
      <c r="H107" s="44"/>
      <c r="I107" s="44"/>
      <c r="J107" s="62"/>
      <c r="K107" s="63"/>
      <c r="L107" s="63"/>
      <c r="M107" s="63"/>
      <c r="N107" s="63"/>
      <c r="O107" s="64"/>
      <c r="P107" s="44"/>
      <c r="Q107" s="44"/>
    </row>
    <row r="108" spans="3:17" ht="20.100000000000001" customHeight="1" x14ac:dyDescent="0.25">
      <c r="C108" s="60"/>
      <c r="D108" s="47"/>
      <c r="E108" s="44"/>
      <c r="F108" s="44"/>
      <c r="G108" s="61"/>
      <c r="H108" s="44"/>
      <c r="I108" s="44"/>
      <c r="J108" s="62"/>
      <c r="K108" s="63"/>
      <c r="L108" s="63"/>
      <c r="M108" s="63"/>
      <c r="N108" s="63"/>
      <c r="O108" s="64"/>
      <c r="P108" s="44"/>
      <c r="Q108" s="44"/>
    </row>
    <row r="109" spans="3:17" ht="20.100000000000001" customHeight="1" x14ac:dyDescent="0.25">
      <c r="C109" s="60"/>
      <c r="D109" s="47"/>
      <c r="E109" s="44"/>
      <c r="F109" s="44"/>
      <c r="G109" s="61"/>
      <c r="H109" s="44"/>
      <c r="I109" s="44"/>
      <c r="J109" s="62"/>
      <c r="K109" s="63"/>
      <c r="L109" s="63"/>
      <c r="M109" s="63"/>
      <c r="N109" s="63"/>
      <c r="O109" s="64"/>
      <c r="P109" s="44"/>
      <c r="Q109" s="44"/>
    </row>
    <row r="110" spans="3:17" ht="20.100000000000001" customHeight="1" x14ac:dyDescent="0.25">
      <c r="C110" s="60"/>
      <c r="D110" s="47"/>
      <c r="E110" s="44"/>
      <c r="F110" s="44"/>
      <c r="G110" s="61"/>
      <c r="H110" s="44"/>
      <c r="I110" s="44"/>
      <c r="J110" s="62"/>
      <c r="K110" s="63"/>
      <c r="L110" s="63"/>
      <c r="M110" s="63"/>
      <c r="N110" s="63"/>
      <c r="O110" s="64"/>
      <c r="P110" s="44"/>
      <c r="Q110" s="44"/>
    </row>
    <row r="111" spans="3:17" ht="20.100000000000001" customHeight="1" x14ac:dyDescent="0.25">
      <c r="C111" s="60"/>
      <c r="D111" s="47"/>
      <c r="E111" s="44"/>
      <c r="F111" s="44"/>
      <c r="G111" s="61"/>
      <c r="H111" s="44"/>
      <c r="I111" s="44"/>
      <c r="J111" s="62"/>
      <c r="K111" s="63"/>
      <c r="L111" s="63"/>
      <c r="M111" s="63"/>
      <c r="N111" s="63"/>
      <c r="O111" s="64"/>
      <c r="P111" s="44"/>
      <c r="Q111" s="44"/>
    </row>
    <row r="112" spans="3:17" ht="20.100000000000001" customHeight="1" x14ac:dyDescent="0.25">
      <c r="C112" s="60"/>
      <c r="D112" s="47"/>
      <c r="E112" s="44"/>
      <c r="F112" s="44"/>
      <c r="G112" s="61"/>
      <c r="H112" s="44"/>
      <c r="I112" s="44"/>
      <c r="J112" s="62"/>
      <c r="K112" s="63"/>
      <c r="L112" s="63"/>
      <c r="M112" s="63"/>
      <c r="N112" s="63"/>
      <c r="O112" s="64"/>
      <c r="P112" s="44"/>
      <c r="Q112" s="44"/>
    </row>
    <row r="113" spans="3:17" ht="20.100000000000001" customHeight="1" x14ac:dyDescent="0.25">
      <c r="C113" s="60"/>
      <c r="D113" s="47"/>
      <c r="E113" s="44"/>
      <c r="F113" s="44"/>
      <c r="G113" s="61"/>
      <c r="H113" s="44"/>
      <c r="I113" s="44"/>
      <c r="J113" s="62"/>
      <c r="K113" s="63"/>
      <c r="L113" s="63"/>
      <c r="M113" s="63"/>
      <c r="N113" s="63"/>
      <c r="O113" s="64"/>
      <c r="P113" s="44"/>
      <c r="Q113" s="44"/>
    </row>
    <row r="114" spans="3:17" ht="20.100000000000001" customHeight="1" x14ac:dyDescent="0.25">
      <c r="C114" s="60"/>
      <c r="D114" s="47"/>
      <c r="E114" s="44"/>
      <c r="F114" s="44"/>
      <c r="G114" s="61"/>
      <c r="H114" s="44"/>
      <c r="I114" s="44"/>
      <c r="J114" s="62"/>
      <c r="K114" s="63"/>
      <c r="L114" s="63"/>
      <c r="M114" s="63"/>
      <c r="N114" s="63"/>
      <c r="O114" s="64"/>
      <c r="P114" s="44"/>
      <c r="Q114" s="44"/>
    </row>
    <row r="115" spans="3:17" ht="20.100000000000001" customHeight="1" x14ac:dyDescent="0.25">
      <c r="C115" s="60"/>
      <c r="D115" s="47"/>
      <c r="E115" s="44"/>
      <c r="F115" s="44"/>
      <c r="G115" s="61"/>
      <c r="H115" s="44"/>
      <c r="I115" s="44"/>
      <c r="J115" s="62"/>
      <c r="K115" s="63"/>
      <c r="L115" s="63"/>
      <c r="M115" s="63"/>
      <c r="N115" s="63"/>
      <c r="O115" s="64"/>
      <c r="P115" s="44"/>
      <c r="Q115" s="44"/>
    </row>
    <row r="116" spans="3:17" ht="20.100000000000001" customHeight="1" x14ac:dyDescent="0.25">
      <c r="C116" s="60"/>
      <c r="D116" s="47"/>
      <c r="E116" s="44"/>
      <c r="F116" s="44"/>
      <c r="G116" s="61"/>
      <c r="H116" s="44"/>
      <c r="I116" s="44"/>
      <c r="J116" s="62"/>
      <c r="K116" s="63"/>
      <c r="L116" s="63"/>
      <c r="M116" s="63"/>
      <c r="N116" s="63"/>
      <c r="O116" s="64"/>
      <c r="P116" s="44"/>
      <c r="Q116" s="44"/>
    </row>
    <row r="117" spans="3:17" ht="20.100000000000001" customHeight="1" x14ac:dyDescent="0.25">
      <c r="C117" s="60"/>
      <c r="D117" s="47"/>
      <c r="E117" s="44"/>
      <c r="F117" s="44"/>
      <c r="G117" s="61"/>
      <c r="H117" s="44"/>
      <c r="I117" s="44"/>
      <c r="J117" s="62"/>
      <c r="K117" s="63"/>
      <c r="L117" s="63"/>
      <c r="M117" s="63"/>
      <c r="N117" s="63"/>
      <c r="O117" s="64"/>
      <c r="P117" s="44"/>
      <c r="Q117" s="44"/>
    </row>
    <row r="118" spans="3:17" ht="20.100000000000001" customHeight="1" x14ac:dyDescent="0.25">
      <c r="C118" s="60"/>
      <c r="D118" s="47"/>
      <c r="E118" s="44"/>
      <c r="F118" s="44"/>
      <c r="G118" s="61"/>
      <c r="H118" s="44"/>
      <c r="I118" s="44"/>
      <c r="J118" s="62"/>
      <c r="K118" s="63"/>
      <c r="L118" s="63"/>
      <c r="M118" s="63"/>
      <c r="N118" s="63"/>
      <c r="O118" s="64"/>
      <c r="P118" s="44"/>
      <c r="Q118" s="44"/>
    </row>
    <row r="119" spans="3:17" ht="20.100000000000001" customHeight="1" x14ac:dyDescent="0.25">
      <c r="C119" s="60"/>
      <c r="D119" s="47"/>
      <c r="E119" s="44"/>
      <c r="F119" s="44"/>
      <c r="G119" s="61"/>
      <c r="H119" s="44"/>
      <c r="I119" s="44"/>
      <c r="J119" s="62"/>
      <c r="K119" s="63"/>
      <c r="L119" s="63"/>
      <c r="M119" s="63"/>
      <c r="N119" s="63"/>
      <c r="O119" s="64"/>
      <c r="P119" s="44"/>
      <c r="Q119" s="44"/>
    </row>
    <row r="120" spans="3:17" ht="20.100000000000001" customHeight="1" x14ac:dyDescent="0.25">
      <c r="C120" s="60"/>
      <c r="D120" s="47"/>
      <c r="E120" s="44"/>
      <c r="F120" s="44"/>
      <c r="G120" s="61"/>
      <c r="H120" s="44"/>
      <c r="I120" s="44"/>
      <c r="J120" s="62"/>
      <c r="K120" s="63"/>
      <c r="L120" s="63"/>
      <c r="M120" s="63"/>
      <c r="N120" s="63"/>
      <c r="O120" s="64"/>
      <c r="P120" s="44"/>
      <c r="Q120" s="44"/>
    </row>
    <row r="121" spans="3:17" ht="20.100000000000001" customHeight="1" x14ac:dyDescent="0.25">
      <c r="C121" s="60"/>
      <c r="D121" s="47"/>
      <c r="E121" s="44"/>
      <c r="F121" s="44"/>
      <c r="G121" s="61"/>
      <c r="H121" s="44"/>
      <c r="I121" s="44"/>
      <c r="J121" s="62"/>
      <c r="K121" s="63"/>
      <c r="L121" s="63"/>
      <c r="M121" s="63"/>
      <c r="N121" s="63"/>
      <c r="O121" s="64"/>
      <c r="P121" s="44"/>
      <c r="Q121" s="44"/>
    </row>
    <row r="122" spans="3:17" ht="20.100000000000001" customHeight="1" x14ac:dyDescent="0.25">
      <c r="C122" s="60"/>
      <c r="D122" s="47"/>
      <c r="E122" s="44"/>
      <c r="F122" s="44"/>
      <c r="G122" s="61"/>
      <c r="H122" s="44"/>
      <c r="I122" s="44"/>
      <c r="J122" s="62"/>
      <c r="K122" s="63"/>
      <c r="L122" s="63"/>
      <c r="M122" s="63"/>
      <c r="N122" s="63"/>
      <c r="O122" s="64"/>
      <c r="P122" s="44"/>
      <c r="Q122" s="44"/>
    </row>
    <row r="123" spans="3:17" ht="20.100000000000001" customHeight="1" x14ac:dyDescent="0.25">
      <c r="C123" s="60"/>
      <c r="D123" s="47"/>
      <c r="E123" s="44"/>
      <c r="F123" s="44"/>
      <c r="G123" s="61"/>
      <c r="H123" s="44"/>
      <c r="I123" s="44"/>
      <c r="J123" s="62"/>
      <c r="K123" s="63"/>
      <c r="L123" s="63"/>
      <c r="M123" s="63"/>
      <c r="N123" s="63"/>
      <c r="O123" s="64"/>
      <c r="P123" s="44"/>
      <c r="Q123" s="44"/>
    </row>
    <row r="124" spans="3:17" ht="20.100000000000001" customHeight="1" x14ac:dyDescent="0.25">
      <c r="C124" s="60"/>
      <c r="D124" s="47"/>
      <c r="E124" s="44"/>
      <c r="F124" s="44"/>
      <c r="G124" s="61"/>
      <c r="H124" s="44"/>
      <c r="I124" s="44"/>
      <c r="J124" s="62"/>
      <c r="K124" s="63"/>
      <c r="L124" s="63"/>
      <c r="M124" s="63"/>
      <c r="N124" s="63"/>
      <c r="O124" s="64"/>
      <c r="P124" s="44"/>
      <c r="Q124" s="44"/>
    </row>
    <row r="125" spans="3:17" ht="20.100000000000001" customHeight="1" x14ac:dyDescent="0.25">
      <c r="C125" s="60"/>
      <c r="D125" s="47"/>
      <c r="E125" s="44"/>
      <c r="F125" s="44"/>
      <c r="G125" s="61"/>
      <c r="H125" s="44"/>
      <c r="I125" s="44"/>
      <c r="J125" s="62"/>
      <c r="K125" s="63"/>
      <c r="L125" s="63"/>
      <c r="M125" s="63"/>
      <c r="N125" s="63"/>
      <c r="O125" s="64"/>
      <c r="P125" s="44"/>
      <c r="Q125" s="44"/>
    </row>
    <row r="126" spans="3:17" ht="20.100000000000001" customHeight="1" x14ac:dyDescent="0.25">
      <c r="C126" s="60"/>
      <c r="D126" s="47"/>
      <c r="E126" s="44"/>
      <c r="F126" s="44"/>
      <c r="G126" s="61"/>
      <c r="H126" s="44"/>
      <c r="I126" s="44"/>
      <c r="J126" s="62"/>
      <c r="K126" s="63"/>
      <c r="L126" s="63"/>
      <c r="M126" s="63"/>
      <c r="N126" s="63"/>
      <c r="O126" s="64"/>
      <c r="P126" s="44"/>
      <c r="Q126" s="44"/>
    </row>
    <row r="127" spans="3:17" ht="20.100000000000001" customHeight="1" x14ac:dyDescent="0.25">
      <c r="C127" s="60"/>
      <c r="D127" s="47"/>
      <c r="E127" s="44"/>
      <c r="F127" s="44"/>
      <c r="G127" s="61"/>
      <c r="H127" s="44"/>
      <c r="I127" s="44"/>
      <c r="J127" s="62"/>
      <c r="K127" s="63"/>
      <c r="L127" s="63"/>
      <c r="M127" s="63"/>
      <c r="N127" s="63"/>
      <c r="O127" s="64"/>
      <c r="P127" s="44"/>
      <c r="Q127" s="44"/>
    </row>
    <row r="128" spans="3:17" ht="20.100000000000001" customHeight="1" x14ac:dyDescent="0.25">
      <c r="C128" s="60"/>
      <c r="D128" s="47"/>
      <c r="E128" s="44"/>
      <c r="F128" s="44"/>
      <c r="G128" s="61"/>
      <c r="H128" s="44"/>
      <c r="I128" s="44"/>
      <c r="J128" s="62"/>
      <c r="K128" s="63"/>
      <c r="L128" s="63"/>
      <c r="M128" s="63"/>
      <c r="N128" s="63"/>
      <c r="O128" s="64"/>
      <c r="P128" s="44"/>
      <c r="Q128" s="44"/>
    </row>
    <row r="129" spans="3:17" ht="20.100000000000001" customHeight="1" x14ac:dyDescent="0.25">
      <c r="C129" s="60"/>
      <c r="D129" s="47"/>
      <c r="E129" s="44"/>
      <c r="F129" s="44"/>
      <c r="G129" s="61"/>
      <c r="H129" s="44"/>
      <c r="I129" s="44"/>
      <c r="J129" s="62"/>
      <c r="K129" s="63"/>
      <c r="L129" s="63"/>
      <c r="M129" s="63"/>
      <c r="N129" s="63"/>
      <c r="O129" s="64"/>
      <c r="P129" s="44"/>
      <c r="Q129" s="44"/>
    </row>
    <row r="130" spans="3:17" ht="20.100000000000001" customHeight="1" x14ac:dyDescent="0.25">
      <c r="C130" s="60"/>
      <c r="D130" s="47"/>
      <c r="E130" s="44"/>
      <c r="F130" s="44"/>
      <c r="G130" s="61"/>
      <c r="H130" s="44"/>
      <c r="I130" s="44"/>
      <c r="J130" s="62"/>
      <c r="K130" s="63"/>
      <c r="L130" s="63"/>
      <c r="M130" s="63"/>
      <c r="N130" s="63"/>
      <c r="O130" s="64"/>
      <c r="P130" s="44"/>
      <c r="Q130" s="44"/>
    </row>
    <row r="131" spans="3:17" ht="20.100000000000001" customHeight="1" x14ac:dyDescent="0.25">
      <c r="C131" s="60"/>
      <c r="D131" s="47"/>
      <c r="E131" s="44"/>
      <c r="F131" s="44"/>
      <c r="G131" s="61"/>
      <c r="H131" s="44"/>
      <c r="I131" s="44"/>
      <c r="J131" s="62"/>
      <c r="K131" s="63"/>
      <c r="L131" s="63"/>
      <c r="M131" s="63"/>
      <c r="N131" s="63"/>
      <c r="O131" s="64"/>
      <c r="P131" s="44"/>
      <c r="Q131" s="44"/>
    </row>
    <row r="132" spans="3:17" ht="20.100000000000001" customHeight="1" x14ac:dyDescent="0.25">
      <c r="C132" s="60"/>
      <c r="D132" s="47"/>
      <c r="E132" s="44"/>
      <c r="F132" s="44"/>
      <c r="G132" s="61"/>
      <c r="H132" s="44"/>
      <c r="I132" s="44"/>
      <c r="J132" s="62"/>
      <c r="K132" s="63"/>
      <c r="L132" s="63"/>
      <c r="M132" s="63"/>
      <c r="N132" s="63"/>
      <c r="O132" s="64"/>
      <c r="P132" s="44"/>
      <c r="Q132" s="44"/>
    </row>
    <row r="133" spans="3:17" ht="20.100000000000001" customHeight="1" x14ac:dyDescent="0.25">
      <c r="C133" s="60"/>
      <c r="D133" s="47"/>
      <c r="E133" s="44"/>
      <c r="F133" s="44"/>
      <c r="G133" s="61"/>
      <c r="H133" s="44"/>
      <c r="I133" s="44"/>
      <c r="J133" s="62"/>
      <c r="K133" s="63"/>
      <c r="L133" s="63"/>
      <c r="M133" s="63"/>
      <c r="N133" s="63"/>
      <c r="O133" s="64"/>
      <c r="P133" s="44"/>
      <c r="Q133" s="44"/>
    </row>
    <row r="134" spans="3:17" ht="20.100000000000001" customHeight="1" x14ac:dyDescent="0.25">
      <c r="C134" s="60"/>
      <c r="D134" s="47"/>
      <c r="E134" s="44"/>
      <c r="F134" s="44"/>
      <c r="G134" s="61"/>
      <c r="H134" s="44"/>
      <c r="I134" s="44"/>
      <c r="J134" s="62"/>
      <c r="K134" s="63"/>
      <c r="L134" s="63"/>
      <c r="M134" s="63"/>
      <c r="N134" s="63"/>
      <c r="O134" s="64"/>
      <c r="P134" s="44"/>
      <c r="Q134" s="44"/>
    </row>
    <row r="135" spans="3:17" ht="20.100000000000001" customHeight="1" x14ac:dyDescent="0.25">
      <c r="C135" s="60"/>
      <c r="D135" s="47"/>
      <c r="E135" s="44"/>
      <c r="F135" s="44"/>
      <c r="G135" s="61"/>
      <c r="H135" s="44"/>
      <c r="I135" s="44"/>
      <c r="J135" s="62"/>
      <c r="K135" s="63"/>
      <c r="L135" s="63"/>
      <c r="M135" s="63"/>
      <c r="N135" s="63"/>
      <c r="O135" s="64"/>
      <c r="P135" s="44"/>
      <c r="Q135" s="44"/>
    </row>
    <row r="136" spans="3:17" ht="20.100000000000001" customHeight="1" x14ac:dyDescent="0.25">
      <c r="C136" s="60"/>
      <c r="D136" s="47"/>
      <c r="E136" s="44"/>
      <c r="F136" s="44"/>
      <c r="G136" s="61"/>
      <c r="H136" s="44"/>
      <c r="I136" s="44"/>
      <c r="J136" s="62"/>
      <c r="K136" s="63"/>
      <c r="L136" s="63"/>
      <c r="M136" s="63"/>
      <c r="N136" s="63"/>
      <c r="O136" s="64"/>
      <c r="P136" s="44"/>
      <c r="Q136" s="44"/>
    </row>
    <row r="137" spans="3:17" ht="20.100000000000001" customHeight="1" x14ac:dyDescent="0.25">
      <c r="C137" s="60"/>
      <c r="D137" s="47"/>
      <c r="E137" s="44"/>
      <c r="F137" s="44"/>
      <c r="G137" s="61"/>
      <c r="H137" s="44"/>
      <c r="I137" s="44"/>
      <c r="J137" s="62"/>
      <c r="K137" s="63"/>
      <c r="L137" s="63"/>
      <c r="M137" s="63"/>
      <c r="N137" s="63"/>
      <c r="O137" s="64"/>
      <c r="P137" s="44"/>
      <c r="Q137" s="44"/>
    </row>
    <row r="138" spans="3:17" ht="20.100000000000001" customHeight="1" x14ac:dyDescent="0.25">
      <c r="C138" s="60"/>
      <c r="D138" s="47"/>
      <c r="E138" s="44"/>
      <c r="F138" s="44"/>
      <c r="G138" s="61"/>
      <c r="H138" s="44"/>
      <c r="I138" s="44"/>
      <c r="J138" s="62"/>
      <c r="K138" s="63"/>
      <c r="L138" s="63"/>
      <c r="M138" s="63"/>
      <c r="N138" s="63"/>
      <c r="O138" s="64"/>
      <c r="P138" s="44"/>
      <c r="Q138" s="44"/>
    </row>
    <row r="139" spans="3:17" ht="20.100000000000001" customHeight="1" x14ac:dyDescent="0.25">
      <c r="C139" s="60"/>
      <c r="D139" s="47"/>
      <c r="E139" s="44"/>
      <c r="F139" s="44"/>
      <c r="G139" s="61"/>
      <c r="H139" s="44"/>
      <c r="I139" s="44"/>
      <c r="J139" s="62"/>
      <c r="K139" s="63"/>
      <c r="L139" s="63"/>
      <c r="M139" s="63"/>
      <c r="N139" s="63"/>
      <c r="O139" s="64"/>
      <c r="P139" s="44"/>
      <c r="Q139" s="44"/>
    </row>
    <row r="140" spans="3:17" ht="20.100000000000001" customHeight="1" x14ac:dyDescent="0.25">
      <c r="C140" s="60"/>
      <c r="D140" s="47"/>
      <c r="E140" s="44"/>
      <c r="F140" s="44"/>
      <c r="G140" s="61"/>
      <c r="H140" s="44"/>
      <c r="I140" s="44"/>
      <c r="J140" s="62"/>
      <c r="K140" s="63"/>
      <c r="L140" s="63"/>
      <c r="M140" s="63"/>
      <c r="N140" s="63"/>
      <c r="O140" s="64"/>
      <c r="P140" s="44"/>
      <c r="Q140" s="44"/>
    </row>
    <row r="141" spans="3:17" ht="20.100000000000001" customHeight="1" x14ac:dyDescent="0.25">
      <c r="C141" s="60"/>
      <c r="D141" s="47"/>
      <c r="E141" s="44"/>
      <c r="F141" s="44"/>
      <c r="G141" s="61"/>
      <c r="H141" s="44"/>
      <c r="I141" s="44"/>
      <c r="J141" s="62"/>
      <c r="K141" s="63"/>
      <c r="L141" s="63"/>
      <c r="M141" s="63"/>
      <c r="N141" s="63"/>
      <c r="O141" s="64"/>
      <c r="P141" s="44"/>
      <c r="Q141" s="44"/>
    </row>
    <row r="142" spans="3:17" ht="20.100000000000001" customHeight="1" x14ac:dyDescent="0.25">
      <c r="C142" s="60"/>
      <c r="D142" s="47"/>
      <c r="E142" s="44"/>
      <c r="F142" s="44"/>
      <c r="G142" s="61"/>
      <c r="H142" s="44"/>
      <c r="I142" s="44"/>
      <c r="J142" s="62"/>
      <c r="K142" s="63"/>
      <c r="L142" s="63"/>
      <c r="M142" s="63"/>
      <c r="N142" s="63"/>
      <c r="O142" s="64"/>
      <c r="P142" s="44"/>
      <c r="Q142" s="44"/>
    </row>
    <row r="143" spans="3:17" ht="20.100000000000001" customHeight="1" x14ac:dyDescent="0.25">
      <c r="C143" s="60"/>
      <c r="D143" s="47"/>
      <c r="E143" s="44"/>
      <c r="F143" s="44"/>
      <c r="G143" s="61"/>
      <c r="H143" s="44"/>
      <c r="I143" s="44"/>
      <c r="J143" s="62"/>
      <c r="K143" s="63"/>
      <c r="L143" s="63"/>
      <c r="M143" s="63"/>
      <c r="N143" s="63"/>
      <c r="O143" s="64"/>
      <c r="P143" s="44"/>
      <c r="Q143" s="44"/>
    </row>
    <row r="144" spans="3:17" ht="20.100000000000001" customHeight="1" x14ac:dyDescent="0.25">
      <c r="C144" s="60"/>
      <c r="D144" s="47"/>
      <c r="E144" s="44"/>
      <c r="F144" s="44"/>
      <c r="G144" s="61"/>
      <c r="H144" s="44"/>
      <c r="I144" s="44"/>
      <c r="J144" s="62"/>
      <c r="K144" s="63"/>
      <c r="L144" s="63"/>
      <c r="M144" s="63"/>
      <c r="N144" s="63"/>
      <c r="O144" s="64"/>
      <c r="P144" s="44"/>
      <c r="Q144" s="44"/>
    </row>
    <row r="145" spans="3:17" ht="20.100000000000001" customHeight="1" x14ac:dyDescent="0.25">
      <c r="C145" s="60"/>
      <c r="D145" s="47"/>
      <c r="E145" s="44"/>
      <c r="F145" s="44"/>
      <c r="G145" s="61"/>
      <c r="H145" s="44"/>
      <c r="I145" s="44"/>
      <c r="J145" s="62"/>
      <c r="K145" s="63"/>
      <c r="L145" s="63"/>
      <c r="M145" s="63"/>
      <c r="N145" s="63"/>
      <c r="O145" s="64"/>
      <c r="P145" s="44"/>
      <c r="Q145" s="44"/>
    </row>
    <row r="146" spans="3:17" ht="20.100000000000001" customHeight="1" x14ac:dyDescent="0.25">
      <c r="C146" s="60"/>
      <c r="D146" s="47"/>
      <c r="E146" s="44"/>
      <c r="F146" s="44"/>
      <c r="G146" s="61"/>
      <c r="H146" s="44"/>
      <c r="I146" s="44"/>
      <c r="J146" s="62"/>
      <c r="K146" s="63"/>
      <c r="L146" s="63"/>
      <c r="M146" s="63"/>
      <c r="N146" s="63"/>
      <c r="O146" s="64"/>
      <c r="P146" s="44"/>
      <c r="Q146" s="44"/>
    </row>
    <row r="147" spans="3:17" ht="20.100000000000001" customHeight="1" x14ac:dyDescent="0.25">
      <c r="C147" s="60"/>
      <c r="D147" s="47"/>
      <c r="E147" s="44"/>
      <c r="F147" s="44"/>
      <c r="G147" s="61"/>
      <c r="H147" s="44"/>
      <c r="I147" s="44"/>
      <c r="J147" s="62"/>
      <c r="K147" s="63"/>
      <c r="L147" s="63"/>
      <c r="M147" s="63"/>
      <c r="N147" s="63"/>
      <c r="O147" s="64"/>
      <c r="P147" s="44"/>
      <c r="Q147" s="44"/>
    </row>
    <row r="148" spans="3:17" ht="20.100000000000001" customHeight="1" x14ac:dyDescent="0.25">
      <c r="C148" s="60"/>
      <c r="D148" s="47"/>
      <c r="E148" s="44"/>
      <c r="F148" s="44"/>
      <c r="G148" s="61"/>
      <c r="H148" s="44"/>
      <c r="I148" s="44"/>
      <c r="J148" s="62"/>
      <c r="K148" s="63"/>
      <c r="L148" s="63"/>
      <c r="M148" s="63"/>
      <c r="N148" s="63"/>
      <c r="O148" s="64"/>
      <c r="P148" s="44"/>
      <c r="Q148" s="44"/>
    </row>
    <row r="149" spans="3:17" ht="20.100000000000001" customHeight="1" x14ac:dyDescent="0.25">
      <c r="C149" s="60"/>
      <c r="D149" s="47"/>
      <c r="E149" s="44"/>
      <c r="F149" s="44"/>
      <c r="G149" s="61"/>
      <c r="H149" s="44"/>
      <c r="I149" s="44"/>
      <c r="J149" s="62"/>
      <c r="K149" s="63"/>
      <c r="L149" s="63"/>
      <c r="M149" s="63"/>
      <c r="N149" s="63"/>
      <c r="O149" s="64"/>
      <c r="P149" s="44"/>
      <c r="Q149" s="44"/>
    </row>
    <row r="150" spans="3:17" ht="20.100000000000001" customHeight="1" x14ac:dyDescent="0.25">
      <c r="C150" s="60"/>
      <c r="D150" s="47"/>
      <c r="E150" s="44"/>
      <c r="F150" s="44"/>
      <c r="G150" s="61"/>
      <c r="H150" s="44"/>
      <c r="I150" s="44"/>
      <c r="J150" s="62"/>
      <c r="K150" s="63"/>
      <c r="L150" s="63"/>
      <c r="M150" s="63"/>
      <c r="N150" s="63"/>
      <c r="O150" s="64"/>
      <c r="P150" s="44"/>
      <c r="Q150" s="44"/>
    </row>
    <row r="151" spans="3:17" ht="20.100000000000001" customHeight="1" x14ac:dyDescent="0.25">
      <c r="C151" s="60"/>
      <c r="D151" s="47"/>
      <c r="E151" s="44"/>
      <c r="F151" s="44"/>
      <c r="G151" s="61"/>
      <c r="H151" s="44"/>
      <c r="I151" s="44"/>
      <c r="J151" s="62"/>
      <c r="K151" s="63"/>
      <c r="L151" s="63"/>
      <c r="M151" s="63"/>
      <c r="N151" s="63"/>
      <c r="O151" s="64"/>
      <c r="P151" s="44"/>
      <c r="Q151" s="44"/>
    </row>
    <row r="152" spans="3:17" ht="20.100000000000001" customHeight="1" x14ac:dyDescent="0.25">
      <c r="C152" s="60"/>
      <c r="D152" s="47"/>
      <c r="E152" s="44"/>
      <c r="F152" s="44"/>
      <c r="G152" s="61"/>
      <c r="H152" s="44"/>
      <c r="I152" s="44"/>
      <c r="J152" s="62"/>
      <c r="K152" s="63"/>
      <c r="L152" s="63"/>
      <c r="M152" s="63"/>
      <c r="N152" s="63"/>
      <c r="O152" s="64"/>
      <c r="P152" s="44"/>
      <c r="Q152" s="44"/>
    </row>
    <row r="153" spans="3:17" ht="20.100000000000001" customHeight="1" x14ac:dyDescent="0.25">
      <c r="C153" s="60"/>
      <c r="D153" s="47"/>
      <c r="E153" s="44"/>
      <c r="F153" s="44"/>
      <c r="G153" s="61"/>
      <c r="H153" s="44"/>
      <c r="I153" s="44"/>
      <c r="J153" s="62"/>
      <c r="K153" s="63"/>
      <c r="L153" s="63"/>
      <c r="M153" s="63"/>
      <c r="N153" s="63"/>
      <c r="O153" s="64"/>
      <c r="P153" s="44"/>
      <c r="Q153" s="44"/>
    </row>
    <row r="154" spans="3:17" ht="20.100000000000001" customHeight="1" x14ac:dyDescent="0.25">
      <c r="C154" s="60"/>
      <c r="D154" s="47"/>
      <c r="E154" s="44"/>
      <c r="F154" s="44"/>
      <c r="G154" s="61"/>
      <c r="H154" s="44"/>
      <c r="I154" s="44"/>
      <c r="J154" s="62"/>
      <c r="K154" s="63"/>
      <c r="L154" s="63"/>
      <c r="M154" s="63"/>
      <c r="N154" s="63"/>
      <c r="O154" s="64"/>
      <c r="P154" s="44"/>
      <c r="Q154" s="44"/>
    </row>
    <row r="155" spans="3:17" ht="20.100000000000001" customHeight="1" x14ac:dyDescent="0.25">
      <c r="C155" s="60"/>
      <c r="D155" s="47"/>
      <c r="E155" s="44"/>
      <c r="F155" s="44"/>
      <c r="G155" s="61"/>
      <c r="H155" s="44"/>
      <c r="I155" s="44"/>
      <c r="J155" s="62"/>
      <c r="K155" s="63"/>
      <c r="L155" s="63"/>
      <c r="M155" s="63"/>
      <c r="N155" s="63"/>
      <c r="O155" s="64"/>
      <c r="P155" s="44"/>
      <c r="Q155" s="44"/>
    </row>
    <row r="156" spans="3:17" ht="20.100000000000001" customHeight="1" x14ac:dyDescent="0.25">
      <c r="C156" s="60"/>
      <c r="D156" s="47"/>
      <c r="E156" s="44"/>
      <c r="F156" s="44"/>
      <c r="G156" s="61"/>
      <c r="H156" s="44"/>
      <c r="I156" s="44"/>
      <c r="J156" s="62"/>
      <c r="K156" s="63"/>
      <c r="L156" s="63"/>
      <c r="M156" s="63"/>
      <c r="N156" s="63"/>
      <c r="O156" s="64"/>
      <c r="P156" s="44"/>
      <c r="Q156" s="44"/>
    </row>
    <row r="157" spans="3:17" ht="20.100000000000001" customHeight="1" x14ac:dyDescent="0.25">
      <c r="C157" s="60"/>
      <c r="D157" s="47"/>
      <c r="E157" s="44"/>
      <c r="F157" s="44"/>
      <c r="G157" s="61"/>
      <c r="H157" s="44"/>
      <c r="I157" s="44"/>
      <c r="J157" s="62"/>
      <c r="K157" s="63"/>
      <c r="L157" s="63"/>
      <c r="M157" s="63"/>
      <c r="N157" s="63"/>
      <c r="O157" s="64"/>
      <c r="P157" s="44"/>
      <c r="Q157" s="44"/>
    </row>
    <row r="158" spans="3:17" ht="20.100000000000001" customHeight="1" x14ac:dyDescent="0.25">
      <c r="C158" s="60"/>
      <c r="D158" s="47"/>
      <c r="E158" s="44"/>
      <c r="F158" s="44"/>
      <c r="G158" s="61"/>
      <c r="H158" s="44"/>
      <c r="I158" s="44"/>
      <c r="J158" s="62"/>
      <c r="K158" s="63"/>
      <c r="L158" s="63"/>
      <c r="M158" s="63"/>
      <c r="N158" s="63"/>
      <c r="O158" s="64"/>
      <c r="P158" s="44"/>
      <c r="Q158" s="44"/>
    </row>
    <row r="159" spans="3:17" ht="20.100000000000001" customHeight="1" x14ac:dyDescent="0.25">
      <c r="C159" s="60"/>
      <c r="D159" s="47"/>
      <c r="E159" s="44"/>
      <c r="F159" s="44"/>
      <c r="G159" s="61"/>
      <c r="H159" s="44"/>
      <c r="I159" s="44"/>
      <c r="J159" s="62"/>
      <c r="K159" s="63"/>
      <c r="L159" s="63"/>
      <c r="M159" s="63"/>
      <c r="N159" s="63"/>
      <c r="O159" s="64"/>
      <c r="P159" s="44"/>
      <c r="Q159" s="44"/>
    </row>
    <row r="160" spans="3:17" ht="20.100000000000001" customHeight="1" x14ac:dyDescent="0.25">
      <c r="C160" s="60"/>
      <c r="D160" s="47"/>
      <c r="E160" s="44"/>
      <c r="F160" s="44"/>
      <c r="G160" s="61"/>
      <c r="H160" s="44"/>
      <c r="I160" s="44"/>
      <c r="J160" s="62"/>
      <c r="K160" s="63"/>
      <c r="L160" s="63"/>
      <c r="M160" s="63"/>
      <c r="N160" s="63"/>
      <c r="O160" s="64"/>
      <c r="P160" s="44"/>
      <c r="Q160" s="44"/>
    </row>
    <row r="161" spans="3:17" ht="20.100000000000001" customHeight="1" x14ac:dyDescent="0.25">
      <c r="C161" s="60"/>
      <c r="D161" s="47"/>
      <c r="E161" s="44"/>
      <c r="F161" s="44"/>
      <c r="G161" s="61"/>
      <c r="H161" s="44"/>
      <c r="I161" s="44"/>
      <c r="J161" s="62"/>
      <c r="K161" s="63"/>
      <c r="L161" s="63"/>
      <c r="M161" s="63"/>
      <c r="N161" s="63"/>
      <c r="O161" s="64"/>
      <c r="P161" s="44"/>
      <c r="Q161" s="44"/>
    </row>
    <row r="162" spans="3:17" ht="20.100000000000001" customHeight="1" x14ac:dyDescent="0.25">
      <c r="C162" s="60"/>
      <c r="D162" s="47"/>
      <c r="E162" s="44"/>
      <c r="F162" s="44"/>
      <c r="G162" s="61"/>
      <c r="H162" s="44"/>
      <c r="I162" s="44"/>
      <c r="J162" s="62"/>
      <c r="K162" s="63"/>
      <c r="L162" s="63"/>
      <c r="M162" s="63"/>
      <c r="N162" s="63"/>
      <c r="O162" s="64"/>
      <c r="P162" s="44"/>
      <c r="Q162" s="44"/>
    </row>
    <row r="163" spans="3:17" ht="20.100000000000001" customHeight="1" x14ac:dyDescent="0.25">
      <c r="C163" s="60"/>
      <c r="D163" s="47"/>
      <c r="E163" s="44"/>
      <c r="F163" s="44"/>
      <c r="G163" s="61"/>
      <c r="H163" s="44"/>
      <c r="I163" s="44"/>
      <c r="J163" s="62"/>
      <c r="K163" s="63"/>
      <c r="L163" s="63"/>
      <c r="M163" s="63"/>
      <c r="N163" s="63"/>
      <c r="O163" s="64"/>
      <c r="P163" s="44"/>
      <c r="Q163" s="44"/>
    </row>
    <row r="164" spans="3:17" ht="20.100000000000001" customHeight="1" x14ac:dyDescent="0.25">
      <c r="C164" s="60"/>
      <c r="D164" s="47"/>
      <c r="E164" s="44"/>
      <c r="F164" s="44"/>
      <c r="G164" s="61"/>
      <c r="H164" s="44"/>
      <c r="I164" s="44"/>
      <c r="J164" s="62"/>
      <c r="K164" s="63"/>
      <c r="L164" s="63"/>
      <c r="M164" s="63"/>
      <c r="N164" s="63"/>
      <c r="O164" s="64"/>
      <c r="P164" s="44"/>
      <c r="Q164" s="44"/>
    </row>
    <row r="165" spans="3:17" ht="20.100000000000001" customHeight="1" x14ac:dyDescent="0.25">
      <c r="C165" s="60"/>
      <c r="D165" s="47"/>
      <c r="E165" s="44"/>
      <c r="F165" s="44"/>
      <c r="G165" s="61"/>
      <c r="H165" s="44"/>
      <c r="I165" s="44"/>
      <c r="J165" s="62"/>
      <c r="K165" s="63"/>
      <c r="L165" s="63"/>
      <c r="M165" s="63"/>
      <c r="N165" s="63"/>
      <c r="O165" s="64"/>
      <c r="P165" s="44"/>
      <c r="Q165" s="44"/>
    </row>
    <row r="166" spans="3:17" ht="20.100000000000001" customHeight="1" x14ac:dyDescent="0.25">
      <c r="C166" s="60"/>
      <c r="D166" s="47"/>
      <c r="E166" s="44"/>
      <c r="F166" s="44"/>
      <c r="G166" s="61"/>
      <c r="H166" s="44"/>
      <c r="I166" s="44"/>
      <c r="J166" s="62"/>
      <c r="K166" s="63"/>
      <c r="L166" s="63"/>
      <c r="M166" s="63"/>
      <c r="N166" s="63"/>
      <c r="O166" s="64"/>
      <c r="P166" s="44"/>
      <c r="Q166" s="44"/>
    </row>
    <row r="167" spans="3:17" ht="20.100000000000001" customHeight="1" x14ac:dyDescent="0.25">
      <c r="C167" s="60"/>
      <c r="D167" s="47"/>
      <c r="E167" s="44"/>
      <c r="F167" s="44"/>
      <c r="G167" s="61"/>
      <c r="H167" s="44"/>
      <c r="I167" s="44"/>
      <c r="J167" s="62"/>
      <c r="K167" s="63"/>
      <c r="L167" s="63"/>
      <c r="M167" s="63"/>
      <c r="N167" s="63"/>
      <c r="O167" s="64"/>
      <c r="P167" s="44"/>
      <c r="Q167" s="44"/>
    </row>
    <row r="168" spans="3:17" ht="20.100000000000001" customHeight="1" x14ac:dyDescent="0.25">
      <c r="C168" s="60"/>
      <c r="D168" s="47"/>
      <c r="E168" s="44"/>
      <c r="F168" s="44"/>
      <c r="G168" s="61"/>
      <c r="H168" s="44"/>
      <c r="I168" s="44"/>
      <c r="J168" s="62"/>
      <c r="K168" s="63"/>
      <c r="L168" s="63"/>
      <c r="M168" s="63"/>
      <c r="N168" s="63"/>
      <c r="O168" s="64"/>
      <c r="P168" s="44"/>
      <c r="Q168" s="44"/>
    </row>
    <row r="169" spans="3:17" ht="20.100000000000001" customHeight="1" x14ac:dyDescent="0.25">
      <c r="C169" s="60"/>
      <c r="D169" s="47"/>
      <c r="E169" s="44"/>
      <c r="F169" s="44"/>
      <c r="G169" s="61"/>
      <c r="H169" s="44"/>
      <c r="I169" s="44"/>
      <c r="J169" s="62"/>
      <c r="K169" s="63"/>
      <c r="L169" s="63"/>
      <c r="M169" s="63"/>
      <c r="N169" s="63"/>
      <c r="O169" s="64"/>
      <c r="P169" s="44"/>
      <c r="Q169" s="44"/>
    </row>
    <row r="170" spans="3:17" ht="20.100000000000001" customHeight="1" x14ac:dyDescent="0.25">
      <c r="C170" s="60"/>
      <c r="D170" s="47"/>
      <c r="E170" s="44"/>
      <c r="F170" s="44"/>
      <c r="G170" s="61"/>
      <c r="H170" s="44"/>
      <c r="I170" s="44"/>
      <c r="J170" s="62"/>
      <c r="K170" s="63"/>
      <c r="L170" s="63"/>
      <c r="M170" s="63"/>
      <c r="N170" s="63"/>
      <c r="O170" s="64"/>
      <c r="P170" s="44"/>
      <c r="Q170" s="44"/>
    </row>
    <row r="171" spans="3:17" ht="20.100000000000001" customHeight="1" x14ac:dyDescent="0.25">
      <c r="C171" s="60"/>
      <c r="D171" s="47"/>
      <c r="E171" s="44"/>
      <c r="F171" s="44"/>
      <c r="G171" s="61"/>
      <c r="H171" s="44"/>
      <c r="I171" s="44"/>
      <c r="J171" s="62"/>
      <c r="K171" s="63"/>
      <c r="L171" s="63"/>
      <c r="M171" s="63"/>
      <c r="N171" s="63"/>
      <c r="O171" s="64"/>
      <c r="P171" s="44"/>
      <c r="Q171" s="44"/>
    </row>
    <row r="172" spans="3:17" ht="20.100000000000001" customHeight="1" x14ac:dyDescent="0.25">
      <c r="C172" s="60"/>
      <c r="D172" s="47"/>
      <c r="E172" s="44"/>
      <c r="F172" s="44"/>
      <c r="G172" s="61"/>
      <c r="H172" s="44"/>
      <c r="I172" s="44"/>
      <c r="J172" s="62"/>
      <c r="K172" s="63"/>
      <c r="L172" s="63"/>
      <c r="M172" s="63"/>
      <c r="N172" s="63"/>
      <c r="O172" s="64"/>
      <c r="P172" s="44"/>
      <c r="Q172" s="44"/>
    </row>
    <row r="173" spans="3:17" ht="20.100000000000001" customHeight="1" x14ac:dyDescent="0.25">
      <c r="C173" s="60"/>
      <c r="D173" s="47"/>
      <c r="E173" s="44"/>
      <c r="F173" s="44"/>
      <c r="G173" s="61"/>
      <c r="H173" s="44"/>
      <c r="I173" s="44"/>
      <c r="J173" s="62"/>
      <c r="K173" s="63"/>
      <c r="L173" s="63"/>
      <c r="M173" s="63"/>
      <c r="N173" s="63"/>
      <c r="O173" s="64"/>
      <c r="P173" s="44"/>
      <c r="Q173" s="44"/>
    </row>
    <row r="174" spans="3:17" ht="20.100000000000001" customHeight="1" x14ac:dyDescent="0.25">
      <c r="C174" s="60"/>
      <c r="D174" s="47"/>
      <c r="E174" s="44"/>
      <c r="F174" s="44"/>
      <c r="G174" s="61"/>
      <c r="H174" s="44"/>
      <c r="I174" s="44"/>
      <c r="J174" s="62"/>
      <c r="K174" s="63"/>
      <c r="L174" s="63"/>
      <c r="M174" s="63"/>
      <c r="N174" s="63"/>
      <c r="O174" s="64"/>
      <c r="P174" s="44"/>
      <c r="Q174" s="44"/>
    </row>
    <row r="175" spans="3:17" ht="20.100000000000001" customHeight="1" x14ac:dyDescent="0.25">
      <c r="C175" s="60"/>
      <c r="D175" s="47"/>
      <c r="E175" s="44"/>
      <c r="F175" s="44"/>
      <c r="G175" s="61"/>
      <c r="H175" s="44"/>
      <c r="I175" s="44"/>
      <c r="J175" s="62"/>
      <c r="K175" s="63"/>
      <c r="L175" s="63"/>
      <c r="M175" s="63"/>
      <c r="N175" s="63"/>
      <c r="O175" s="64"/>
      <c r="P175" s="44"/>
      <c r="Q175" s="44"/>
    </row>
    <row r="176" spans="3:17" ht="20.100000000000001" customHeight="1" x14ac:dyDescent="0.25">
      <c r="C176" s="60"/>
      <c r="D176" s="47"/>
      <c r="E176" s="44"/>
      <c r="F176" s="44"/>
      <c r="G176" s="61"/>
      <c r="H176" s="44"/>
      <c r="I176" s="44"/>
      <c r="J176" s="62"/>
      <c r="K176" s="63"/>
      <c r="L176" s="63"/>
      <c r="M176" s="63"/>
      <c r="N176" s="63"/>
      <c r="O176" s="64"/>
      <c r="P176" s="44"/>
      <c r="Q176" s="44"/>
    </row>
    <row r="177" spans="3:17" ht="20.100000000000001" customHeight="1" x14ac:dyDescent="0.25">
      <c r="C177" s="60"/>
      <c r="D177" s="47"/>
      <c r="E177" s="44"/>
      <c r="F177" s="44"/>
      <c r="G177" s="61"/>
      <c r="H177" s="44"/>
      <c r="I177" s="44"/>
      <c r="J177" s="62"/>
      <c r="K177" s="63"/>
      <c r="L177" s="63"/>
      <c r="M177" s="63"/>
      <c r="N177" s="63"/>
      <c r="O177" s="64"/>
      <c r="P177" s="44"/>
      <c r="Q177" s="44"/>
    </row>
    <row r="178" spans="3:17" ht="20.100000000000001" customHeight="1" x14ac:dyDescent="0.25">
      <c r="C178" s="60"/>
      <c r="D178" s="47"/>
      <c r="E178" s="44"/>
      <c r="F178" s="44"/>
      <c r="G178" s="61"/>
      <c r="H178" s="44"/>
      <c r="I178" s="44"/>
      <c r="J178" s="62"/>
      <c r="K178" s="63"/>
      <c r="L178" s="63"/>
      <c r="M178" s="63"/>
      <c r="N178" s="63"/>
      <c r="O178" s="64"/>
      <c r="P178" s="44"/>
      <c r="Q178" s="44"/>
    </row>
    <row r="179" spans="3:17" ht="20.100000000000001" customHeight="1" x14ac:dyDescent="0.25">
      <c r="C179" s="60"/>
      <c r="D179" s="47"/>
      <c r="E179" s="44"/>
      <c r="F179" s="44"/>
      <c r="G179" s="61"/>
      <c r="H179" s="44"/>
      <c r="I179" s="44"/>
      <c r="J179" s="62"/>
      <c r="K179" s="63"/>
      <c r="L179" s="63"/>
      <c r="M179" s="63"/>
      <c r="N179" s="63"/>
      <c r="O179" s="64"/>
      <c r="P179" s="44"/>
      <c r="Q179" s="44"/>
    </row>
    <row r="180" spans="3:17" ht="20.100000000000001" customHeight="1" x14ac:dyDescent="0.25">
      <c r="C180" s="60"/>
      <c r="D180" s="47"/>
      <c r="E180" s="44"/>
      <c r="F180" s="44"/>
      <c r="G180" s="61"/>
      <c r="H180" s="44"/>
      <c r="I180" s="44"/>
      <c r="J180" s="62"/>
      <c r="K180" s="63"/>
      <c r="L180" s="63"/>
      <c r="M180" s="63"/>
      <c r="N180" s="63"/>
      <c r="O180" s="64"/>
      <c r="P180" s="44"/>
      <c r="Q180" s="44"/>
    </row>
    <row r="181" spans="3:17" ht="20.100000000000001" customHeight="1" x14ac:dyDescent="0.25">
      <c r="C181" s="60"/>
      <c r="D181" s="47"/>
      <c r="E181" s="44"/>
      <c r="F181" s="44"/>
      <c r="G181" s="61"/>
      <c r="H181" s="44"/>
      <c r="I181" s="44"/>
      <c r="J181" s="62"/>
      <c r="K181" s="63"/>
      <c r="L181" s="63"/>
      <c r="M181" s="63"/>
      <c r="N181" s="63"/>
      <c r="O181" s="64"/>
      <c r="P181" s="44"/>
      <c r="Q181" s="44"/>
    </row>
    <row r="182" spans="3:17" ht="20.100000000000001" customHeight="1" x14ac:dyDescent="0.25">
      <c r="C182" s="60"/>
      <c r="D182" s="47"/>
      <c r="E182" s="44"/>
      <c r="F182" s="44"/>
      <c r="G182" s="61"/>
      <c r="H182" s="44"/>
      <c r="I182" s="44"/>
      <c r="J182" s="62"/>
      <c r="K182" s="63"/>
      <c r="L182" s="63"/>
      <c r="M182" s="63"/>
      <c r="N182" s="63"/>
      <c r="O182" s="64"/>
      <c r="P182" s="44"/>
      <c r="Q182" s="44"/>
    </row>
    <row r="183" spans="3:17" ht="20.100000000000001" customHeight="1" x14ac:dyDescent="0.25">
      <c r="C183" s="60"/>
      <c r="D183" s="47"/>
      <c r="E183" s="44"/>
      <c r="F183" s="44"/>
      <c r="G183" s="61"/>
      <c r="H183" s="44"/>
      <c r="I183" s="44"/>
      <c r="J183" s="62"/>
      <c r="K183" s="63"/>
      <c r="L183" s="63"/>
      <c r="M183" s="63"/>
      <c r="N183" s="63"/>
      <c r="O183" s="64"/>
      <c r="P183" s="44"/>
      <c r="Q183" s="44"/>
    </row>
    <row r="184" spans="3:17" ht="20.100000000000001" customHeight="1" x14ac:dyDescent="0.25">
      <c r="C184" s="60"/>
      <c r="D184" s="47"/>
      <c r="E184" s="44"/>
      <c r="F184" s="44"/>
      <c r="G184" s="61"/>
      <c r="H184" s="44"/>
      <c r="I184" s="44"/>
      <c r="J184" s="62"/>
      <c r="K184" s="63"/>
      <c r="L184" s="63"/>
      <c r="M184" s="63"/>
      <c r="N184" s="63"/>
      <c r="O184" s="64"/>
      <c r="P184" s="44"/>
      <c r="Q184" s="44"/>
    </row>
    <row r="185" spans="3:17" ht="20.100000000000001" customHeight="1" x14ac:dyDescent="0.25">
      <c r="C185" s="60"/>
      <c r="D185" s="47"/>
      <c r="E185" s="44"/>
      <c r="F185" s="44"/>
      <c r="G185" s="61"/>
      <c r="H185" s="44"/>
      <c r="I185" s="44"/>
      <c r="J185" s="62"/>
      <c r="K185" s="63"/>
      <c r="L185" s="63"/>
      <c r="M185" s="63"/>
      <c r="N185" s="63"/>
      <c r="O185" s="64"/>
      <c r="P185" s="44"/>
      <c r="Q185" s="44"/>
    </row>
    <row r="186" spans="3:17" ht="20.100000000000001" customHeight="1" x14ac:dyDescent="0.25">
      <c r="C186" s="60"/>
      <c r="D186" s="47"/>
      <c r="E186" s="44"/>
      <c r="F186" s="44"/>
      <c r="G186" s="61"/>
      <c r="H186" s="44"/>
      <c r="I186" s="44"/>
      <c r="J186" s="62"/>
      <c r="K186" s="63"/>
      <c r="L186" s="63"/>
      <c r="M186" s="63"/>
      <c r="N186" s="63"/>
      <c r="O186" s="64"/>
      <c r="P186" s="44"/>
      <c r="Q186" s="44"/>
    </row>
    <row r="187" spans="3:17" ht="20.100000000000001" customHeight="1" x14ac:dyDescent="0.25">
      <c r="C187" s="60"/>
      <c r="D187" s="47"/>
      <c r="E187" s="44"/>
      <c r="F187" s="44"/>
      <c r="G187" s="61"/>
      <c r="H187" s="44"/>
      <c r="I187" s="44"/>
      <c r="J187" s="62"/>
      <c r="K187" s="63"/>
      <c r="L187" s="63"/>
      <c r="M187" s="63"/>
      <c r="N187" s="63"/>
      <c r="O187" s="64"/>
      <c r="P187" s="44"/>
      <c r="Q187" s="44"/>
    </row>
    <row r="188" spans="3:17" ht="20.100000000000001" customHeight="1" x14ac:dyDescent="0.25">
      <c r="C188" s="60"/>
      <c r="D188" s="47"/>
      <c r="E188" s="44"/>
      <c r="F188" s="44"/>
      <c r="G188" s="61"/>
      <c r="H188" s="44"/>
      <c r="I188" s="44"/>
      <c r="J188" s="62"/>
      <c r="K188" s="63"/>
      <c r="L188" s="63"/>
      <c r="M188" s="63"/>
      <c r="N188" s="63"/>
      <c r="O188" s="64"/>
      <c r="P188" s="44"/>
      <c r="Q188" s="44"/>
    </row>
    <row r="189" spans="3:17" ht="20.100000000000001" customHeight="1" x14ac:dyDescent="0.25">
      <c r="C189" s="60"/>
      <c r="D189" s="47"/>
      <c r="E189" s="44"/>
      <c r="F189" s="44"/>
      <c r="G189" s="61"/>
      <c r="H189" s="44"/>
      <c r="I189" s="44"/>
      <c r="J189" s="62"/>
      <c r="K189" s="63"/>
      <c r="L189" s="63"/>
      <c r="M189" s="63"/>
      <c r="N189" s="63"/>
      <c r="O189" s="64"/>
      <c r="P189" s="44"/>
      <c r="Q189" s="44"/>
    </row>
    <row r="190" spans="3:17" ht="20.100000000000001" customHeight="1" x14ac:dyDescent="0.25">
      <c r="C190" s="60"/>
      <c r="D190" s="47"/>
      <c r="E190" s="44"/>
      <c r="F190" s="44"/>
      <c r="G190" s="61"/>
      <c r="H190" s="44"/>
      <c r="I190" s="44"/>
      <c r="J190" s="62"/>
      <c r="K190" s="63"/>
      <c r="L190" s="63"/>
      <c r="M190" s="63"/>
      <c r="N190" s="63"/>
      <c r="O190" s="64"/>
      <c r="P190" s="44"/>
      <c r="Q190" s="44"/>
    </row>
    <row r="191" spans="3:17" ht="20.100000000000001" customHeight="1" x14ac:dyDescent="0.25">
      <c r="C191" s="60"/>
      <c r="D191" s="47"/>
      <c r="E191" s="44"/>
      <c r="F191" s="44"/>
      <c r="G191" s="61"/>
      <c r="H191" s="44"/>
      <c r="I191" s="44"/>
      <c r="J191" s="62"/>
      <c r="K191" s="63"/>
      <c r="L191" s="63"/>
      <c r="M191" s="63"/>
      <c r="N191" s="63"/>
      <c r="O191" s="64"/>
      <c r="P191" s="44"/>
      <c r="Q191" s="44"/>
    </row>
    <row r="192" spans="3:17" ht="20.100000000000001" customHeight="1" x14ac:dyDescent="0.25">
      <c r="C192" s="60"/>
      <c r="D192" s="47"/>
      <c r="E192" s="44"/>
      <c r="F192" s="44"/>
      <c r="G192" s="61"/>
      <c r="H192" s="44"/>
      <c r="I192" s="44"/>
      <c r="J192" s="62"/>
      <c r="K192" s="63"/>
      <c r="L192" s="63"/>
      <c r="M192" s="63"/>
      <c r="N192" s="63"/>
      <c r="O192" s="64"/>
      <c r="P192" s="44"/>
      <c r="Q192" s="44"/>
    </row>
    <row r="193" spans="3:17" ht="20.100000000000001" customHeight="1" x14ac:dyDescent="0.25">
      <c r="C193" s="60"/>
      <c r="D193" s="47"/>
      <c r="E193" s="44"/>
      <c r="F193" s="44"/>
      <c r="G193" s="61"/>
      <c r="H193" s="44"/>
      <c r="I193" s="44"/>
      <c r="J193" s="62"/>
      <c r="K193" s="63"/>
      <c r="L193" s="63"/>
      <c r="M193" s="63"/>
      <c r="N193" s="63"/>
      <c r="O193" s="64"/>
      <c r="P193" s="44"/>
      <c r="Q193" s="44"/>
    </row>
    <row r="194" spans="3:17" ht="20.100000000000001" customHeight="1" x14ac:dyDescent="0.25">
      <c r="C194" s="60"/>
      <c r="D194" s="47"/>
      <c r="E194" s="44"/>
      <c r="F194" s="44"/>
      <c r="G194" s="61"/>
      <c r="H194" s="44"/>
      <c r="I194" s="44"/>
      <c r="J194" s="62"/>
      <c r="K194" s="63"/>
      <c r="L194" s="63"/>
      <c r="M194" s="63"/>
      <c r="N194" s="63"/>
      <c r="O194" s="64"/>
      <c r="P194" s="44"/>
      <c r="Q194" s="44"/>
    </row>
    <row r="195" spans="3:17" ht="20.100000000000001" customHeight="1" x14ac:dyDescent="0.25">
      <c r="C195" s="60"/>
      <c r="D195" s="47"/>
      <c r="E195" s="44"/>
      <c r="F195" s="44"/>
      <c r="G195" s="61"/>
      <c r="H195" s="44"/>
      <c r="I195" s="44"/>
      <c r="J195" s="62"/>
      <c r="K195" s="63"/>
      <c r="L195" s="63"/>
      <c r="M195" s="63"/>
      <c r="N195" s="63"/>
      <c r="O195" s="64"/>
      <c r="P195" s="44"/>
      <c r="Q195" s="44"/>
    </row>
    <row r="196" spans="3:17" ht="20.100000000000001" customHeight="1" x14ac:dyDescent="0.25">
      <c r="C196" s="60"/>
      <c r="D196" s="47"/>
      <c r="E196" s="44"/>
      <c r="F196" s="44"/>
      <c r="G196" s="61"/>
      <c r="H196" s="44"/>
      <c r="I196" s="44"/>
      <c r="J196" s="62"/>
      <c r="K196" s="63"/>
      <c r="L196" s="63"/>
      <c r="M196" s="63"/>
      <c r="N196" s="63"/>
      <c r="O196" s="64"/>
      <c r="P196" s="44"/>
      <c r="Q196" s="44"/>
    </row>
    <row r="197" spans="3:17" ht="20.100000000000001" customHeight="1" x14ac:dyDescent="0.25">
      <c r="C197" s="60"/>
      <c r="D197" s="47"/>
      <c r="E197" s="44"/>
      <c r="F197" s="44"/>
      <c r="G197" s="61"/>
      <c r="H197" s="44"/>
      <c r="I197" s="44"/>
      <c r="J197" s="62"/>
      <c r="K197" s="63"/>
      <c r="L197" s="63"/>
      <c r="M197" s="63"/>
      <c r="N197" s="63"/>
      <c r="O197" s="64"/>
      <c r="P197" s="44"/>
      <c r="Q197" s="44"/>
    </row>
    <row r="198" spans="3:17" ht="20.100000000000001" customHeight="1" x14ac:dyDescent="0.25">
      <c r="C198" s="60"/>
      <c r="D198" s="47"/>
      <c r="E198" s="44"/>
      <c r="F198" s="44"/>
      <c r="G198" s="61"/>
      <c r="H198" s="44"/>
      <c r="I198" s="44"/>
      <c r="J198" s="62"/>
      <c r="K198" s="63"/>
      <c r="L198" s="63"/>
      <c r="M198" s="63"/>
      <c r="N198" s="63"/>
      <c r="O198" s="64"/>
      <c r="P198" s="44"/>
      <c r="Q198" s="44"/>
    </row>
    <row r="199" spans="3:17" ht="20.100000000000001" customHeight="1" x14ac:dyDescent="0.25">
      <c r="C199" s="60"/>
      <c r="D199" s="47"/>
      <c r="E199" s="44"/>
      <c r="F199" s="44"/>
      <c r="G199" s="61"/>
      <c r="H199" s="44"/>
      <c r="I199" s="44"/>
      <c r="J199" s="62"/>
      <c r="K199" s="63"/>
      <c r="L199" s="63"/>
      <c r="M199" s="63"/>
      <c r="N199" s="63"/>
      <c r="O199" s="64"/>
      <c r="P199" s="44"/>
      <c r="Q199" s="44"/>
    </row>
    <row r="200" spans="3:17" ht="20.100000000000001" customHeight="1" x14ac:dyDescent="0.25">
      <c r="C200" s="60"/>
      <c r="D200" s="47"/>
      <c r="E200" s="44"/>
      <c r="F200" s="44"/>
      <c r="G200" s="61"/>
      <c r="H200" s="44"/>
      <c r="I200" s="44"/>
      <c r="J200" s="62"/>
      <c r="K200" s="63"/>
      <c r="L200" s="63"/>
      <c r="M200" s="63"/>
      <c r="N200" s="63"/>
      <c r="O200" s="64"/>
      <c r="P200" s="44"/>
      <c r="Q200" s="44"/>
    </row>
    <row r="201" spans="3:17" ht="20.100000000000001" customHeight="1" x14ac:dyDescent="0.25">
      <c r="C201" s="60"/>
      <c r="D201" s="47"/>
      <c r="E201" s="44"/>
      <c r="F201" s="44"/>
      <c r="G201" s="61"/>
      <c r="H201" s="44"/>
      <c r="I201" s="44"/>
      <c r="J201" s="62"/>
      <c r="K201" s="63"/>
      <c r="L201" s="63"/>
      <c r="M201" s="63"/>
      <c r="N201" s="63"/>
      <c r="O201" s="64"/>
      <c r="P201" s="44"/>
      <c r="Q201" s="44"/>
    </row>
    <row r="202" spans="3:17" ht="20.100000000000001" customHeight="1" x14ac:dyDescent="0.25">
      <c r="C202" s="60"/>
      <c r="D202" s="47"/>
      <c r="E202" s="44"/>
      <c r="F202" s="44"/>
      <c r="G202" s="61"/>
      <c r="H202" s="44"/>
      <c r="I202" s="44"/>
      <c r="J202" s="62"/>
      <c r="K202" s="63"/>
      <c r="L202" s="63"/>
      <c r="M202" s="63"/>
      <c r="N202" s="63"/>
      <c r="O202" s="64"/>
      <c r="P202" s="44"/>
      <c r="Q202" s="44"/>
    </row>
    <row r="203" spans="3:17" ht="20.100000000000001" customHeight="1" x14ac:dyDescent="0.25">
      <c r="C203" s="60"/>
      <c r="D203" s="47"/>
      <c r="E203" s="44"/>
      <c r="F203" s="44"/>
      <c r="G203" s="61"/>
      <c r="H203" s="44"/>
      <c r="I203" s="44"/>
      <c r="J203" s="62"/>
      <c r="K203" s="63"/>
      <c r="L203" s="63"/>
      <c r="M203" s="63"/>
      <c r="N203" s="63"/>
      <c r="O203" s="64"/>
      <c r="P203" s="44"/>
      <c r="Q203" s="44"/>
    </row>
    <row r="204" spans="3:17" ht="20.100000000000001" customHeight="1" x14ac:dyDescent="0.25">
      <c r="C204" s="60"/>
      <c r="D204" s="47"/>
      <c r="E204" s="44"/>
      <c r="F204" s="44"/>
      <c r="G204" s="61"/>
      <c r="H204" s="44"/>
      <c r="I204" s="44"/>
      <c r="J204" s="62"/>
      <c r="K204" s="63"/>
      <c r="L204" s="63"/>
      <c r="M204" s="63"/>
      <c r="N204" s="63"/>
      <c r="O204" s="64"/>
      <c r="P204" s="44"/>
      <c r="Q204" s="44"/>
    </row>
    <row r="205" spans="3:17" ht="20.100000000000001" customHeight="1" x14ac:dyDescent="0.25">
      <c r="C205" s="60"/>
      <c r="D205" s="47"/>
      <c r="E205" s="44"/>
      <c r="F205" s="44"/>
      <c r="G205" s="61"/>
      <c r="H205" s="44"/>
      <c r="I205" s="44"/>
      <c r="J205" s="62"/>
      <c r="K205" s="63"/>
      <c r="L205" s="63"/>
      <c r="M205" s="63"/>
      <c r="N205" s="63"/>
      <c r="O205" s="64"/>
      <c r="P205" s="44"/>
      <c r="Q205" s="44"/>
    </row>
    <row r="206" spans="3:17" ht="20.100000000000001" customHeight="1" x14ac:dyDescent="0.25">
      <c r="C206" s="60"/>
      <c r="D206" s="47"/>
      <c r="E206" s="44"/>
      <c r="F206" s="44"/>
      <c r="G206" s="61"/>
      <c r="H206" s="44"/>
      <c r="I206" s="44"/>
      <c r="J206" s="62"/>
      <c r="K206" s="63"/>
      <c r="L206" s="63"/>
      <c r="M206" s="63"/>
      <c r="N206" s="63"/>
      <c r="O206" s="64"/>
      <c r="P206" s="44"/>
      <c r="Q206" s="44"/>
    </row>
    <row r="207" spans="3:17" ht="20.100000000000001" customHeight="1" x14ac:dyDescent="0.25"/>
    <row r="208" spans="3:17" ht="20.100000000000001" customHeight="1" x14ac:dyDescent="0.25"/>
    <row r="209" ht="20.100000000000001" customHeight="1" x14ac:dyDescent="0.25"/>
    <row r="210" ht="20.100000000000001" customHeight="1" x14ac:dyDescent="0.25"/>
    <row r="211" ht="20.100000000000001" customHeight="1" x14ac:dyDescent="0.25"/>
    <row r="212" ht="20.100000000000001" customHeight="1" x14ac:dyDescent="0.25"/>
    <row r="213" ht="20.100000000000001" customHeight="1" x14ac:dyDescent="0.25"/>
    <row r="214" ht="20.100000000000001" customHeight="1" x14ac:dyDescent="0.25"/>
    <row r="215" ht="20.100000000000001" customHeight="1" x14ac:dyDescent="0.25"/>
    <row r="216" ht="20.100000000000001" customHeight="1" x14ac:dyDescent="0.25"/>
    <row r="217" ht="20.100000000000001" customHeight="1" x14ac:dyDescent="0.25"/>
    <row r="218" ht="20.100000000000001" customHeight="1" x14ac:dyDescent="0.25"/>
    <row r="219" ht="20.100000000000001" customHeight="1" x14ac:dyDescent="0.25"/>
    <row r="220" ht="20.100000000000001" customHeight="1" x14ac:dyDescent="0.25"/>
    <row r="221" ht="20.100000000000001" customHeight="1" x14ac:dyDescent="0.25"/>
    <row r="222" ht="20.100000000000001" customHeight="1" x14ac:dyDescent="0.25"/>
    <row r="223" ht="20.100000000000001" customHeight="1" x14ac:dyDescent="0.25"/>
    <row r="224" ht="20.100000000000001" customHeight="1" x14ac:dyDescent="0.25"/>
    <row r="225" ht="20.100000000000001" customHeight="1" x14ac:dyDescent="0.25"/>
    <row r="226" ht="20.100000000000001" customHeight="1" x14ac:dyDescent="0.25"/>
    <row r="227" ht="20.100000000000001" customHeight="1" x14ac:dyDescent="0.25"/>
    <row r="228" ht="20.100000000000001" customHeight="1" x14ac:dyDescent="0.25"/>
    <row r="229" ht="20.100000000000001" customHeight="1" x14ac:dyDescent="0.25"/>
    <row r="230" ht="20.100000000000001" customHeight="1" x14ac:dyDescent="0.25"/>
    <row r="231" ht="20.100000000000001" customHeight="1" x14ac:dyDescent="0.25"/>
    <row r="232" ht="20.100000000000001" customHeight="1" x14ac:dyDescent="0.25"/>
    <row r="233" ht="20.100000000000001" customHeight="1" x14ac:dyDescent="0.25"/>
    <row r="234" ht="20.100000000000001" customHeight="1" x14ac:dyDescent="0.25"/>
    <row r="235" ht="20.100000000000001" customHeight="1" x14ac:dyDescent="0.25"/>
    <row r="236" ht="20.100000000000001" customHeight="1" x14ac:dyDescent="0.25"/>
    <row r="237" ht="20.100000000000001" customHeight="1" x14ac:dyDescent="0.25"/>
    <row r="238" ht="20.100000000000001" customHeight="1" x14ac:dyDescent="0.25"/>
    <row r="239" ht="20.100000000000001" customHeight="1" x14ac:dyDescent="0.25"/>
    <row r="240" ht="20.100000000000001" customHeight="1" x14ac:dyDescent="0.25"/>
    <row r="241" ht="20.100000000000001" customHeight="1" x14ac:dyDescent="0.25"/>
    <row r="242" ht="20.100000000000001" customHeight="1" x14ac:dyDescent="0.25"/>
    <row r="243" ht="20.100000000000001" customHeight="1" x14ac:dyDescent="0.25"/>
    <row r="244" ht="20.100000000000001" customHeight="1" x14ac:dyDescent="0.25"/>
    <row r="245" ht="20.100000000000001" customHeight="1" x14ac:dyDescent="0.25"/>
    <row r="246" ht="20.100000000000001" customHeight="1" x14ac:dyDescent="0.25"/>
    <row r="247" ht="20.100000000000001" customHeight="1" x14ac:dyDescent="0.25"/>
    <row r="248" ht="20.100000000000001" customHeight="1" x14ac:dyDescent="0.25"/>
    <row r="249" ht="20.100000000000001" customHeight="1" x14ac:dyDescent="0.25"/>
    <row r="250" ht="20.100000000000001" customHeight="1" x14ac:dyDescent="0.25"/>
    <row r="251" ht="20.100000000000001" customHeight="1" x14ac:dyDescent="0.25"/>
    <row r="252" ht="20.100000000000001" customHeight="1" x14ac:dyDescent="0.25"/>
    <row r="253" ht="20.100000000000001" customHeight="1" x14ac:dyDescent="0.25"/>
    <row r="254" ht="20.100000000000001" customHeight="1" x14ac:dyDescent="0.25"/>
    <row r="255" ht="20.100000000000001" customHeight="1" x14ac:dyDescent="0.25"/>
    <row r="256" ht="20.100000000000001" customHeight="1" x14ac:dyDescent="0.25"/>
    <row r="257" ht="20.100000000000001" customHeight="1" x14ac:dyDescent="0.25"/>
    <row r="258" ht="20.100000000000001" customHeight="1" x14ac:dyDescent="0.25"/>
    <row r="259" ht="20.100000000000001" customHeight="1" x14ac:dyDescent="0.25"/>
    <row r="260" ht="20.100000000000001" customHeight="1" x14ac:dyDescent="0.25"/>
    <row r="261" ht="20.100000000000001" customHeight="1" x14ac:dyDescent="0.25"/>
    <row r="262" ht="20.100000000000001" customHeight="1" x14ac:dyDescent="0.25"/>
    <row r="263" ht="20.100000000000001" customHeight="1" x14ac:dyDescent="0.25"/>
    <row r="264" ht="20.100000000000001" customHeight="1" x14ac:dyDescent="0.25"/>
    <row r="265" ht="20.100000000000001" customHeight="1" x14ac:dyDescent="0.25"/>
    <row r="266" ht="20.100000000000001" customHeight="1" x14ac:dyDescent="0.25"/>
    <row r="267" ht="20.100000000000001" customHeight="1" x14ac:dyDescent="0.25"/>
    <row r="268" ht="20.100000000000001" customHeight="1" x14ac:dyDescent="0.25"/>
    <row r="269" ht="20.100000000000001" customHeight="1" x14ac:dyDescent="0.25"/>
    <row r="270" ht="20.100000000000001" customHeight="1" x14ac:dyDescent="0.25"/>
    <row r="271" ht="20.100000000000001" customHeight="1" x14ac:dyDescent="0.25"/>
    <row r="272" ht="20.100000000000001" customHeight="1" x14ac:dyDescent="0.25"/>
    <row r="273" ht="20.100000000000001" customHeight="1" x14ac:dyDescent="0.25"/>
    <row r="274" ht="20.100000000000001" customHeight="1" x14ac:dyDescent="0.25"/>
    <row r="275" ht="20.100000000000001" customHeight="1" x14ac:dyDescent="0.25"/>
    <row r="276" ht="20.100000000000001" customHeight="1" x14ac:dyDescent="0.25"/>
    <row r="277" ht="20.100000000000001" customHeight="1" x14ac:dyDescent="0.25"/>
    <row r="278" ht="20.100000000000001" customHeight="1" x14ac:dyDescent="0.25"/>
    <row r="279" ht="20.100000000000001" customHeight="1" x14ac:dyDescent="0.25"/>
    <row r="280" ht="20.100000000000001" customHeight="1" x14ac:dyDescent="0.25"/>
    <row r="281" ht="20.100000000000001" customHeight="1" x14ac:dyDescent="0.25"/>
    <row r="282" ht="20.100000000000001" customHeight="1" x14ac:dyDescent="0.25"/>
    <row r="283" ht="20.100000000000001" customHeight="1" x14ac:dyDescent="0.25"/>
    <row r="284" ht="20.100000000000001" customHeight="1" x14ac:dyDescent="0.25"/>
    <row r="285" ht="20.100000000000001" customHeight="1" x14ac:dyDescent="0.25"/>
    <row r="286" ht="20.100000000000001" customHeight="1" x14ac:dyDescent="0.25"/>
    <row r="287" ht="20.100000000000001" customHeight="1" x14ac:dyDescent="0.25"/>
    <row r="288" ht="20.100000000000001" customHeight="1" x14ac:dyDescent="0.25"/>
    <row r="289" ht="20.100000000000001" customHeight="1" x14ac:dyDescent="0.25"/>
    <row r="290" ht="20.100000000000001" customHeight="1" x14ac:dyDescent="0.25"/>
    <row r="291" ht="20.100000000000001" customHeight="1" x14ac:dyDescent="0.25"/>
    <row r="292" ht="20.100000000000001" customHeight="1" x14ac:dyDescent="0.25"/>
    <row r="293" ht="20.100000000000001" customHeight="1" x14ac:dyDescent="0.25"/>
    <row r="294" ht="20.100000000000001" customHeight="1" x14ac:dyDescent="0.25"/>
    <row r="295" ht="20.100000000000001" customHeight="1" x14ac:dyDescent="0.25"/>
    <row r="296" ht="20.100000000000001" customHeight="1" x14ac:dyDescent="0.25"/>
    <row r="297" ht="20.100000000000001" customHeight="1" x14ac:dyDescent="0.25"/>
    <row r="298" ht="20.100000000000001" customHeight="1" x14ac:dyDescent="0.25"/>
    <row r="299" ht="20.100000000000001" customHeight="1" x14ac:dyDescent="0.25"/>
    <row r="300" ht="20.100000000000001" customHeight="1" x14ac:dyDescent="0.25"/>
    <row r="301" ht="20.100000000000001" customHeight="1" x14ac:dyDescent="0.25"/>
    <row r="302" ht="20.100000000000001" customHeight="1" x14ac:dyDescent="0.25"/>
    <row r="303" ht="20.100000000000001" customHeight="1" x14ac:dyDescent="0.25"/>
    <row r="304" ht="20.100000000000001" customHeight="1" x14ac:dyDescent="0.25"/>
    <row r="305" ht="20.100000000000001" customHeight="1" x14ac:dyDescent="0.25"/>
    <row r="306" ht="20.100000000000001" customHeight="1" x14ac:dyDescent="0.25"/>
    <row r="307" ht="20.100000000000001" customHeight="1" x14ac:dyDescent="0.25"/>
    <row r="308" ht="20.100000000000001" customHeight="1" x14ac:dyDescent="0.25"/>
    <row r="309" ht="20.100000000000001" customHeight="1" x14ac:dyDescent="0.25"/>
    <row r="310" ht="20.100000000000001" customHeight="1" x14ac:dyDescent="0.25"/>
    <row r="311" ht="20.100000000000001" customHeight="1" x14ac:dyDescent="0.25"/>
    <row r="312" ht="20.100000000000001" customHeight="1" x14ac:dyDescent="0.25"/>
    <row r="313" ht="20.100000000000001" customHeight="1" x14ac:dyDescent="0.25"/>
    <row r="314" ht="20.100000000000001" customHeight="1" x14ac:dyDescent="0.25"/>
    <row r="315" ht="20.100000000000001" customHeight="1" x14ac:dyDescent="0.25"/>
    <row r="316" ht="20.100000000000001" customHeight="1" x14ac:dyDescent="0.25"/>
    <row r="317" ht="20.100000000000001" customHeight="1" x14ac:dyDescent="0.25"/>
    <row r="318" ht="20.100000000000001" customHeight="1" x14ac:dyDescent="0.25"/>
    <row r="319" ht="20.100000000000001" customHeight="1" x14ac:dyDescent="0.25"/>
    <row r="320" ht="20.100000000000001" customHeight="1" x14ac:dyDescent="0.25"/>
    <row r="321" ht="20.100000000000001" customHeight="1" x14ac:dyDescent="0.25"/>
    <row r="322" ht="20.100000000000001" customHeight="1" x14ac:dyDescent="0.25"/>
    <row r="323" ht="20.100000000000001" customHeight="1" x14ac:dyDescent="0.25"/>
    <row r="324" ht="20.100000000000001" customHeight="1" x14ac:dyDescent="0.25"/>
    <row r="325" ht="20.100000000000001" customHeight="1" x14ac:dyDescent="0.25"/>
    <row r="326" ht="20.100000000000001" customHeight="1" x14ac:dyDescent="0.25"/>
    <row r="327" ht="20.100000000000001" customHeight="1" x14ac:dyDescent="0.25"/>
    <row r="328" ht="20.100000000000001" customHeight="1" x14ac:dyDescent="0.25"/>
    <row r="329" ht="20.100000000000001" customHeight="1" x14ac:dyDescent="0.25"/>
    <row r="330" ht="20.100000000000001" customHeight="1" x14ac:dyDescent="0.25"/>
    <row r="331" ht="20.100000000000001" customHeight="1" x14ac:dyDescent="0.25"/>
    <row r="332" ht="20.100000000000001" customHeight="1" x14ac:dyDescent="0.25"/>
    <row r="333" ht="20.100000000000001" customHeight="1" x14ac:dyDescent="0.25"/>
    <row r="334" ht="20.100000000000001" customHeight="1" x14ac:dyDescent="0.25"/>
    <row r="335" ht="20.100000000000001" customHeight="1" x14ac:dyDescent="0.25"/>
    <row r="336" ht="20.100000000000001" customHeight="1" x14ac:dyDescent="0.25"/>
    <row r="337" ht="20.100000000000001" customHeight="1" x14ac:dyDescent="0.25"/>
    <row r="338" ht="20.100000000000001" customHeight="1" x14ac:dyDescent="0.25"/>
    <row r="339" ht="20.100000000000001" customHeight="1" x14ac:dyDescent="0.25"/>
    <row r="340" ht="20.100000000000001" customHeight="1" x14ac:dyDescent="0.25"/>
    <row r="341" ht="20.100000000000001" customHeight="1" x14ac:dyDescent="0.25"/>
    <row r="342" ht="20.100000000000001" customHeight="1" x14ac:dyDescent="0.25"/>
    <row r="343" ht="20.100000000000001" customHeight="1" x14ac:dyDescent="0.25"/>
    <row r="344" ht="20.100000000000001" customHeight="1" x14ac:dyDescent="0.25"/>
    <row r="345" ht="20.100000000000001" customHeight="1" x14ac:dyDescent="0.25"/>
    <row r="346" ht="20.100000000000001" customHeight="1" x14ac:dyDescent="0.25"/>
    <row r="347" ht="20.100000000000001" customHeight="1" x14ac:dyDescent="0.25"/>
    <row r="348" ht="20.100000000000001" customHeight="1" x14ac:dyDescent="0.25"/>
    <row r="349" ht="20.100000000000001" customHeight="1" x14ac:dyDescent="0.25"/>
    <row r="350" ht="20.100000000000001" customHeight="1" x14ac:dyDescent="0.25"/>
    <row r="351" ht="20.100000000000001" customHeight="1" x14ac:dyDescent="0.25"/>
    <row r="352" ht="20.100000000000001" customHeight="1" x14ac:dyDescent="0.25"/>
    <row r="353" ht="20.100000000000001" customHeight="1" x14ac:dyDescent="0.25"/>
    <row r="354" ht="20.100000000000001" customHeight="1" x14ac:dyDescent="0.25"/>
    <row r="355" ht="20.100000000000001" customHeight="1" x14ac:dyDescent="0.25"/>
    <row r="356" ht="20.100000000000001" customHeight="1" x14ac:dyDescent="0.25"/>
    <row r="357" ht="20.100000000000001" customHeight="1" x14ac:dyDescent="0.25"/>
    <row r="358" ht="20.100000000000001" customHeight="1" x14ac:dyDescent="0.25"/>
    <row r="359" ht="20.100000000000001" customHeight="1" x14ac:dyDescent="0.25"/>
    <row r="360" ht="20.100000000000001" customHeight="1" x14ac:dyDescent="0.25"/>
    <row r="361" ht="20.100000000000001" customHeight="1" x14ac:dyDescent="0.25"/>
    <row r="362" ht="20.100000000000001" customHeight="1" x14ac:dyDescent="0.25"/>
    <row r="363" ht="20.100000000000001" customHeight="1" x14ac:dyDescent="0.25"/>
    <row r="364" ht="20.100000000000001" customHeight="1" x14ac:dyDescent="0.25"/>
    <row r="365" ht="20.100000000000001" customHeight="1" x14ac:dyDescent="0.25"/>
    <row r="366" ht="20.100000000000001" customHeight="1" x14ac:dyDescent="0.25"/>
    <row r="367" ht="20.100000000000001" customHeight="1" x14ac:dyDescent="0.25"/>
    <row r="368" ht="20.100000000000001" customHeight="1" x14ac:dyDescent="0.25"/>
    <row r="369" ht="20.100000000000001" customHeight="1" x14ac:dyDescent="0.25"/>
    <row r="370" ht="20.100000000000001" customHeight="1" x14ac:dyDescent="0.25"/>
    <row r="371" ht="20.100000000000001" customHeight="1" x14ac:dyDescent="0.25"/>
    <row r="372" ht="20.100000000000001" customHeight="1" x14ac:dyDescent="0.25"/>
    <row r="373" ht="20.100000000000001" customHeight="1" x14ac:dyDescent="0.25"/>
    <row r="374" ht="20.100000000000001" customHeight="1" x14ac:dyDescent="0.25"/>
    <row r="375" ht="20.100000000000001" customHeight="1" x14ac:dyDescent="0.25"/>
    <row r="376" ht="20.100000000000001" customHeight="1" x14ac:dyDescent="0.25"/>
    <row r="377" ht="20.100000000000001" customHeight="1" x14ac:dyDescent="0.25"/>
    <row r="378" ht="20.100000000000001" customHeight="1" x14ac:dyDescent="0.25"/>
    <row r="379" ht="20.100000000000001" customHeight="1" x14ac:dyDescent="0.25"/>
    <row r="380" ht="20.100000000000001" customHeight="1" x14ac:dyDescent="0.25"/>
    <row r="381" ht="20.100000000000001" customHeight="1" x14ac:dyDescent="0.25"/>
    <row r="382" ht="20.100000000000001" customHeight="1" x14ac:dyDescent="0.25"/>
    <row r="383" ht="20.100000000000001" customHeight="1" x14ac:dyDescent="0.25"/>
    <row r="384" ht="20.100000000000001" customHeight="1" x14ac:dyDescent="0.25"/>
    <row r="385" ht="20.100000000000001" customHeight="1" x14ac:dyDescent="0.25"/>
    <row r="386" ht="20.100000000000001" customHeight="1" x14ac:dyDescent="0.25"/>
    <row r="387" ht="20.100000000000001" customHeight="1" x14ac:dyDescent="0.25"/>
    <row r="388" ht="20.100000000000001" customHeight="1" x14ac:dyDescent="0.25"/>
    <row r="389" ht="20.100000000000001" customHeight="1" x14ac:dyDescent="0.25"/>
    <row r="390" ht="20.100000000000001" customHeight="1" x14ac:dyDescent="0.25"/>
    <row r="391" ht="20.100000000000001" customHeight="1" x14ac:dyDescent="0.25"/>
    <row r="392" ht="20.100000000000001" customHeight="1" x14ac:dyDescent="0.25"/>
    <row r="393" ht="20.100000000000001" customHeight="1" x14ac:dyDescent="0.25"/>
    <row r="394" ht="20.100000000000001" customHeight="1" x14ac:dyDescent="0.25"/>
    <row r="395" ht="20.100000000000001" customHeight="1" x14ac:dyDescent="0.25"/>
    <row r="396" ht="20.100000000000001" customHeight="1" x14ac:dyDescent="0.25"/>
    <row r="397" ht="20.100000000000001" customHeight="1" x14ac:dyDescent="0.25"/>
    <row r="398" ht="20.100000000000001" customHeight="1" x14ac:dyDescent="0.25"/>
    <row r="399" ht="20.100000000000001" customHeight="1" x14ac:dyDescent="0.25"/>
    <row r="400" ht="20.100000000000001" customHeight="1" x14ac:dyDescent="0.25"/>
    <row r="401" ht="20.100000000000001" customHeight="1" x14ac:dyDescent="0.25"/>
    <row r="402" ht="20.100000000000001" customHeight="1" x14ac:dyDescent="0.25"/>
    <row r="403" ht="20.100000000000001" customHeight="1" x14ac:dyDescent="0.25"/>
    <row r="404" ht="20.100000000000001" customHeight="1" x14ac:dyDescent="0.25"/>
    <row r="405" ht="20.100000000000001" customHeight="1" x14ac:dyDescent="0.25"/>
    <row r="406" ht="20.100000000000001" customHeight="1" x14ac:dyDescent="0.25"/>
    <row r="407" ht="20.100000000000001" customHeight="1" x14ac:dyDescent="0.25"/>
    <row r="408" ht="20.100000000000001" customHeight="1" x14ac:dyDescent="0.25"/>
    <row r="409" ht="20.100000000000001" customHeight="1" x14ac:dyDescent="0.25"/>
    <row r="410" ht="20.100000000000001" customHeight="1" x14ac:dyDescent="0.25"/>
    <row r="411" ht="20.100000000000001" customHeight="1" x14ac:dyDescent="0.25"/>
    <row r="412" ht="20.100000000000001" customHeight="1" x14ac:dyDescent="0.25"/>
    <row r="413" ht="20.100000000000001" customHeight="1" x14ac:dyDescent="0.25"/>
    <row r="414" ht="20.100000000000001" customHeight="1" x14ac:dyDescent="0.25"/>
    <row r="415" ht="20.100000000000001" customHeight="1" x14ac:dyDescent="0.25"/>
    <row r="416" ht="20.100000000000001" customHeight="1" x14ac:dyDescent="0.25"/>
    <row r="417" ht="20.100000000000001" customHeight="1" x14ac:dyDescent="0.25"/>
    <row r="418" ht="20.100000000000001" customHeight="1" x14ac:dyDescent="0.25"/>
    <row r="419" ht="20.100000000000001" customHeight="1" x14ac:dyDescent="0.25"/>
    <row r="420" ht="20.100000000000001" customHeight="1" x14ac:dyDescent="0.25"/>
    <row r="421" ht="20.100000000000001" customHeight="1" x14ac:dyDescent="0.25"/>
    <row r="422" ht="20.100000000000001" customHeight="1" x14ac:dyDescent="0.25"/>
    <row r="423" ht="20.100000000000001" customHeight="1" x14ac:dyDescent="0.25"/>
    <row r="424" ht="20.100000000000001" customHeight="1" x14ac:dyDescent="0.25"/>
    <row r="425" ht="20.100000000000001" customHeight="1" x14ac:dyDescent="0.25"/>
    <row r="426" ht="20.100000000000001" customHeight="1" x14ac:dyDescent="0.25"/>
    <row r="427" ht="20.100000000000001" customHeight="1" x14ac:dyDescent="0.25"/>
    <row r="428" ht="20.100000000000001" customHeight="1" x14ac:dyDescent="0.25"/>
    <row r="429" ht="20.100000000000001" customHeight="1" x14ac:dyDescent="0.25"/>
    <row r="430" ht="20.100000000000001" customHeight="1" x14ac:dyDescent="0.25"/>
    <row r="431" ht="20.100000000000001" customHeight="1" x14ac:dyDescent="0.25"/>
    <row r="432" ht="20.100000000000001" customHeight="1" x14ac:dyDescent="0.25"/>
    <row r="433" ht="20.100000000000001" customHeight="1" x14ac:dyDescent="0.25"/>
    <row r="434" ht="20.100000000000001" customHeight="1" x14ac:dyDescent="0.25"/>
  </sheetData>
  <conditionalFormatting sqref="C7:C206">
    <cfRule type="expression" dxfId="3" priority="1">
      <formula>AND(C7&lt;&gt;"",COUNTIF($C$7:$C$206,C7)&gt;1)</formula>
    </cfRule>
  </conditionalFormatting>
  <dataValidations count="14">
    <dataValidation type="custom" allowBlank="1" showInputMessage="1" showErrorMessage="1" errorTitle="Duplicate ID" error="This netting set ID is already used. Enter a unique ID." promptTitle="Netting set ID" prompt="Unique ID of the legally enforceable netting set. Trades refer to it. A repeated ID makes the set INVALID." sqref="C7:C206" xr:uid="{00000000-0002-0000-0200-000000000000}">
      <formula1>COUNTIF($C$7:$C$206,C7)=1</formula1>
    </dataValidation>
    <dataValidation type="list" allowBlank="1" showInputMessage="1" showErrorMessage="1" errorTitle="Invalid choice" error="Choose Y or N." promptTitle="Margined" prompt="Y if a margin agreement exchanges variation margin (CRE52.2; CRR Art. 272(7)). Blank = N." sqref="E7:E206" xr:uid="{00000000-0002-0000-0200-000001000000}">
      <formula1>"Y,N"</formula1>
    </dataValidation>
    <dataValidation type="list" allowBlank="1" showInputMessage="1" showErrorMessage="1" errorTitle="Invalid clearing role" error="Choose N, CM or CLIENT." promptTitle="Client clearing role" prompt="N = not client clearing. CM = the bank is the clearing member (5-day MPOR floor). CLIENT = the bank is the client: 5 days under CRR, 10 under BCBS (CRE54)." sqref="F7:F206" xr:uid="{00000000-0002-0000-0200-000002000000}">
      <formula1>"N,CM,CLIENT"</formula1>
    </dataValidation>
    <dataValidation type="whole" allowBlank="1" showInputMessage="1" showErrorMessage="1" errorTitle="Invalid remargin frequency" error="Enter a whole number of business days from 0 to 10000." promptTitle="Remargin frequency N" prompt="Business days between margin calls for a margined set; blank or 1 = daily. MPOR adds N - 1 (CRE52.50)." sqref="G7:G206" xr:uid="{00000000-0002-0000-0200-000003000000}">
      <formula1>0</formula1>
      <formula2>10000</formula2>
    </dataValidation>
    <dataValidation type="list" allowBlank="1" showInputMessage="1" showErrorMessage="1" errorTitle="Invalid choice" error="Choose Y or N." promptTitle="Large or illiquid" prompt="Y if the netting set has more than 5,000 trades or illiquid collateral or hard-to-replace OTC derivatives: MPOR floor 20 days (CRE52.50)." sqref="H7:H206" xr:uid="{00000000-0002-0000-0200-000004000000}">
      <formula1>"Y,N"</formula1>
    </dataValidation>
    <dataValidation type="list" allowBlank="1" showInputMessage="1" showErrorMessage="1" errorTitle="Invalid choice" error="Choose Y or N." promptTitle="Margin disputes" prompt="Y if more than two disputes lasting longer than the MPOR occurred in the last two quarters: MPOR doubled (CRE52.50)." sqref="I7:I206" xr:uid="{00000000-0002-0000-0200-000005000000}">
      <formula1>"Y,N"</formula1>
    </dataValidation>
    <dataValidation type="whole" operator="greaterThan" allowBlank="1" showInputMessage="1" showErrorMessage="1" errorTitle="Invalid MPOR override" error="Enter a whole number of business days greater than 0, or leave blank." promptTitle="MPOR override" prompt="Optional MPOR in business days. Applied only if not below the regulatory floor; otherwise the floor is used." sqref="J7:J206" xr:uid="{00000000-0002-0000-0200-000006000000}">
      <formula1>0</formula1>
    </dataValidation>
    <dataValidation type="custom" allowBlank="1" showInputMessage="1" showErrorMessage="1" errorTitle="Invalid amount" error="Enter a number: positive if held, negative if posted." promptTitle="Net variation margin" prompt="Net VM after haircuts, reporting currency: held (+), posted (-). VM held needs Margined = Y." sqref="K7:K206" xr:uid="{00000000-0002-0000-0200-000007000000}">
      <formula1>ISNUMBER(K7)</formula1>
    </dataValidation>
    <dataValidation type="custom" allowBlank="1" showInputMessage="1" showErrorMessage="1" errorTitle="Invalid amount" error="Enter a number: positive if held, negative if posted." promptTitle="NICA" prompt="Net independent collateral amount after haircuts, reporting currency: held (+), posted (-) (CRE52.13)." sqref="L7:L206" xr:uid="{00000000-0002-0000-0200-000008000000}">
      <formula1>ISNUMBER(L7)</formula1>
    </dataValidation>
    <dataValidation type="decimal" operator="greaterThanOrEqual" allowBlank="1" showInputMessage="1" showErrorMessage="1" errorTitle="Invalid threshold" error="Enter an amount of zero or more." promptTitle="Threshold TH" prompt="Threshold of the margin agreement, reporting currency (CRE52.18)." sqref="M7:M206" xr:uid="{00000000-0002-0000-0200-000009000000}">
      <formula1>0</formula1>
    </dataValidation>
    <dataValidation type="decimal" operator="greaterThanOrEqual" allowBlank="1" showInputMessage="1" showErrorMessage="1" errorTitle="Invalid MTA" error="Enter an amount of zero or more." promptTitle="Minimum transfer amount" prompt="MTA of the margin agreement, reporting currency (CRE52.18)." sqref="N7:N206" xr:uid="{00000000-0002-0000-0200-00000A000000}">
      <formula1>0</formula1>
    </dataValidation>
    <dataValidation type="decimal" operator="greaterThan" allowBlank="1" showInputMessage="1" showErrorMessage="1" errorTitle="Invalid alpha" error="Enter a number greater than zero, or leave blank." promptTitle="Alpha override" prompt="Optional alpha for this netting set; blank = Params Alpha (1.4)." sqref="O7:O206" xr:uid="{00000000-0002-0000-0200-00000B000000}">
      <formula1>0</formula1>
    </dataValidation>
    <dataValidation type="list" allowBlank="1" showInputMessage="1" showErrorMessage="1" errorTitle="Invalid regime" error="Choose CRR or BCBS, or leave blank." promptTitle="Regime override" prompt="CRR or BCBS for this netting set; blank = Params Regime." sqref="P7:P206" xr:uid="{00000000-0002-0000-0200-00000C000000}">
      <formula1>"CRR,BCBS"</formula1>
    </dataValidation>
    <dataValidation type="list" allowBlank="1" showInputMessage="1" showErrorMessage="1" errorTitle="Invalid structure" error="Choose MIXED or SHARED, or leave blank." promptTitle="Margin agreements" prompt="Blank = one agreement, or none, covering only this set. MIXED or SHARED declares a structure the engine rejects (CRE52.74-.75)." sqref="Q7:Q206" xr:uid="{00000000-0002-0000-0200-00000D000000}">
      <formula1>"MIXED,SHARED"</formula1>
    </dataValidation>
  </dataValidations>
  <pageMargins left="0.4" right="0.4" top="0.5" bottom="0.5" header="0.3" footer="0.3"/>
  <pageSetup paperSize="9" fitToHeight="0"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Trades">
    <tabColor rgb="FFBF9000"/>
    <pageSetUpPr fitToPage="1"/>
  </sheetPr>
  <dimension ref="B1:AB5005"/>
  <sheetViews>
    <sheetView showGridLines="0" zoomScaleNormal="100" workbookViewId="0">
      <pane xSplit="4" ySplit="4" topLeftCell="E5" activePane="bottomRight" state="frozen"/>
      <selection activeCell="C8" sqref="C8"/>
      <selection pane="topRight" activeCell="C8" sqref="C8"/>
      <selection pane="bottomLeft" activeCell="C8" sqref="C8"/>
      <selection pane="bottomRight" sqref="A1:XFD2"/>
    </sheetView>
  </sheetViews>
  <sheetFormatPr defaultRowHeight="15" x14ac:dyDescent="0.25"/>
  <cols>
    <col min="1" max="2" width="4" customWidth="1"/>
    <col min="3" max="3" width="15.625" style="36" customWidth="1"/>
    <col min="4" max="4" width="20.625" style="36" customWidth="1"/>
    <col min="5" max="5" width="10.625" style="50" customWidth="1"/>
    <col min="6" max="6" width="12.75" style="50" customWidth="1"/>
    <col min="7" max="7" width="20.625" style="50" customWidth="1"/>
    <col min="8" max="11" width="10.625" style="50" customWidth="1"/>
    <col min="12" max="12" width="15.625" style="50" customWidth="1"/>
    <col min="13" max="13" width="15.625" style="36" customWidth="1"/>
    <col min="14" max="14" width="10.625" style="50" customWidth="1"/>
    <col min="15" max="15" width="15.625" style="36" customWidth="1"/>
    <col min="16" max="20" width="10.625" style="50" customWidth="1"/>
    <col min="21" max="23" width="10.625" style="36" customWidth="1"/>
    <col min="24" max="26" width="15.625" style="36" customWidth="1"/>
    <col min="27" max="27" width="10.625" style="50" customWidth="1"/>
    <col min="28" max="28" width="50.75" style="36" customWidth="1"/>
  </cols>
  <sheetData>
    <row r="1" spans="2:28" ht="24" customHeight="1" x14ac:dyDescent="0.25">
      <c r="B1" s="26" t="s">
        <v>0</v>
      </c>
      <c r="C1" s="27"/>
      <c r="D1" s="28"/>
      <c r="E1" s="66"/>
      <c r="F1" s="66"/>
      <c r="G1" s="66"/>
      <c r="H1" s="66"/>
      <c r="I1" s="66"/>
      <c r="J1" s="66"/>
      <c r="K1" s="66"/>
      <c r="L1" s="66"/>
      <c r="M1" s="28"/>
      <c r="N1" s="28"/>
      <c r="O1" s="28"/>
      <c r="P1" s="28"/>
      <c r="Q1" s="66"/>
      <c r="R1" s="66"/>
      <c r="S1" s="66"/>
      <c r="T1" s="66"/>
      <c r="U1" s="66"/>
      <c r="V1" s="66"/>
      <c r="W1" s="66"/>
      <c r="X1" s="66"/>
      <c r="Y1" s="66"/>
      <c r="Z1" s="66"/>
      <c r="AA1" s="66"/>
      <c r="AB1" s="66"/>
    </row>
    <row r="2" spans="2:28" ht="26.1" customHeight="1" x14ac:dyDescent="0.25">
      <c r="B2" s="30" t="s">
        <v>56</v>
      </c>
      <c r="C2" s="31"/>
      <c r="D2" s="32"/>
      <c r="E2" s="68"/>
      <c r="F2" s="68"/>
      <c r="G2" s="68"/>
      <c r="H2" s="68"/>
      <c r="I2" s="68"/>
      <c r="J2" s="68"/>
      <c r="K2" s="68"/>
      <c r="L2" s="68"/>
      <c r="M2" s="32"/>
      <c r="N2" s="32"/>
      <c r="O2" s="32"/>
      <c r="P2" s="32"/>
      <c r="Q2" s="68"/>
      <c r="R2" s="68"/>
      <c r="S2" s="68"/>
      <c r="T2" s="68"/>
      <c r="U2" s="68"/>
      <c r="V2" s="68"/>
      <c r="W2" s="68"/>
      <c r="X2" s="68"/>
      <c r="Y2" s="68"/>
      <c r="Z2" s="68"/>
      <c r="AA2" s="68"/>
      <c r="AB2" s="68"/>
    </row>
    <row r="3" spans="2:28" ht="30" customHeight="1" x14ac:dyDescent="0.25">
      <c r="C3" s="70"/>
      <c r="D3"/>
      <c r="E3" s="69"/>
      <c r="F3" s="69"/>
      <c r="G3" s="69"/>
      <c r="H3" s="69"/>
      <c r="I3" s="69"/>
      <c r="J3" s="69"/>
      <c r="K3" s="69"/>
      <c r="L3" s="69"/>
      <c r="M3"/>
      <c r="N3"/>
      <c r="O3"/>
      <c r="P3"/>
      <c r="Q3" s="69"/>
      <c r="R3" s="69"/>
      <c r="S3" s="69"/>
      <c r="T3" s="69"/>
      <c r="U3"/>
      <c r="V3"/>
      <c r="W3"/>
      <c r="X3"/>
      <c r="Y3"/>
      <c r="Z3" s="69"/>
      <c r="AA3" s="69"/>
      <c r="AB3"/>
    </row>
    <row r="4" spans="2:28" ht="50.1" customHeight="1" x14ac:dyDescent="0.25">
      <c r="C4" s="71" t="s">
        <v>294</v>
      </c>
      <c r="D4" s="71" t="s">
        <v>246</v>
      </c>
      <c r="E4" s="55" t="s">
        <v>166</v>
      </c>
      <c r="F4" s="55" t="s">
        <v>20</v>
      </c>
      <c r="G4" s="55" t="s">
        <v>295</v>
      </c>
      <c r="H4" s="55" t="s">
        <v>296</v>
      </c>
      <c r="I4" s="55" t="s">
        <v>18</v>
      </c>
      <c r="J4" s="55" t="s">
        <v>297</v>
      </c>
      <c r="K4" s="55" t="s">
        <v>27</v>
      </c>
      <c r="L4" s="55" t="s">
        <v>298</v>
      </c>
      <c r="M4" s="55" t="s">
        <v>23</v>
      </c>
      <c r="N4" s="55" t="s">
        <v>845</v>
      </c>
      <c r="O4" s="55" t="s">
        <v>299</v>
      </c>
      <c r="P4" s="55" t="s">
        <v>846</v>
      </c>
      <c r="Q4" s="55" t="s">
        <v>847</v>
      </c>
      <c r="R4" s="55" t="s">
        <v>848</v>
      </c>
      <c r="S4" s="55" t="s">
        <v>849</v>
      </c>
      <c r="T4" s="55" t="s">
        <v>850</v>
      </c>
      <c r="U4" s="55" t="s">
        <v>851</v>
      </c>
      <c r="V4" s="55" t="s">
        <v>852</v>
      </c>
      <c r="W4" s="55" t="s">
        <v>853</v>
      </c>
      <c r="X4" s="55" t="s">
        <v>854</v>
      </c>
      <c r="Y4" s="55" t="s">
        <v>855</v>
      </c>
      <c r="Z4" s="55" t="s">
        <v>856</v>
      </c>
      <c r="AA4" s="55" t="s">
        <v>857</v>
      </c>
      <c r="AB4" s="71" t="s">
        <v>300</v>
      </c>
    </row>
    <row r="5" spans="2:28" ht="20.100000000000001" customHeight="1" x14ac:dyDescent="0.25">
      <c r="C5" s="60" t="s">
        <v>302</v>
      </c>
      <c r="D5" s="60" t="s">
        <v>259</v>
      </c>
      <c r="E5" s="44" t="s">
        <v>42</v>
      </c>
      <c r="F5" s="44"/>
      <c r="G5" s="44" t="s">
        <v>236</v>
      </c>
      <c r="H5" s="44" t="s">
        <v>303</v>
      </c>
      <c r="I5" s="44" t="s">
        <v>304</v>
      </c>
      <c r="J5" s="44"/>
      <c r="K5" s="44" t="s">
        <v>305</v>
      </c>
      <c r="L5" s="44"/>
      <c r="M5" s="63">
        <v>10000</v>
      </c>
      <c r="N5" s="44" t="s">
        <v>114</v>
      </c>
      <c r="O5" s="63">
        <v>30</v>
      </c>
      <c r="P5" s="44" t="s">
        <v>114</v>
      </c>
      <c r="Q5" s="72"/>
      <c r="R5" s="72">
        <v>49945</v>
      </c>
      <c r="S5" s="72">
        <v>49945</v>
      </c>
      <c r="T5" s="72"/>
      <c r="U5" s="73"/>
      <c r="V5" s="73"/>
      <c r="W5" s="74"/>
      <c r="X5" s="46"/>
      <c r="Y5" s="46"/>
      <c r="Z5" s="44"/>
      <c r="AA5" s="44"/>
      <c r="AB5" s="47" t="s">
        <v>306</v>
      </c>
    </row>
    <row r="6" spans="2:28" ht="20.100000000000001" customHeight="1" x14ac:dyDescent="0.25">
      <c r="C6" s="60" t="s">
        <v>307</v>
      </c>
      <c r="D6" s="60" t="s">
        <v>259</v>
      </c>
      <c r="E6" s="44" t="s">
        <v>42</v>
      </c>
      <c r="F6" s="44"/>
      <c r="G6" s="44" t="s">
        <v>236</v>
      </c>
      <c r="H6" s="44" t="s">
        <v>303</v>
      </c>
      <c r="I6" s="44" t="s">
        <v>308</v>
      </c>
      <c r="J6" s="44"/>
      <c r="K6" s="44" t="s">
        <v>305</v>
      </c>
      <c r="L6" s="44"/>
      <c r="M6" s="63">
        <v>10000</v>
      </c>
      <c r="N6" s="44" t="s">
        <v>114</v>
      </c>
      <c r="O6" s="63">
        <v>-20</v>
      </c>
      <c r="P6" s="44" t="s">
        <v>114</v>
      </c>
      <c r="Q6" s="72"/>
      <c r="R6" s="72">
        <v>47755</v>
      </c>
      <c r="S6" s="72">
        <v>47755</v>
      </c>
      <c r="T6" s="72"/>
      <c r="U6" s="73"/>
      <c r="V6" s="73"/>
      <c r="W6" s="74"/>
      <c r="X6" s="46"/>
      <c r="Y6" s="46"/>
      <c r="Z6" s="44"/>
      <c r="AA6" s="44"/>
      <c r="AB6" s="47" t="s">
        <v>309</v>
      </c>
    </row>
    <row r="7" spans="2:28" ht="20.100000000000001" customHeight="1" x14ac:dyDescent="0.25">
      <c r="C7" s="60" t="s">
        <v>310</v>
      </c>
      <c r="D7" s="60" t="s">
        <v>259</v>
      </c>
      <c r="E7" s="44" t="s">
        <v>42</v>
      </c>
      <c r="F7" s="44"/>
      <c r="G7" s="44" t="s">
        <v>114</v>
      </c>
      <c r="H7" s="44" t="s">
        <v>311</v>
      </c>
      <c r="I7" s="44" t="s">
        <v>304</v>
      </c>
      <c r="J7" s="44" t="s">
        <v>312</v>
      </c>
      <c r="K7" s="44" t="s">
        <v>305</v>
      </c>
      <c r="L7" s="44"/>
      <c r="M7" s="63">
        <v>5000</v>
      </c>
      <c r="N7" s="44" t="s">
        <v>114</v>
      </c>
      <c r="O7" s="63">
        <v>50</v>
      </c>
      <c r="P7" s="44" t="s">
        <v>114</v>
      </c>
      <c r="Q7" s="72">
        <v>46660</v>
      </c>
      <c r="R7" s="72">
        <v>50310</v>
      </c>
      <c r="S7" s="72">
        <v>50310</v>
      </c>
      <c r="T7" s="72">
        <v>46660</v>
      </c>
      <c r="U7" s="73">
        <v>0.06</v>
      </c>
      <c r="V7" s="73">
        <v>0.05</v>
      </c>
      <c r="W7" s="74"/>
      <c r="X7" s="46"/>
      <c r="Y7" s="46"/>
      <c r="Z7" s="44"/>
      <c r="AA7" s="44"/>
      <c r="AB7" s="47" t="s">
        <v>313</v>
      </c>
    </row>
    <row r="8" spans="2:28" ht="20.100000000000001" customHeight="1" x14ac:dyDescent="0.25">
      <c r="C8" s="60" t="s">
        <v>314</v>
      </c>
      <c r="D8" s="60" t="s">
        <v>263</v>
      </c>
      <c r="E8" s="44" t="s">
        <v>177</v>
      </c>
      <c r="F8" s="44" t="s">
        <v>181</v>
      </c>
      <c r="G8" s="44" t="s">
        <v>315</v>
      </c>
      <c r="H8" s="44" t="s">
        <v>303</v>
      </c>
      <c r="I8" s="44" t="s">
        <v>304</v>
      </c>
      <c r="J8" s="44"/>
      <c r="K8" s="44" t="s">
        <v>305</v>
      </c>
      <c r="L8" s="44"/>
      <c r="M8" s="63">
        <v>10000</v>
      </c>
      <c r="N8" s="44" t="s">
        <v>114</v>
      </c>
      <c r="O8" s="63">
        <v>20</v>
      </c>
      <c r="P8" s="44" t="s">
        <v>114</v>
      </c>
      <c r="Q8" s="72"/>
      <c r="R8" s="72">
        <v>47390</v>
      </c>
      <c r="S8" s="72">
        <v>47390</v>
      </c>
      <c r="T8" s="72"/>
      <c r="U8" s="73"/>
      <c r="V8" s="73"/>
      <c r="W8" s="74"/>
      <c r="X8" s="46"/>
      <c r="Y8" s="46"/>
      <c r="Z8" s="44"/>
      <c r="AA8" s="44"/>
      <c r="AB8" s="47" t="s">
        <v>316</v>
      </c>
    </row>
    <row r="9" spans="2:28" ht="20.100000000000001" customHeight="1" x14ac:dyDescent="0.25">
      <c r="C9" s="60" t="s">
        <v>317</v>
      </c>
      <c r="D9" s="60" t="s">
        <v>263</v>
      </c>
      <c r="E9" s="44" t="s">
        <v>177</v>
      </c>
      <c r="F9" s="44" t="s">
        <v>185</v>
      </c>
      <c r="G9" s="44" t="s">
        <v>318</v>
      </c>
      <c r="H9" s="44" t="s">
        <v>303</v>
      </c>
      <c r="I9" s="44" t="s">
        <v>308</v>
      </c>
      <c r="J9" s="44"/>
      <c r="K9" s="44" t="s">
        <v>305</v>
      </c>
      <c r="L9" s="44"/>
      <c r="M9" s="63">
        <v>10000</v>
      </c>
      <c r="N9" s="44" t="s">
        <v>114</v>
      </c>
      <c r="O9" s="63">
        <v>-40</v>
      </c>
      <c r="P9" s="44" t="s">
        <v>114</v>
      </c>
      <c r="Q9" s="72"/>
      <c r="R9" s="72">
        <v>48485</v>
      </c>
      <c r="S9" s="72">
        <v>48485</v>
      </c>
      <c r="T9" s="72"/>
      <c r="U9" s="73"/>
      <c r="V9" s="73"/>
      <c r="W9" s="74"/>
      <c r="X9" s="46"/>
      <c r="Y9" s="46"/>
      <c r="Z9" s="44"/>
      <c r="AA9" s="44"/>
      <c r="AB9" s="47" t="s">
        <v>319</v>
      </c>
    </row>
    <row r="10" spans="2:28" ht="20.100000000000001" customHeight="1" x14ac:dyDescent="0.25">
      <c r="C10" s="60" t="s">
        <v>320</v>
      </c>
      <c r="D10" s="60" t="s">
        <v>263</v>
      </c>
      <c r="E10" s="44" t="s">
        <v>177</v>
      </c>
      <c r="F10" s="44" t="s">
        <v>206</v>
      </c>
      <c r="G10" s="44" t="s">
        <v>321</v>
      </c>
      <c r="H10" s="44" t="s">
        <v>303</v>
      </c>
      <c r="I10" s="44" t="s">
        <v>304</v>
      </c>
      <c r="J10" s="44"/>
      <c r="K10" s="44" t="s">
        <v>305</v>
      </c>
      <c r="L10" s="44"/>
      <c r="M10" s="63">
        <v>10000</v>
      </c>
      <c r="N10" s="44" t="s">
        <v>114</v>
      </c>
      <c r="O10" s="63">
        <v>0</v>
      </c>
      <c r="P10" s="44" t="s">
        <v>114</v>
      </c>
      <c r="Q10" s="72"/>
      <c r="R10" s="72">
        <v>48120</v>
      </c>
      <c r="S10" s="72">
        <v>48120</v>
      </c>
      <c r="T10" s="72"/>
      <c r="U10" s="73"/>
      <c r="V10" s="73"/>
      <c r="W10" s="74"/>
      <c r="X10" s="46"/>
      <c r="Y10" s="46"/>
      <c r="Z10" s="44"/>
      <c r="AA10" s="44"/>
      <c r="AB10" s="47" t="s">
        <v>322</v>
      </c>
    </row>
    <row r="11" spans="2:28" ht="20.100000000000001" customHeight="1" x14ac:dyDescent="0.25">
      <c r="C11" s="60" t="s">
        <v>323</v>
      </c>
      <c r="D11" s="60" t="s">
        <v>265</v>
      </c>
      <c r="E11" s="44" t="s">
        <v>47</v>
      </c>
      <c r="F11" s="44" t="s">
        <v>220</v>
      </c>
      <c r="G11" s="44" t="s">
        <v>324</v>
      </c>
      <c r="H11" s="44" t="s">
        <v>303</v>
      </c>
      <c r="I11" s="44" t="s">
        <v>304</v>
      </c>
      <c r="J11" s="44"/>
      <c r="K11" s="44" t="s">
        <v>305</v>
      </c>
      <c r="L11" s="44"/>
      <c r="M11" s="63">
        <v>10000</v>
      </c>
      <c r="N11" s="44" t="s">
        <v>114</v>
      </c>
      <c r="O11" s="63">
        <v>-50</v>
      </c>
      <c r="P11" s="44" t="s">
        <v>114</v>
      </c>
      <c r="Q11" s="72"/>
      <c r="R11" s="72"/>
      <c r="S11" s="72">
        <v>46569</v>
      </c>
      <c r="T11" s="72"/>
      <c r="U11" s="73"/>
      <c r="V11" s="73"/>
      <c r="W11" s="74"/>
      <c r="X11" s="46"/>
      <c r="Y11" s="46"/>
      <c r="Z11" s="44"/>
      <c r="AA11" s="44"/>
      <c r="AB11" s="47" t="s">
        <v>325</v>
      </c>
    </row>
    <row r="12" spans="2:28" ht="20.100000000000001" customHeight="1" x14ac:dyDescent="0.25">
      <c r="C12" s="60" t="s">
        <v>326</v>
      </c>
      <c r="D12" s="60" t="s">
        <v>265</v>
      </c>
      <c r="E12" s="44" t="s">
        <v>47</v>
      </c>
      <c r="F12" s="44" t="s">
        <v>220</v>
      </c>
      <c r="G12" s="44" t="s">
        <v>324</v>
      </c>
      <c r="H12" s="44" t="s">
        <v>303</v>
      </c>
      <c r="I12" s="44" t="s">
        <v>308</v>
      </c>
      <c r="J12" s="44"/>
      <c r="K12" s="44" t="s">
        <v>305</v>
      </c>
      <c r="L12" s="44"/>
      <c r="M12" s="63">
        <v>20000</v>
      </c>
      <c r="N12" s="44" t="s">
        <v>114</v>
      </c>
      <c r="O12" s="63">
        <v>-30</v>
      </c>
      <c r="P12" s="44" t="s">
        <v>114</v>
      </c>
      <c r="Q12" s="72"/>
      <c r="R12" s="72"/>
      <c r="S12" s="72">
        <v>47025</v>
      </c>
      <c r="T12" s="72"/>
      <c r="U12" s="73"/>
      <c r="V12" s="73"/>
      <c r="W12" s="74"/>
      <c r="X12" s="46"/>
      <c r="Y12" s="46"/>
      <c r="Z12" s="44"/>
      <c r="AA12" s="44"/>
      <c r="AB12" s="47" t="s">
        <v>327</v>
      </c>
    </row>
    <row r="13" spans="2:28" ht="20.100000000000001" customHeight="1" x14ac:dyDescent="0.25">
      <c r="C13" s="60" t="s">
        <v>328</v>
      </c>
      <c r="D13" s="60" t="s">
        <v>265</v>
      </c>
      <c r="E13" s="44" t="s">
        <v>47</v>
      </c>
      <c r="F13" s="44" t="s">
        <v>222</v>
      </c>
      <c r="G13" s="44" t="s">
        <v>329</v>
      </c>
      <c r="H13" s="44" t="s">
        <v>303</v>
      </c>
      <c r="I13" s="44" t="s">
        <v>304</v>
      </c>
      <c r="J13" s="44"/>
      <c r="K13" s="44" t="s">
        <v>305</v>
      </c>
      <c r="L13" s="44"/>
      <c r="M13" s="63">
        <v>10000</v>
      </c>
      <c r="N13" s="44" t="s">
        <v>114</v>
      </c>
      <c r="O13" s="63">
        <v>100</v>
      </c>
      <c r="P13" s="44" t="s">
        <v>114</v>
      </c>
      <c r="Q13" s="72"/>
      <c r="R13" s="72"/>
      <c r="S13" s="72">
        <v>48120</v>
      </c>
      <c r="T13" s="72"/>
      <c r="U13" s="73"/>
      <c r="V13" s="73"/>
      <c r="W13" s="74"/>
      <c r="X13" s="46"/>
      <c r="Y13" s="46"/>
      <c r="Z13" s="44"/>
      <c r="AA13" s="44"/>
      <c r="AB13" s="47" t="s">
        <v>330</v>
      </c>
    </row>
    <row r="14" spans="2:28" ht="20.100000000000001" customHeight="1" x14ac:dyDescent="0.25">
      <c r="C14" s="60" t="s">
        <v>331</v>
      </c>
      <c r="D14" s="60" t="s">
        <v>267</v>
      </c>
      <c r="E14" s="44" t="s">
        <v>42</v>
      </c>
      <c r="F14" s="44"/>
      <c r="G14" s="44" t="s">
        <v>236</v>
      </c>
      <c r="H14" s="44" t="s">
        <v>303</v>
      </c>
      <c r="I14" s="44" t="s">
        <v>304</v>
      </c>
      <c r="J14" s="44"/>
      <c r="K14" s="44" t="s">
        <v>305</v>
      </c>
      <c r="L14" s="44"/>
      <c r="M14" s="63">
        <v>10000</v>
      </c>
      <c r="N14" s="44" t="s">
        <v>114</v>
      </c>
      <c r="O14" s="63">
        <v>30</v>
      </c>
      <c r="P14" s="44" t="s">
        <v>114</v>
      </c>
      <c r="Q14" s="72"/>
      <c r="R14" s="72">
        <v>49945</v>
      </c>
      <c r="S14" s="72">
        <v>49945</v>
      </c>
      <c r="T14" s="72"/>
      <c r="U14" s="73"/>
      <c r="V14" s="73"/>
      <c r="W14" s="74"/>
      <c r="X14" s="46"/>
      <c r="Y14" s="46"/>
      <c r="Z14" s="44"/>
      <c r="AA14" s="44"/>
      <c r="AB14" s="47" t="s">
        <v>306</v>
      </c>
    </row>
    <row r="15" spans="2:28" ht="20.100000000000001" customHeight="1" x14ac:dyDescent="0.25">
      <c r="C15" s="60" t="s">
        <v>332</v>
      </c>
      <c r="D15" s="60" t="s">
        <v>267</v>
      </c>
      <c r="E15" s="44" t="s">
        <v>42</v>
      </c>
      <c r="F15" s="44"/>
      <c r="G15" s="44" t="s">
        <v>236</v>
      </c>
      <c r="H15" s="44" t="s">
        <v>303</v>
      </c>
      <c r="I15" s="44" t="s">
        <v>308</v>
      </c>
      <c r="J15" s="44"/>
      <c r="K15" s="44" t="s">
        <v>305</v>
      </c>
      <c r="L15" s="44"/>
      <c r="M15" s="63">
        <v>10000</v>
      </c>
      <c r="N15" s="44" t="s">
        <v>114</v>
      </c>
      <c r="O15" s="63">
        <v>-20</v>
      </c>
      <c r="P15" s="44" t="s">
        <v>114</v>
      </c>
      <c r="Q15" s="72"/>
      <c r="R15" s="72">
        <v>47755</v>
      </c>
      <c r="S15" s="72">
        <v>47755</v>
      </c>
      <c r="T15" s="72"/>
      <c r="U15" s="73"/>
      <c r="V15" s="73"/>
      <c r="W15" s="74"/>
      <c r="X15" s="46"/>
      <c r="Y15" s="46"/>
      <c r="Z15" s="44"/>
      <c r="AA15" s="44"/>
      <c r="AB15" s="47" t="s">
        <v>309</v>
      </c>
    </row>
    <row r="16" spans="2:28" ht="20.100000000000001" customHeight="1" x14ac:dyDescent="0.25">
      <c r="C16" s="60" t="s">
        <v>333</v>
      </c>
      <c r="D16" s="60" t="s">
        <v>267</v>
      </c>
      <c r="E16" s="44" t="s">
        <v>42</v>
      </c>
      <c r="F16" s="44"/>
      <c r="G16" s="44" t="s">
        <v>114</v>
      </c>
      <c r="H16" s="44" t="s">
        <v>311</v>
      </c>
      <c r="I16" s="44" t="s">
        <v>304</v>
      </c>
      <c r="J16" s="44" t="s">
        <v>312</v>
      </c>
      <c r="K16" s="44" t="s">
        <v>305</v>
      </c>
      <c r="L16" s="44"/>
      <c r="M16" s="63">
        <v>5000</v>
      </c>
      <c r="N16" s="44" t="s">
        <v>114</v>
      </c>
      <c r="O16" s="63">
        <v>50</v>
      </c>
      <c r="P16" s="44" t="s">
        <v>114</v>
      </c>
      <c r="Q16" s="72">
        <v>46660</v>
      </c>
      <c r="R16" s="72">
        <v>50310</v>
      </c>
      <c r="S16" s="72">
        <v>50310</v>
      </c>
      <c r="T16" s="72">
        <v>46660</v>
      </c>
      <c r="U16" s="73">
        <v>0.06</v>
      </c>
      <c r="V16" s="73">
        <v>0.05</v>
      </c>
      <c r="W16" s="74"/>
      <c r="X16" s="46"/>
      <c r="Y16" s="46"/>
      <c r="Z16" s="44"/>
      <c r="AA16" s="44"/>
      <c r="AB16" s="47" t="s">
        <v>313</v>
      </c>
    </row>
    <row r="17" spans="3:28" ht="20.100000000000001" customHeight="1" x14ac:dyDescent="0.25">
      <c r="C17" s="60" t="s">
        <v>334</v>
      </c>
      <c r="D17" s="60" t="s">
        <v>267</v>
      </c>
      <c r="E17" s="44" t="s">
        <v>177</v>
      </c>
      <c r="F17" s="44" t="s">
        <v>181</v>
      </c>
      <c r="G17" s="44" t="s">
        <v>315</v>
      </c>
      <c r="H17" s="44" t="s">
        <v>303</v>
      </c>
      <c r="I17" s="44" t="s">
        <v>304</v>
      </c>
      <c r="J17" s="44"/>
      <c r="K17" s="44" t="s">
        <v>305</v>
      </c>
      <c r="L17" s="44"/>
      <c r="M17" s="63">
        <v>10000</v>
      </c>
      <c r="N17" s="44" t="s">
        <v>114</v>
      </c>
      <c r="O17" s="63">
        <v>20</v>
      </c>
      <c r="P17" s="44" t="s">
        <v>114</v>
      </c>
      <c r="Q17" s="72"/>
      <c r="R17" s="72">
        <v>47390</v>
      </c>
      <c r="S17" s="72">
        <v>47390</v>
      </c>
      <c r="T17" s="72"/>
      <c r="U17" s="73"/>
      <c r="V17" s="73"/>
      <c r="W17" s="74"/>
      <c r="X17" s="46"/>
      <c r="Y17" s="46"/>
      <c r="Z17" s="44"/>
      <c r="AA17" s="44"/>
      <c r="AB17" s="47" t="s">
        <v>316</v>
      </c>
    </row>
    <row r="18" spans="3:28" ht="20.100000000000001" customHeight="1" x14ac:dyDescent="0.25">
      <c r="C18" s="60" t="s">
        <v>335</v>
      </c>
      <c r="D18" s="60" t="s">
        <v>267</v>
      </c>
      <c r="E18" s="44" t="s">
        <v>177</v>
      </c>
      <c r="F18" s="44" t="s">
        <v>185</v>
      </c>
      <c r="G18" s="44" t="s">
        <v>318</v>
      </c>
      <c r="H18" s="44" t="s">
        <v>303</v>
      </c>
      <c r="I18" s="44" t="s">
        <v>308</v>
      </c>
      <c r="J18" s="44"/>
      <c r="K18" s="44" t="s">
        <v>305</v>
      </c>
      <c r="L18" s="44"/>
      <c r="M18" s="63">
        <v>10000</v>
      </c>
      <c r="N18" s="44" t="s">
        <v>114</v>
      </c>
      <c r="O18" s="63">
        <v>-40</v>
      </c>
      <c r="P18" s="44" t="s">
        <v>114</v>
      </c>
      <c r="Q18" s="72"/>
      <c r="R18" s="72">
        <v>48485</v>
      </c>
      <c r="S18" s="72">
        <v>48485</v>
      </c>
      <c r="T18" s="72"/>
      <c r="U18" s="73"/>
      <c r="V18" s="73"/>
      <c r="W18" s="74"/>
      <c r="X18" s="46"/>
      <c r="Y18" s="46"/>
      <c r="Z18" s="44"/>
      <c r="AA18" s="44"/>
      <c r="AB18" s="47" t="s">
        <v>319</v>
      </c>
    </row>
    <row r="19" spans="3:28" ht="20.100000000000001" customHeight="1" x14ac:dyDescent="0.25">
      <c r="C19" s="60" t="s">
        <v>336</v>
      </c>
      <c r="D19" s="60" t="s">
        <v>267</v>
      </c>
      <c r="E19" s="44" t="s">
        <v>177</v>
      </c>
      <c r="F19" s="44" t="s">
        <v>206</v>
      </c>
      <c r="G19" s="44" t="s">
        <v>321</v>
      </c>
      <c r="H19" s="44" t="s">
        <v>303</v>
      </c>
      <c r="I19" s="44" t="s">
        <v>304</v>
      </c>
      <c r="J19" s="44"/>
      <c r="K19" s="44" t="s">
        <v>305</v>
      </c>
      <c r="L19" s="44"/>
      <c r="M19" s="63">
        <v>10000</v>
      </c>
      <c r="N19" s="44" t="s">
        <v>114</v>
      </c>
      <c r="O19" s="63">
        <v>0</v>
      </c>
      <c r="P19" s="44" t="s">
        <v>114</v>
      </c>
      <c r="Q19" s="72"/>
      <c r="R19" s="72">
        <v>48120</v>
      </c>
      <c r="S19" s="72">
        <v>48120</v>
      </c>
      <c r="T19" s="72"/>
      <c r="U19" s="73"/>
      <c r="V19" s="73"/>
      <c r="W19" s="74"/>
      <c r="X19" s="46"/>
      <c r="Y19" s="46"/>
      <c r="Z19" s="44"/>
      <c r="AA19" s="44"/>
      <c r="AB19" s="47" t="s">
        <v>322</v>
      </c>
    </row>
    <row r="20" spans="3:28" ht="20.100000000000001" customHeight="1" x14ac:dyDescent="0.25">
      <c r="C20" s="60" t="s">
        <v>337</v>
      </c>
      <c r="D20" s="60" t="s">
        <v>269</v>
      </c>
      <c r="E20" s="44" t="s">
        <v>42</v>
      </c>
      <c r="F20" s="44"/>
      <c r="G20" s="44" t="s">
        <v>236</v>
      </c>
      <c r="H20" s="44" t="s">
        <v>303</v>
      </c>
      <c r="I20" s="44" t="s">
        <v>304</v>
      </c>
      <c r="J20" s="44"/>
      <c r="K20" s="44" t="s">
        <v>305</v>
      </c>
      <c r="L20" s="44"/>
      <c r="M20" s="63">
        <v>10000</v>
      </c>
      <c r="N20" s="44" t="s">
        <v>114</v>
      </c>
      <c r="O20" s="63">
        <v>30</v>
      </c>
      <c r="P20" s="44" t="s">
        <v>114</v>
      </c>
      <c r="Q20" s="72"/>
      <c r="R20" s="72">
        <v>49945</v>
      </c>
      <c r="S20" s="72">
        <v>49945</v>
      </c>
      <c r="T20" s="72"/>
      <c r="U20" s="73"/>
      <c r="V20" s="73"/>
      <c r="W20" s="74"/>
      <c r="X20" s="46"/>
      <c r="Y20" s="46"/>
      <c r="Z20" s="44"/>
      <c r="AA20" s="44"/>
      <c r="AB20" s="47" t="s">
        <v>306</v>
      </c>
    </row>
    <row r="21" spans="3:28" ht="20.100000000000001" customHeight="1" x14ac:dyDescent="0.25">
      <c r="C21" s="60" t="s">
        <v>338</v>
      </c>
      <c r="D21" s="60" t="s">
        <v>269</v>
      </c>
      <c r="E21" s="44" t="s">
        <v>42</v>
      </c>
      <c r="F21" s="44"/>
      <c r="G21" s="44" t="s">
        <v>236</v>
      </c>
      <c r="H21" s="44" t="s">
        <v>303</v>
      </c>
      <c r="I21" s="44" t="s">
        <v>308</v>
      </c>
      <c r="J21" s="44"/>
      <c r="K21" s="44" t="s">
        <v>305</v>
      </c>
      <c r="L21" s="44"/>
      <c r="M21" s="63">
        <v>10000</v>
      </c>
      <c r="N21" s="44" t="s">
        <v>114</v>
      </c>
      <c r="O21" s="63">
        <v>-20</v>
      </c>
      <c r="P21" s="44" t="s">
        <v>114</v>
      </c>
      <c r="Q21" s="72"/>
      <c r="R21" s="72">
        <v>47755</v>
      </c>
      <c r="S21" s="72">
        <v>47755</v>
      </c>
      <c r="T21" s="72"/>
      <c r="U21" s="73"/>
      <c r="V21" s="73"/>
      <c r="W21" s="74"/>
      <c r="X21" s="46"/>
      <c r="Y21" s="46"/>
      <c r="Z21" s="44"/>
      <c r="AA21" s="44"/>
      <c r="AB21" s="47" t="s">
        <v>309</v>
      </c>
    </row>
    <row r="22" spans="3:28" ht="20.100000000000001" customHeight="1" x14ac:dyDescent="0.25">
      <c r="C22" s="60" t="s">
        <v>339</v>
      </c>
      <c r="D22" s="60" t="s">
        <v>269</v>
      </c>
      <c r="E22" s="44" t="s">
        <v>42</v>
      </c>
      <c r="F22" s="44"/>
      <c r="G22" s="44" t="s">
        <v>114</v>
      </c>
      <c r="H22" s="44" t="s">
        <v>311</v>
      </c>
      <c r="I22" s="44" t="s">
        <v>304</v>
      </c>
      <c r="J22" s="44" t="s">
        <v>312</v>
      </c>
      <c r="K22" s="44" t="s">
        <v>305</v>
      </c>
      <c r="L22" s="44"/>
      <c r="M22" s="63">
        <v>5000</v>
      </c>
      <c r="N22" s="44" t="s">
        <v>114</v>
      </c>
      <c r="O22" s="63">
        <v>50</v>
      </c>
      <c r="P22" s="44" t="s">
        <v>114</v>
      </c>
      <c r="Q22" s="72">
        <v>46660</v>
      </c>
      <c r="R22" s="72">
        <v>50310</v>
      </c>
      <c r="S22" s="72">
        <v>50310</v>
      </c>
      <c r="T22" s="72">
        <v>46660</v>
      </c>
      <c r="U22" s="73">
        <v>0.06</v>
      </c>
      <c r="V22" s="73">
        <v>0.05</v>
      </c>
      <c r="W22" s="74"/>
      <c r="X22" s="46"/>
      <c r="Y22" s="46"/>
      <c r="Z22" s="44"/>
      <c r="AA22" s="44"/>
      <c r="AB22" s="47" t="s">
        <v>313</v>
      </c>
    </row>
    <row r="23" spans="3:28" ht="20.100000000000001" customHeight="1" x14ac:dyDescent="0.25">
      <c r="C23" s="60" t="s">
        <v>340</v>
      </c>
      <c r="D23" s="60" t="s">
        <v>269</v>
      </c>
      <c r="E23" s="44" t="s">
        <v>47</v>
      </c>
      <c r="F23" s="44" t="s">
        <v>220</v>
      </c>
      <c r="G23" s="44" t="s">
        <v>324</v>
      </c>
      <c r="H23" s="44" t="s">
        <v>303</v>
      </c>
      <c r="I23" s="44" t="s">
        <v>304</v>
      </c>
      <c r="J23" s="44"/>
      <c r="K23" s="44" t="s">
        <v>305</v>
      </c>
      <c r="L23" s="44"/>
      <c r="M23" s="63">
        <v>10000</v>
      </c>
      <c r="N23" s="44" t="s">
        <v>114</v>
      </c>
      <c r="O23" s="63">
        <v>-50</v>
      </c>
      <c r="P23" s="44" t="s">
        <v>114</v>
      </c>
      <c r="Q23" s="72"/>
      <c r="R23" s="72"/>
      <c r="S23" s="72">
        <v>46569</v>
      </c>
      <c r="T23" s="72"/>
      <c r="U23" s="73"/>
      <c r="V23" s="73"/>
      <c r="W23" s="74"/>
      <c r="X23" s="46"/>
      <c r="Y23" s="46"/>
      <c r="Z23" s="44"/>
      <c r="AA23" s="44"/>
      <c r="AB23" s="47" t="s">
        <v>325</v>
      </c>
    </row>
    <row r="24" spans="3:28" ht="20.100000000000001" customHeight="1" x14ac:dyDescent="0.25">
      <c r="C24" s="60" t="s">
        <v>341</v>
      </c>
      <c r="D24" s="60" t="s">
        <v>269</v>
      </c>
      <c r="E24" s="44" t="s">
        <v>47</v>
      </c>
      <c r="F24" s="44" t="s">
        <v>220</v>
      </c>
      <c r="G24" s="44" t="s">
        <v>324</v>
      </c>
      <c r="H24" s="44" t="s">
        <v>303</v>
      </c>
      <c r="I24" s="44" t="s">
        <v>308</v>
      </c>
      <c r="J24" s="44"/>
      <c r="K24" s="44" t="s">
        <v>305</v>
      </c>
      <c r="L24" s="44"/>
      <c r="M24" s="63">
        <v>20000</v>
      </c>
      <c r="N24" s="44" t="s">
        <v>114</v>
      </c>
      <c r="O24" s="63">
        <v>-30</v>
      </c>
      <c r="P24" s="44" t="s">
        <v>114</v>
      </c>
      <c r="Q24" s="72"/>
      <c r="R24" s="72"/>
      <c r="S24" s="72">
        <v>47025</v>
      </c>
      <c r="T24" s="72"/>
      <c r="U24" s="73"/>
      <c r="V24" s="73"/>
      <c r="W24" s="74"/>
      <c r="X24" s="46"/>
      <c r="Y24" s="46"/>
      <c r="Z24" s="44"/>
      <c r="AA24" s="44"/>
      <c r="AB24" s="47" t="s">
        <v>327</v>
      </c>
    </row>
    <row r="25" spans="3:28" ht="20.100000000000001" customHeight="1" x14ac:dyDescent="0.25">
      <c r="C25" s="60" t="s">
        <v>342</v>
      </c>
      <c r="D25" s="60" t="s">
        <v>269</v>
      </c>
      <c r="E25" s="44" t="s">
        <v>47</v>
      </c>
      <c r="F25" s="44" t="s">
        <v>222</v>
      </c>
      <c r="G25" s="44" t="s">
        <v>329</v>
      </c>
      <c r="H25" s="44" t="s">
        <v>303</v>
      </c>
      <c r="I25" s="44" t="s">
        <v>304</v>
      </c>
      <c r="J25" s="44"/>
      <c r="K25" s="44" t="s">
        <v>305</v>
      </c>
      <c r="L25" s="44"/>
      <c r="M25" s="63">
        <v>10000</v>
      </c>
      <c r="N25" s="44" t="s">
        <v>114</v>
      </c>
      <c r="O25" s="63">
        <v>100</v>
      </c>
      <c r="P25" s="44" t="s">
        <v>114</v>
      </c>
      <c r="Q25" s="72"/>
      <c r="R25" s="72"/>
      <c r="S25" s="72">
        <v>48120</v>
      </c>
      <c r="T25" s="72"/>
      <c r="U25" s="73"/>
      <c r="V25" s="73"/>
      <c r="W25" s="74"/>
      <c r="X25" s="46"/>
      <c r="Y25" s="46"/>
      <c r="Z25" s="44"/>
      <c r="AA25" s="44"/>
      <c r="AB25" s="47" t="s">
        <v>330</v>
      </c>
    </row>
    <row r="26" spans="3:28" ht="20.100000000000001" customHeight="1" x14ac:dyDescent="0.25">
      <c r="C26" s="60" t="s">
        <v>343</v>
      </c>
      <c r="D26" s="60" t="s">
        <v>272</v>
      </c>
      <c r="E26" s="44" t="s">
        <v>42</v>
      </c>
      <c r="F26" s="44"/>
      <c r="G26" s="44" t="s">
        <v>236</v>
      </c>
      <c r="H26" s="44" t="s">
        <v>303</v>
      </c>
      <c r="I26" s="44" t="s">
        <v>304</v>
      </c>
      <c r="J26" s="44"/>
      <c r="K26" s="44" t="s">
        <v>305</v>
      </c>
      <c r="L26" s="44"/>
      <c r="M26" s="63">
        <v>10000</v>
      </c>
      <c r="N26" s="44" t="s">
        <v>114</v>
      </c>
      <c r="O26" s="63">
        <v>30</v>
      </c>
      <c r="P26" s="44" t="s">
        <v>114</v>
      </c>
      <c r="Q26" s="72"/>
      <c r="R26" s="72">
        <v>49945</v>
      </c>
      <c r="S26" s="72">
        <v>49945</v>
      </c>
      <c r="T26" s="72"/>
      <c r="U26" s="73"/>
      <c r="V26" s="73"/>
      <c r="W26" s="74"/>
      <c r="X26" s="46"/>
      <c r="Y26" s="46"/>
      <c r="Z26" s="44"/>
      <c r="AA26" s="44"/>
      <c r="AB26" s="47" t="s">
        <v>306</v>
      </c>
    </row>
    <row r="27" spans="3:28" ht="20.100000000000001" customHeight="1" x14ac:dyDescent="0.25">
      <c r="C27" s="60" t="s">
        <v>344</v>
      </c>
      <c r="D27" s="60" t="s">
        <v>272</v>
      </c>
      <c r="E27" s="44" t="s">
        <v>42</v>
      </c>
      <c r="F27" s="44"/>
      <c r="G27" s="44" t="s">
        <v>236</v>
      </c>
      <c r="H27" s="44" t="s">
        <v>303</v>
      </c>
      <c r="I27" s="44" t="s">
        <v>308</v>
      </c>
      <c r="J27" s="44"/>
      <c r="K27" s="44" t="s">
        <v>305</v>
      </c>
      <c r="L27" s="44"/>
      <c r="M27" s="63">
        <v>10000</v>
      </c>
      <c r="N27" s="44" t="s">
        <v>114</v>
      </c>
      <c r="O27" s="63">
        <v>-20</v>
      </c>
      <c r="P27" s="44" t="s">
        <v>114</v>
      </c>
      <c r="Q27" s="72"/>
      <c r="R27" s="72">
        <v>47755</v>
      </c>
      <c r="S27" s="72">
        <v>47755</v>
      </c>
      <c r="T27" s="72"/>
      <c r="U27" s="73"/>
      <c r="V27" s="73"/>
      <c r="W27" s="74"/>
      <c r="X27" s="46"/>
      <c r="Y27" s="46"/>
      <c r="Z27" s="44"/>
      <c r="AA27" s="44"/>
      <c r="AB27" s="47" t="s">
        <v>309</v>
      </c>
    </row>
    <row r="28" spans="3:28" ht="20.100000000000001" customHeight="1" x14ac:dyDescent="0.25">
      <c r="C28" s="60" t="s">
        <v>345</v>
      </c>
      <c r="D28" s="60" t="s">
        <v>272</v>
      </c>
      <c r="E28" s="44" t="s">
        <v>42</v>
      </c>
      <c r="F28" s="44"/>
      <c r="G28" s="44" t="s">
        <v>114</v>
      </c>
      <c r="H28" s="44" t="s">
        <v>311</v>
      </c>
      <c r="I28" s="44" t="s">
        <v>304</v>
      </c>
      <c r="J28" s="44" t="s">
        <v>312</v>
      </c>
      <c r="K28" s="44" t="s">
        <v>305</v>
      </c>
      <c r="L28" s="44"/>
      <c r="M28" s="63">
        <v>5000</v>
      </c>
      <c r="N28" s="44" t="s">
        <v>114</v>
      </c>
      <c r="O28" s="63">
        <v>50</v>
      </c>
      <c r="P28" s="44" t="s">
        <v>114</v>
      </c>
      <c r="Q28" s="72">
        <v>46660</v>
      </c>
      <c r="R28" s="72">
        <v>50310</v>
      </c>
      <c r="S28" s="72">
        <v>50310</v>
      </c>
      <c r="T28" s="72">
        <v>46660</v>
      </c>
      <c r="U28" s="73">
        <v>0.06</v>
      </c>
      <c r="V28" s="73">
        <v>0.05</v>
      </c>
      <c r="W28" s="74"/>
      <c r="X28" s="46"/>
      <c r="Y28" s="46"/>
      <c r="Z28" s="44"/>
      <c r="AA28" s="44"/>
      <c r="AB28" s="47" t="s">
        <v>313</v>
      </c>
    </row>
    <row r="29" spans="3:28" ht="20.100000000000001" customHeight="1" x14ac:dyDescent="0.25">
      <c r="C29" s="60" t="s">
        <v>346</v>
      </c>
      <c r="D29" s="60" t="s">
        <v>272</v>
      </c>
      <c r="E29" s="44" t="s">
        <v>47</v>
      </c>
      <c r="F29" s="44" t="s">
        <v>220</v>
      </c>
      <c r="G29" s="44" t="s">
        <v>324</v>
      </c>
      <c r="H29" s="44" t="s">
        <v>303</v>
      </c>
      <c r="I29" s="44" t="s">
        <v>304</v>
      </c>
      <c r="J29" s="44"/>
      <c r="K29" s="44" t="s">
        <v>305</v>
      </c>
      <c r="L29" s="44"/>
      <c r="M29" s="63">
        <v>10000</v>
      </c>
      <c r="N29" s="44" t="s">
        <v>114</v>
      </c>
      <c r="O29" s="63">
        <v>-50</v>
      </c>
      <c r="P29" s="44" t="s">
        <v>114</v>
      </c>
      <c r="Q29" s="72"/>
      <c r="R29" s="72"/>
      <c r="S29" s="72">
        <v>46569</v>
      </c>
      <c r="T29" s="72"/>
      <c r="U29" s="73"/>
      <c r="V29" s="73"/>
      <c r="W29" s="74"/>
      <c r="X29" s="46"/>
      <c r="Y29" s="46"/>
      <c r="Z29" s="44"/>
      <c r="AA29" s="44"/>
      <c r="AB29" s="47" t="s">
        <v>325</v>
      </c>
    </row>
    <row r="30" spans="3:28" ht="20.100000000000001" customHeight="1" x14ac:dyDescent="0.25">
      <c r="C30" s="60" t="s">
        <v>347</v>
      </c>
      <c r="D30" s="60" t="s">
        <v>272</v>
      </c>
      <c r="E30" s="44" t="s">
        <v>47</v>
      </c>
      <c r="F30" s="44" t="s">
        <v>220</v>
      </c>
      <c r="G30" s="44" t="s">
        <v>324</v>
      </c>
      <c r="H30" s="44" t="s">
        <v>303</v>
      </c>
      <c r="I30" s="44" t="s">
        <v>308</v>
      </c>
      <c r="J30" s="44"/>
      <c r="K30" s="44" t="s">
        <v>305</v>
      </c>
      <c r="L30" s="44"/>
      <c r="M30" s="63">
        <v>20000</v>
      </c>
      <c r="N30" s="44" t="s">
        <v>114</v>
      </c>
      <c r="O30" s="63">
        <v>-30</v>
      </c>
      <c r="P30" s="44" t="s">
        <v>114</v>
      </c>
      <c r="Q30" s="72"/>
      <c r="R30" s="72"/>
      <c r="S30" s="72">
        <v>47025</v>
      </c>
      <c r="T30" s="72"/>
      <c r="U30" s="73"/>
      <c r="V30" s="73"/>
      <c r="W30" s="74"/>
      <c r="X30" s="46"/>
      <c r="Y30" s="46"/>
      <c r="Z30" s="44"/>
      <c r="AA30" s="44"/>
      <c r="AB30" s="47" t="s">
        <v>327</v>
      </c>
    </row>
    <row r="31" spans="3:28" ht="20.100000000000001" customHeight="1" x14ac:dyDescent="0.25">
      <c r="C31" s="60" t="s">
        <v>348</v>
      </c>
      <c r="D31" s="60" t="s">
        <v>272</v>
      </c>
      <c r="E31" s="44" t="s">
        <v>47</v>
      </c>
      <c r="F31" s="44" t="s">
        <v>222</v>
      </c>
      <c r="G31" s="44" t="s">
        <v>329</v>
      </c>
      <c r="H31" s="44" t="s">
        <v>303</v>
      </c>
      <c r="I31" s="44" t="s">
        <v>304</v>
      </c>
      <c r="J31" s="44"/>
      <c r="K31" s="44" t="s">
        <v>305</v>
      </c>
      <c r="L31" s="44"/>
      <c r="M31" s="63">
        <v>10000</v>
      </c>
      <c r="N31" s="44" t="s">
        <v>114</v>
      </c>
      <c r="O31" s="63">
        <v>100</v>
      </c>
      <c r="P31" s="44" t="s">
        <v>114</v>
      </c>
      <c r="Q31" s="72"/>
      <c r="R31" s="72"/>
      <c r="S31" s="72">
        <v>48120</v>
      </c>
      <c r="T31" s="72"/>
      <c r="U31" s="73"/>
      <c r="V31" s="73"/>
      <c r="W31" s="74"/>
      <c r="X31" s="46"/>
      <c r="Y31" s="46"/>
      <c r="Z31" s="44"/>
      <c r="AA31" s="44"/>
      <c r="AB31" s="47" t="s">
        <v>330</v>
      </c>
    </row>
    <row r="32" spans="3:28" ht="20.100000000000001" customHeight="1" x14ac:dyDescent="0.25">
      <c r="C32" s="60" t="s">
        <v>349</v>
      </c>
      <c r="D32" s="60" t="s">
        <v>278</v>
      </c>
      <c r="E32" s="44" t="s">
        <v>42</v>
      </c>
      <c r="F32" s="44"/>
      <c r="G32" s="44" t="s">
        <v>236</v>
      </c>
      <c r="H32" s="44" t="s">
        <v>303</v>
      </c>
      <c r="I32" s="44" t="s">
        <v>304</v>
      </c>
      <c r="J32" s="44"/>
      <c r="K32" s="44" t="s">
        <v>305</v>
      </c>
      <c r="L32" s="44"/>
      <c r="M32" s="63">
        <v>10000</v>
      </c>
      <c r="N32" s="44" t="s">
        <v>114</v>
      </c>
      <c r="O32" s="63">
        <v>30</v>
      </c>
      <c r="P32" s="44" t="s">
        <v>114</v>
      </c>
      <c r="Q32" s="72"/>
      <c r="R32" s="72">
        <v>49945</v>
      </c>
      <c r="S32" s="72">
        <v>49945</v>
      </c>
      <c r="T32" s="72"/>
      <c r="U32" s="73"/>
      <c r="V32" s="73"/>
      <c r="W32" s="74"/>
      <c r="X32" s="46"/>
      <c r="Y32" s="46"/>
      <c r="Z32" s="44"/>
      <c r="AA32" s="44"/>
      <c r="AB32" s="47" t="s">
        <v>306</v>
      </c>
    </row>
    <row r="33" spans="3:28" ht="20.100000000000001" customHeight="1" x14ac:dyDescent="0.25">
      <c r="C33" s="60" t="s">
        <v>350</v>
      </c>
      <c r="D33" s="60" t="s">
        <v>278</v>
      </c>
      <c r="E33" s="44" t="s">
        <v>42</v>
      </c>
      <c r="F33" s="44"/>
      <c r="G33" s="44" t="s">
        <v>236</v>
      </c>
      <c r="H33" s="44" t="s">
        <v>303</v>
      </c>
      <c r="I33" s="44" t="s">
        <v>308</v>
      </c>
      <c r="J33" s="44"/>
      <c r="K33" s="44" t="s">
        <v>305</v>
      </c>
      <c r="L33" s="44"/>
      <c r="M33" s="63">
        <v>10000</v>
      </c>
      <c r="N33" s="44" t="s">
        <v>114</v>
      </c>
      <c r="O33" s="63">
        <v>-20</v>
      </c>
      <c r="P33" s="44" t="s">
        <v>114</v>
      </c>
      <c r="Q33" s="72"/>
      <c r="R33" s="72">
        <v>47755</v>
      </c>
      <c r="S33" s="72">
        <v>47755</v>
      </c>
      <c r="T33" s="72"/>
      <c r="U33" s="73"/>
      <c r="V33" s="73"/>
      <c r="W33" s="74"/>
      <c r="X33" s="46"/>
      <c r="Y33" s="46"/>
      <c r="Z33" s="44"/>
      <c r="AA33" s="44"/>
      <c r="AB33" s="47" t="s">
        <v>309</v>
      </c>
    </row>
    <row r="34" spans="3:28" ht="20.100000000000001" customHeight="1" x14ac:dyDescent="0.25">
      <c r="C34" s="60" t="s">
        <v>351</v>
      </c>
      <c r="D34" s="60" t="s">
        <v>278</v>
      </c>
      <c r="E34" s="44" t="s">
        <v>42</v>
      </c>
      <c r="F34" s="44"/>
      <c r="G34" s="44" t="s">
        <v>114</v>
      </c>
      <c r="H34" s="44" t="s">
        <v>311</v>
      </c>
      <c r="I34" s="44" t="s">
        <v>304</v>
      </c>
      <c r="J34" s="44" t="s">
        <v>312</v>
      </c>
      <c r="K34" s="44" t="s">
        <v>305</v>
      </c>
      <c r="L34" s="44"/>
      <c r="M34" s="63">
        <v>5000</v>
      </c>
      <c r="N34" s="44" t="s">
        <v>114</v>
      </c>
      <c r="O34" s="63">
        <v>50</v>
      </c>
      <c r="P34" s="44" t="s">
        <v>114</v>
      </c>
      <c r="Q34" s="72">
        <v>46660</v>
      </c>
      <c r="R34" s="72">
        <v>50310</v>
      </c>
      <c r="S34" s="72">
        <v>50310</v>
      </c>
      <c r="T34" s="72">
        <v>46660</v>
      </c>
      <c r="U34" s="73">
        <v>0.01</v>
      </c>
      <c r="V34" s="73">
        <v>0.05</v>
      </c>
      <c r="W34" s="74"/>
      <c r="X34" s="46"/>
      <c r="Y34" s="46"/>
      <c r="Z34" s="44"/>
      <c r="AA34" s="44"/>
      <c r="AB34" s="47" t="s">
        <v>352</v>
      </c>
    </row>
    <row r="35" spans="3:28" ht="20.100000000000001" customHeight="1" x14ac:dyDescent="0.25">
      <c r="C35" s="60" t="s">
        <v>353</v>
      </c>
      <c r="D35" s="60" t="s">
        <v>274</v>
      </c>
      <c r="E35" s="44" t="s">
        <v>42</v>
      </c>
      <c r="F35" s="44"/>
      <c r="G35" s="44" t="s">
        <v>114</v>
      </c>
      <c r="H35" s="44" t="s">
        <v>303</v>
      </c>
      <c r="I35" s="44" t="s">
        <v>308</v>
      </c>
      <c r="J35" s="44"/>
      <c r="K35" s="44" t="s">
        <v>305</v>
      </c>
      <c r="L35" s="44"/>
      <c r="M35" s="63">
        <v>5845000000</v>
      </c>
      <c r="N35" s="44" t="s">
        <v>114</v>
      </c>
      <c r="O35" s="63">
        <v>-1100000000</v>
      </c>
      <c r="P35" s="44" t="s">
        <v>114</v>
      </c>
      <c r="Q35" s="72"/>
      <c r="R35" s="72">
        <v>49945</v>
      </c>
      <c r="S35" s="72">
        <v>49945</v>
      </c>
      <c r="T35" s="72"/>
      <c r="U35" s="73"/>
      <c r="V35" s="73"/>
      <c r="W35" s="74"/>
      <c r="X35" s="46"/>
      <c r="Y35" s="46"/>
      <c r="Z35" s="44"/>
      <c r="AA35" s="44"/>
      <c r="AB35" s="47" t="s">
        <v>354</v>
      </c>
    </row>
    <row r="36" spans="3:28" ht="20.100000000000001" customHeight="1" x14ac:dyDescent="0.25">
      <c r="C36" s="60" t="s">
        <v>355</v>
      </c>
      <c r="D36" s="60" t="s">
        <v>276</v>
      </c>
      <c r="E36" s="44" t="s">
        <v>42</v>
      </c>
      <c r="F36" s="44"/>
      <c r="G36" s="44" t="s">
        <v>114</v>
      </c>
      <c r="H36" s="44" t="s">
        <v>303</v>
      </c>
      <c r="I36" s="44" t="s">
        <v>308</v>
      </c>
      <c r="J36" s="44"/>
      <c r="K36" s="44" t="s">
        <v>305</v>
      </c>
      <c r="L36" s="44"/>
      <c r="M36" s="63">
        <v>5845000000</v>
      </c>
      <c r="N36" s="44" t="s">
        <v>114</v>
      </c>
      <c r="O36" s="63">
        <v>-1100000000</v>
      </c>
      <c r="P36" s="44" t="s">
        <v>114</v>
      </c>
      <c r="Q36" s="72"/>
      <c r="R36" s="72">
        <v>49945</v>
      </c>
      <c r="S36" s="72">
        <v>49945</v>
      </c>
      <c r="T36" s="72"/>
      <c r="U36" s="73"/>
      <c r="V36" s="73"/>
      <c r="W36" s="74"/>
      <c r="X36" s="46"/>
      <c r="Y36" s="46"/>
      <c r="Z36" s="44"/>
      <c r="AA36" s="44"/>
      <c r="AB36" s="47" t="s">
        <v>354</v>
      </c>
    </row>
    <row r="37" spans="3:28" ht="20.100000000000001" customHeight="1" x14ac:dyDescent="0.25">
      <c r="C37" s="60" t="s">
        <v>356</v>
      </c>
      <c r="D37" s="60" t="s">
        <v>280</v>
      </c>
      <c r="E37" s="44" t="s">
        <v>42</v>
      </c>
      <c r="F37" s="44"/>
      <c r="G37" s="44" t="s">
        <v>114</v>
      </c>
      <c r="H37" s="44" t="s">
        <v>311</v>
      </c>
      <c r="I37" s="44" t="s">
        <v>304</v>
      </c>
      <c r="J37" s="44" t="s">
        <v>312</v>
      </c>
      <c r="K37" s="44" t="s">
        <v>305</v>
      </c>
      <c r="L37" s="44"/>
      <c r="M37" s="63">
        <v>10000</v>
      </c>
      <c r="N37" s="44" t="s">
        <v>114</v>
      </c>
      <c r="O37" s="63">
        <v>15</v>
      </c>
      <c r="P37" s="44" t="s">
        <v>114</v>
      </c>
      <c r="Q37" s="72">
        <v>46660</v>
      </c>
      <c r="R37" s="72">
        <v>48485</v>
      </c>
      <c r="S37" s="72">
        <v>48485</v>
      </c>
      <c r="T37" s="72">
        <v>46660</v>
      </c>
      <c r="U37" s="73">
        <v>-2E-3</v>
      </c>
      <c r="V37" s="73">
        <v>1E-3</v>
      </c>
      <c r="W37" s="74"/>
      <c r="X37" s="46"/>
      <c r="Y37" s="46"/>
      <c r="Z37" s="44"/>
      <c r="AA37" s="44"/>
      <c r="AB37" s="47" t="s">
        <v>357</v>
      </c>
    </row>
    <row r="38" spans="3:28" ht="20.100000000000001" customHeight="1" x14ac:dyDescent="0.25">
      <c r="C38" s="60" t="s">
        <v>358</v>
      </c>
      <c r="D38" s="60" t="s">
        <v>282</v>
      </c>
      <c r="E38" s="44" t="s">
        <v>42</v>
      </c>
      <c r="F38" s="44"/>
      <c r="G38" s="44" t="s">
        <v>114</v>
      </c>
      <c r="H38" s="44" t="s">
        <v>311</v>
      </c>
      <c r="I38" s="44" t="s">
        <v>304</v>
      </c>
      <c r="J38" s="44" t="s">
        <v>312</v>
      </c>
      <c r="K38" s="44" t="s">
        <v>305</v>
      </c>
      <c r="L38" s="44"/>
      <c r="M38" s="63">
        <v>10000</v>
      </c>
      <c r="N38" s="44" t="s">
        <v>114</v>
      </c>
      <c r="O38" s="63">
        <v>15</v>
      </c>
      <c r="P38" s="44" t="s">
        <v>114</v>
      </c>
      <c r="Q38" s="72">
        <v>46660</v>
      </c>
      <c r="R38" s="72">
        <v>48485</v>
      </c>
      <c r="S38" s="72">
        <v>48485</v>
      </c>
      <c r="T38" s="72">
        <v>46660</v>
      </c>
      <c r="U38" s="73">
        <v>-2E-3</v>
      </c>
      <c r="V38" s="73">
        <v>1E-3</v>
      </c>
      <c r="W38" s="74"/>
      <c r="X38" s="46"/>
      <c r="Y38" s="46"/>
      <c r="Z38" s="44"/>
      <c r="AA38" s="44"/>
      <c r="AB38" s="47" t="s">
        <v>357</v>
      </c>
    </row>
    <row r="39" spans="3:28" ht="20.100000000000001" customHeight="1" x14ac:dyDescent="0.25">
      <c r="C39" s="60" t="s">
        <v>359</v>
      </c>
      <c r="D39" s="60" t="s">
        <v>284</v>
      </c>
      <c r="E39" s="44" t="s">
        <v>47</v>
      </c>
      <c r="F39" s="44" t="s">
        <v>220</v>
      </c>
      <c r="G39" s="44" t="s">
        <v>360</v>
      </c>
      <c r="H39" s="44" t="s">
        <v>311</v>
      </c>
      <c r="I39" s="44" t="s">
        <v>304</v>
      </c>
      <c r="J39" s="44" t="s">
        <v>361</v>
      </c>
      <c r="K39" s="44" t="s">
        <v>305</v>
      </c>
      <c r="L39" s="44"/>
      <c r="M39" s="63">
        <v>10000</v>
      </c>
      <c r="N39" s="44" t="s">
        <v>114</v>
      </c>
      <c r="O39" s="63">
        <v>40</v>
      </c>
      <c r="P39" s="44" t="s">
        <v>114</v>
      </c>
      <c r="Q39" s="72"/>
      <c r="R39" s="72"/>
      <c r="S39" s="72">
        <v>46477</v>
      </c>
      <c r="T39" s="72">
        <v>46477</v>
      </c>
      <c r="U39" s="73">
        <v>-5</v>
      </c>
      <c r="V39" s="73">
        <v>-4</v>
      </c>
      <c r="W39" s="74"/>
      <c r="X39" s="46"/>
      <c r="Y39" s="46"/>
      <c r="Z39" s="44"/>
      <c r="AA39" s="44"/>
      <c r="AB39" s="47" t="s">
        <v>362</v>
      </c>
    </row>
    <row r="40" spans="3:28" ht="20.100000000000001" customHeight="1" x14ac:dyDescent="0.25">
      <c r="C40" s="60" t="s">
        <v>363</v>
      </c>
      <c r="D40" s="60" t="s">
        <v>286</v>
      </c>
      <c r="E40" s="44" t="s">
        <v>229</v>
      </c>
      <c r="F40" s="44"/>
      <c r="G40" s="44" t="s">
        <v>364</v>
      </c>
      <c r="H40" s="44" t="s">
        <v>303</v>
      </c>
      <c r="I40" s="44" t="s">
        <v>304</v>
      </c>
      <c r="J40" s="44"/>
      <c r="K40" s="44" t="s">
        <v>305</v>
      </c>
      <c r="L40" s="44"/>
      <c r="M40" s="63">
        <v>10000</v>
      </c>
      <c r="N40" s="44" t="s">
        <v>114</v>
      </c>
      <c r="O40" s="63">
        <v>0</v>
      </c>
      <c r="P40" s="44" t="s">
        <v>114</v>
      </c>
      <c r="Q40" s="72"/>
      <c r="R40" s="72"/>
      <c r="S40" s="72">
        <v>47025</v>
      </c>
      <c r="T40" s="72"/>
      <c r="U40" s="73"/>
      <c r="V40" s="73"/>
      <c r="W40" s="74"/>
      <c r="X40" s="46"/>
      <c r="Y40" s="46"/>
      <c r="Z40" s="44"/>
      <c r="AA40" s="44"/>
      <c r="AB40" s="47" t="s">
        <v>365</v>
      </c>
    </row>
    <row r="41" spans="3:28" ht="20.100000000000001" customHeight="1" x14ac:dyDescent="0.25">
      <c r="C41" s="60" t="s">
        <v>366</v>
      </c>
      <c r="D41" s="60" t="s">
        <v>286</v>
      </c>
      <c r="E41" s="44" t="s">
        <v>229</v>
      </c>
      <c r="F41" s="44"/>
      <c r="G41" s="44" t="s">
        <v>364</v>
      </c>
      <c r="H41" s="44" t="s">
        <v>303</v>
      </c>
      <c r="I41" s="44" t="s">
        <v>308</v>
      </c>
      <c r="J41" s="44"/>
      <c r="K41" s="44" t="s">
        <v>305</v>
      </c>
      <c r="L41" s="44"/>
      <c r="M41" s="63">
        <v>4000</v>
      </c>
      <c r="N41" s="44" t="s">
        <v>114</v>
      </c>
      <c r="O41" s="63">
        <v>0</v>
      </c>
      <c r="P41" s="44" t="s">
        <v>114</v>
      </c>
      <c r="Q41" s="72"/>
      <c r="R41" s="72"/>
      <c r="S41" s="72">
        <v>47390</v>
      </c>
      <c r="T41" s="72"/>
      <c r="U41" s="73"/>
      <c r="V41" s="73"/>
      <c r="W41" s="74"/>
      <c r="X41" s="46"/>
      <c r="Y41" s="46"/>
      <c r="Z41" s="44"/>
      <c r="AA41" s="44"/>
      <c r="AB41" s="47" t="s">
        <v>367</v>
      </c>
    </row>
    <row r="42" spans="3:28" ht="20.100000000000001" customHeight="1" x14ac:dyDescent="0.25">
      <c r="C42" s="60" t="s">
        <v>368</v>
      </c>
      <c r="D42" s="60" t="s">
        <v>286</v>
      </c>
      <c r="E42" s="44" t="s">
        <v>229</v>
      </c>
      <c r="F42" s="44"/>
      <c r="G42" s="44" t="s">
        <v>369</v>
      </c>
      <c r="H42" s="44" t="s">
        <v>303</v>
      </c>
      <c r="I42" s="44" t="s">
        <v>304</v>
      </c>
      <c r="J42" s="44"/>
      <c r="K42" s="44" t="s">
        <v>305</v>
      </c>
      <c r="L42" s="44"/>
      <c r="M42" s="63">
        <v>5000</v>
      </c>
      <c r="N42" s="44" t="s">
        <v>114</v>
      </c>
      <c r="O42" s="63">
        <v>0</v>
      </c>
      <c r="P42" s="44" t="s">
        <v>114</v>
      </c>
      <c r="Q42" s="72"/>
      <c r="R42" s="72"/>
      <c r="S42" s="72">
        <v>46843</v>
      </c>
      <c r="T42" s="72"/>
      <c r="U42" s="73"/>
      <c r="V42" s="73"/>
      <c r="W42" s="74"/>
      <c r="X42" s="46"/>
      <c r="Y42" s="46"/>
      <c r="Z42" s="44"/>
      <c r="AA42" s="44"/>
      <c r="AB42" s="47" t="s">
        <v>370</v>
      </c>
    </row>
    <row r="43" spans="3:28" ht="20.100000000000001" customHeight="1" x14ac:dyDescent="0.25">
      <c r="C43" s="60" t="s">
        <v>371</v>
      </c>
      <c r="D43" s="60" t="s">
        <v>843</v>
      </c>
      <c r="E43" s="44" t="s">
        <v>229</v>
      </c>
      <c r="F43" s="44"/>
      <c r="G43" s="44" t="s">
        <v>364</v>
      </c>
      <c r="H43" s="44" t="s">
        <v>303</v>
      </c>
      <c r="I43" s="44" t="s">
        <v>304</v>
      </c>
      <c r="J43" s="44"/>
      <c r="K43" s="44" t="s">
        <v>305</v>
      </c>
      <c r="L43" s="44"/>
      <c r="M43" s="63">
        <v>10000</v>
      </c>
      <c r="N43" s="44" t="s">
        <v>114</v>
      </c>
      <c r="O43" s="63">
        <v>0</v>
      </c>
      <c r="P43" s="44" t="s">
        <v>114</v>
      </c>
      <c r="Q43" s="72"/>
      <c r="R43" s="72"/>
      <c r="S43" s="72">
        <v>47025</v>
      </c>
      <c r="T43" s="72"/>
      <c r="U43" s="73"/>
      <c r="V43" s="73"/>
      <c r="W43" s="74"/>
      <c r="X43" s="46"/>
      <c r="Y43" s="46"/>
      <c r="Z43" s="44"/>
      <c r="AA43" s="44"/>
      <c r="AB43" s="47" t="s">
        <v>372</v>
      </c>
    </row>
    <row r="44" spans="3:28" ht="20.100000000000001" customHeight="1" x14ac:dyDescent="0.25">
      <c r="C44" s="60" t="s">
        <v>373</v>
      </c>
      <c r="D44" s="60" t="s">
        <v>288</v>
      </c>
      <c r="E44" s="44" t="s">
        <v>47</v>
      </c>
      <c r="F44" s="44" t="s">
        <v>228</v>
      </c>
      <c r="G44" s="44" t="s">
        <v>374</v>
      </c>
      <c r="H44" s="44" t="s">
        <v>303</v>
      </c>
      <c r="I44" s="44" t="s">
        <v>304</v>
      </c>
      <c r="J44" s="44"/>
      <c r="K44" s="44" t="s">
        <v>305</v>
      </c>
      <c r="L44" s="44"/>
      <c r="M44" s="63">
        <v>1000</v>
      </c>
      <c r="N44" s="44" t="s">
        <v>114</v>
      </c>
      <c r="O44" s="63">
        <v>5</v>
      </c>
      <c r="P44" s="44" t="s">
        <v>114</v>
      </c>
      <c r="Q44" s="72"/>
      <c r="R44" s="72"/>
      <c r="S44" s="72">
        <v>46477</v>
      </c>
      <c r="T44" s="72"/>
      <c r="U44" s="73"/>
      <c r="V44" s="73"/>
      <c r="W44" s="74"/>
      <c r="X44" s="46"/>
      <c r="Y44" s="46"/>
      <c r="Z44" s="44"/>
      <c r="AA44" s="44"/>
      <c r="AB44" s="47" t="s">
        <v>375</v>
      </c>
    </row>
    <row r="45" spans="3:28" ht="20.100000000000001" customHeight="1" x14ac:dyDescent="0.25">
      <c r="C45" s="60" t="s">
        <v>376</v>
      </c>
      <c r="D45" s="60" t="s">
        <v>290</v>
      </c>
      <c r="E45" s="44" t="s">
        <v>42</v>
      </c>
      <c r="F45" s="44"/>
      <c r="G45" s="44" t="s">
        <v>114</v>
      </c>
      <c r="H45" s="44" t="s">
        <v>303</v>
      </c>
      <c r="I45" s="44" t="s">
        <v>304</v>
      </c>
      <c r="J45" s="44"/>
      <c r="K45" s="44" t="s">
        <v>305</v>
      </c>
      <c r="L45" s="44"/>
      <c r="M45" s="63">
        <v>50000000</v>
      </c>
      <c r="N45" s="44" t="s">
        <v>114</v>
      </c>
      <c r="O45" s="63">
        <v>820000</v>
      </c>
      <c r="P45" s="44" t="s">
        <v>114</v>
      </c>
      <c r="Q45" s="72"/>
      <c r="R45" s="72">
        <v>48850</v>
      </c>
      <c r="S45" s="72">
        <v>48850</v>
      </c>
      <c r="T45" s="72"/>
      <c r="U45" s="73"/>
      <c r="V45" s="73"/>
      <c r="W45" s="74"/>
      <c r="X45" s="46"/>
      <c r="Y45" s="46"/>
      <c r="Z45" s="44"/>
      <c r="AA45" s="44"/>
      <c r="AB45" s="47" t="s">
        <v>377</v>
      </c>
    </row>
    <row r="46" spans="3:28" ht="20.100000000000001" customHeight="1" x14ac:dyDescent="0.25">
      <c r="C46" s="60" t="s">
        <v>378</v>
      </c>
      <c r="D46" s="60" t="s">
        <v>290</v>
      </c>
      <c r="E46" s="44" t="s">
        <v>42</v>
      </c>
      <c r="F46" s="44"/>
      <c r="G46" s="44" t="s">
        <v>114</v>
      </c>
      <c r="H46" s="44" t="s">
        <v>303</v>
      </c>
      <c r="I46" s="44" t="s">
        <v>308</v>
      </c>
      <c r="J46" s="44"/>
      <c r="K46" s="44" t="s">
        <v>305</v>
      </c>
      <c r="L46" s="44"/>
      <c r="M46" s="63">
        <v>30000000</v>
      </c>
      <c r="N46" s="44" t="s">
        <v>114</v>
      </c>
      <c r="O46" s="63">
        <v>-210000</v>
      </c>
      <c r="P46" s="44" t="s">
        <v>114</v>
      </c>
      <c r="Q46" s="72"/>
      <c r="R46" s="72">
        <v>47025</v>
      </c>
      <c r="S46" s="72">
        <v>47025</v>
      </c>
      <c r="T46" s="72"/>
      <c r="U46" s="73"/>
      <c r="V46" s="73"/>
      <c r="W46" s="74"/>
      <c r="X46" s="46"/>
      <c r="Y46" s="46"/>
      <c r="Z46" s="44"/>
      <c r="AA46" s="44"/>
      <c r="AB46" s="47" t="s">
        <v>379</v>
      </c>
    </row>
    <row r="47" spans="3:28" ht="20.100000000000001" customHeight="1" x14ac:dyDescent="0.25">
      <c r="C47" s="60" t="s">
        <v>380</v>
      </c>
      <c r="D47" s="60" t="s">
        <v>290</v>
      </c>
      <c r="E47" s="44" t="s">
        <v>42</v>
      </c>
      <c r="F47" s="44"/>
      <c r="G47" s="44" t="s">
        <v>236</v>
      </c>
      <c r="H47" s="44" t="s">
        <v>303</v>
      </c>
      <c r="I47" s="44" t="s">
        <v>308</v>
      </c>
      <c r="J47" s="44"/>
      <c r="K47" s="44" t="s">
        <v>305</v>
      </c>
      <c r="L47" s="44"/>
      <c r="M47" s="63">
        <v>40000000</v>
      </c>
      <c r="N47" s="44" t="s">
        <v>236</v>
      </c>
      <c r="O47" s="63">
        <v>-1150000</v>
      </c>
      <c r="P47" s="44" t="s">
        <v>236</v>
      </c>
      <c r="Q47" s="72"/>
      <c r="R47" s="72">
        <v>50675</v>
      </c>
      <c r="S47" s="72">
        <v>50675</v>
      </c>
      <c r="T47" s="72"/>
      <c r="U47" s="73"/>
      <c r="V47" s="73"/>
      <c r="W47" s="74"/>
      <c r="X47" s="46"/>
      <c r="Y47" s="46"/>
      <c r="Z47" s="44"/>
      <c r="AA47" s="44"/>
      <c r="AB47" s="47" t="s">
        <v>381</v>
      </c>
    </row>
    <row r="48" spans="3:28" ht="20.100000000000001" customHeight="1" x14ac:dyDescent="0.25">
      <c r="C48" s="60" t="s">
        <v>382</v>
      </c>
      <c r="D48" s="60" t="s">
        <v>290</v>
      </c>
      <c r="E48" s="44" t="s">
        <v>42</v>
      </c>
      <c r="F48" s="44"/>
      <c r="G48" s="44" t="s">
        <v>114</v>
      </c>
      <c r="H48" s="44" t="s">
        <v>303</v>
      </c>
      <c r="I48" s="44" t="s">
        <v>304</v>
      </c>
      <c r="J48" s="44"/>
      <c r="K48" s="44" t="s">
        <v>383</v>
      </c>
      <c r="L48" s="44" t="s">
        <v>384</v>
      </c>
      <c r="M48" s="63">
        <v>25000000</v>
      </c>
      <c r="N48" s="44" t="s">
        <v>114</v>
      </c>
      <c r="O48" s="63">
        <v>45000</v>
      </c>
      <c r="P48" s="44" t="s">
        <v>114</v>
      </c>
      <c r="Q48" s="72"/>
      <c r="R48" s="72">
        <v>48120</v>
      </c>
      <c r="S48" s="72">
        <v>48120</v>
      </c>
      <c r="T48" s="72"/>
      <c r="U48" s="73"/>
      <c r="V48" s="73"/>
      <c r="W48" s="74"/>
      <c r="X48" s="46"/>
      <c r="Y48" s="46"/>
      <c r="Z48" s="44"/>
      <c r="AA48" s="44"/>
      <c r="AB48" s="47" t="s">
        <v>385</v>
      </c>
    </row>
    <row r="49" spans="3:28" ht="20.100000000000001" customHeight="1" x14ac:dyDescent="0.25">
      <c r="C49" s="60" t="s">
        <v>386</v>
      </c>
      <c r="D49" s="60" t="s">
        <v>290</v>
      </c>
      <c r="E49" s="44" t="s">
        <v>42</v>
      </c>
      <c r="F49" s="44"/>
      <c r="G49" s="44" t="s">
        <v>114</v>
      </c>
      <c r="H49" s="44" t="s">
        <v>311</v>
      </c>
      <c r="I49" s="44" t="s">
        <v>304</v>
      </c>
      <c r="J49" s="44" t="s">
        <v>361</v>
      </c>
      <c r="K49" s="44" t="s">
        <v>305</v>
      </c>
      <c r="L49" s="44"/>
      <c r="M49" s="63">
        <v>20000000</v>
      </c>
      <c r="N49" s="44" t="s">
        <v>114</v>
      </c>
      <c r="O49" s="63">
        <v>310000</v>
      </c>
      <c r="P49" s="44" t="s">
        <v>114</v>
      </c>
      <c r="Q49" s="72">
        <v>47025</v>
      </c>
      <c r="R49" s="72">
        <v>48850</v>
      </c>
      <c r="S49" s="72">
        <v>48850</v>
      </c>
      <c r="T49" s="72">
        <v>47025</v>
      </c>
      <c r="U49" s="73">
        <v>2.5999999999999999E-2</v>
      </c>
      <c r="V49" s="73">
        <v>0.03</v>
      </c>
      <c r="W49" s="74"/>
      <c r="X49" s="46"/>
      <c r="Y49" s="46"/>
      <c r="Z49" s="44"/>
      <c r="AA49" s="44"/>
      <c r="AB49" s="47" t="s">
        <v>387</v>
      </c>
    </row>
    <row r="50" spans="3:28" ht="20.100000000000001" customHeight="1" x14ac:dyDescent="0.25">
      <c r="C50" s="60" t="s">
        <v>388</v>
      </c>
      <c r="D50" s="60" t="s">
        <v>290</v>
      </c>
      <c r="E50" s="44" t="s">
        <v>42</v>
      </c>
      <c r="F50" s="44"/>
      <c r="G50" s="44" t="s">
        <v>114</v>
      </c>
      <c r="H50" s="44" t="s">
        <v>303</v>
      </c>
      <c r="I50" s="44" t="s">
        <v>308</v>
      </c>
      <c r="J50" s="44"/>
      <c r="K50" s="44" t="s">
        <v>305</v>
      </c>
      <c r="L50" s="44"/>
      <c r="M50" s="63">
        <v>15000000</v>
      </c>
      <c r="N50" s="44" t="s">
        <v>114</v>
      </c>
      <c r="O50" s="63">
        <v>-60000</v>
      </c>
      <c r="P50" s="44" t="s">
        <v>114</v>
      </c>
      <c r="Q50" s="72">
        <v>46660</v>
      </c>
      <c r="R50" s="72">
        <v>47755</v>
      </c>
      <c r="S50" s="72">
        <v>47755</v>
      </c>
      <c r="T50" s="72"/>
      <c r="U50" s="73"/>
      <c r="V50" s="73"/>
      <c r="W50" s="74"/>
      <c r="X50" s="46"/>
      <c r="Y50" s="46"/>
      <c r="Z50" s="44"/>
      <c r="AA50" s="44"/>
      <c r="AB50" s="47" t="s">
        <v>389</v>
      </c>
    </row>
    <row r="51" spans="3:28" ht="20.100000000000001" customHeight="1" x14ac:dyDescent="0.25">
      <c r="C51" s="60" t="s">
        <v>390</v>
      </c>
      <c r="D51" s="60" t="s">
        <v>290</v>
      </c>
      <c r="E51" s="44" t="s">
        <v>43</v>
      </c>
      <c r="F51" s="44"/>
      <c r="G51" s="44" t="s">
        <v>391</v>
      </c>
      <c r="H51" s="44" t="s">
        <v>303</v>
      </c>
      <c r="I51" s="44" t="s">
        <v>308</v>
      </c>
      <c r="J51" s="44"/>
      <c r="K51" s="44" t="s">
        <v>305</v>
      </c>
      <c r="L51" s="44"/>
      <c r="M51" s="63">
        <v>25000000</v>
      </c>
      <c r="N51" s="44" t="s">
        <v>236</v>
      </c>
      <c r="O51" s="63">
        <v>-320000</v>
      </c>
      <c r="P51" s="44" t="s">
        <v>114</v>
      </c>
      <c r="Q51" s="72"/>
      <c r="R51" s="72"/>
      <c r="S51" s="72">
        <v>46660</v>
      </c>
      <c r="T51" s="72"/>
      <c r="U51" s="73"/>
      <c r="V51" s="73"/>
      <c r="W51" s="74"/>
      <c r="X51" s="46"/>
      <c r="Y51" s="46"/>
      <c r="Z51" s="44"/>
      <c r="AA51" s="44"/>
      <c r="AB51" s="47" t="s">
        <v>392</v>
      </c>
    </row>
    <row r="52" spans="3:28" ht="20.100000000000001" customHeight="1" x14ac:dyDescent="0.25">
      <c r="C52" s="60" t="s">
        <v>393</v>
      </c>
      <c r="D52" s="60" t="s">
        <v>290</v>
      </c>
      <c r="E52" s="44" t="s">
        <v>43</v>
      </c>
      <c r="F52" s="44"/>
      <c r="G52" s="44" t="s">
        <v>394</v>
      </c>
      <c r="H52" s="44" t="s">
        <v>311</v>
      </c>
      <c r="I52" s="44" t="s">
        <v>304</v>
      </c>
      <c r="J52" s="44" t="s">
        <v>361</v>
      </c>
      <c r="K52" s="44" t="s">
        <v>305</v>
      </c>
      <c r="L52" s="44"/>
      <c r="M52" s="63">
        <v>10000000</v>
      </c>
      <c r="N52" s="44" t="s">
        <v>236</v>
      </c>
      <c r="O52" s="63">
        <v>140000</v>
      </c>
      <c r="P52" s="44" t="s">
        <v>114</v>
      </c>
      <c r="Q52" s="72"/>
      <c r="R52" s="72"/>
      <c r="S52" s="72">
        <v>46477</v>
      </c>
      <c r="T52" s="72">
        <v>46477</v>
      </c>
      <c r="U52" s="73">
        <v>148.5</v>
      </c>
      <c r="V52" s="73">
        <v>150</v>
      </c>
      <c r="W52" s="74"/>
      <c r="X52" s="46"/>
      <c r="Y52" s="46"/>
      <c r="Z52" s="44"/>
      <c r="AA52" s="44"/>
      <c r="AB52" s="47" t="s">
        <v>395</v>
      </c>
    </row>
    <row r="53" spans="3:28" ht="20.100000000000001" customHeight="1" x14ac:dyDescent="0.25">
      <c r="C53" s="60" t="s">
        <v>396</v>
      </c>
      <c r="D53" s="60" t="s">
        <v>290</v>
      </c>
      <c r="E53" s="44" t="s">
        <v>43</v>
      </c>
      <c r="F53" s="44"/>
      <c r="G53" s="44" t="s">
        <v>397</v>
      </c>
      <c r="H53" s="44" t="s">
        <v>303</v>
      </c>
      <c r="I53" s="44" t="s">
        <v>304</v>
      </c>
      <c r="J53" s="44"/>
      <c r="K53" s="44" t="s">
        <v>305</v>
      </c>
      <c r="L53" s="44"/>
      <c r="M53" s="63">
        <v>15000000</v>
      </c>
      <c r="N53" s="44" t="s">
        <v>238</v>
      </c>
      <c r="O53" s="63">
        <v>95000</v>
      </c>
      <c r="P53" s="44" t="s">
        <v>114</v>
      </c>
      <c r="Q53" s="72"/>
      <c r="R53" s="72"/>
      <c r="S53" s="72">
        <v>46477</v>
      </c>
      <c r="T53" s="72"/>
      <c r="U53" s="73"/>
      <c r="V53" s="73"/>
      <c r="W53" s="74"/>
      <c r="X53" s="46"/>
      <c r="Y53" s="46"/>
      <c r="Z53" s="44"/>
      <c r="AA53" s="44"/>
      <c r="AB53" s="47" t="s">
        <v>398</v>
      </c>
    </row>
    <row r="54" spans="3:28" ht="20.100000000000001" customHeight="1" x14ac:dyDescent="0.25">
      <c r="C54" s="60" t="s">
        <v>399</v>
      </c>
      <c r="D54" s="60" t="s">
        <v>290</v>
      </c>
      <c r="E54" s="44" t="s">
        <v>42</v>
      </c>
      <c r="F54" s="44"/>
      <c r="G54" s="44" t="s">
        <v>238</v>
      </c>
      <c r="H54" s="44" t="s">
        <v>303</v>
      </c>
      <c r="I54" s="44" t="s">
        <v>304</v>
      </c>
      <c r="J54" s="44"/>
      <c r="K54" s="44" t="s">
        <v>305</v>
      </c>
      <c r="L54" s="44"/>
      <c r="M54" s="63">
        <v>20000000</v>
      </c>
      <c r="N54" s="44" t="s">
        <v>238</v>
      </c>
      <c r="O54" s="63">
        <v>12000</v>
      </c>
      <c r="P54" s="44" t="s">
        <v>238</v>
      </c>
      <c r="Q54" s="72"/>
      <c r="R54" s="72">
        <v>46569</v>
      </c>
      <c r="S54" s="72">
        <v>46569</v>
      </c>
      <c r="T54" s="72"/>
      <c r="U54" s="73"/>
      <c r="V54" s="73"/>
      <c r="W54" s="74"/>
      <c r="X54" s="46"/>
      <c r="Y54" s="46"/>
      <c r="Z54" s="44"/>
      <c r="AA54" s="44"/>
      <c r="AB54" s="47" t="s">
        <v>400</v>
      </c>
    </row>
    <row r="55" spans="3:28" ht="20.100000000000001" customHeight="1" x14ac:dyDescent="0.25">
      <c r="C55" s="60" t="s">
        <v>401</v>
      </c>
      <c r="D55" s="60" t="s">
        <v>843</v>
      </c>
      <c r="E55" s="44" t="s">
        <v>42</v>
      </c>
      <c r="F55" s="44"/>
      <c r="G55" s="44" t="s">
        <v>114</v>
      </c>
      <c r="H55" s="44" t="s">
        <v>303</v>
      </c>
      <c r="I55" s="44" t="s">
        <v>304</v>
      </c>
      <c r="J55" s="44"/>
      <c r="K55" s="44" t="s">
        <v>305</v>
      </c>
      <c r="L55" s="44"/>
      <c r="M55" s="63">
        <v>5000000</v>
      </c>
      <c r="N55" s="44" t="s">
        <v>114</v>
      </c>
      <c r="O55" s="63">
        <v>0</v>
      </c>
      <c r="P55" s="44" t="s">
        <v>114</v>
      </c>
      <c r="Q55" s="72"/>
      <c r="R55" s="72">
        <v>46265</v>
      </c>
      <c r="S55" s="72">
        <v>46265</v>
      </c>
      <c r="T55" s="72"/>
      <c r="U55" s="73"/>
      <c r="V55" s="73"/>
      <c r="W55" s="74"/>
      <c r="X55" s="46"/>
      <c r="Y55" s="46"/>
      <c r="Z55" s="44"/>
      <c r="AA55" s="44"/>
      <c r="AB55" s="47" t="s">
        <v>402</v>
      </c>
    </row>
    <row r="56" spans="3:28" ht="20.100000000000001" customHeight="1" x14ac:dyDescent="0.25">
      <c r="C56" s="60" t="s">
        <v>403</v>
      </c>
      <c r="D56" s="60" t="s">
        <v>292</v>
      </c>
      <c r="E56" s="44" t="s">
        <v>177</v>
      </c>
      <c r="F56" s="44" t="s">
        <v>185</v>
      </c>
      <c r="G56" s="44" t="s">
        <v>404</v>
      </c>
      <c r="H56" s="44" t="s">
        <v>303</v>
      </c>
      <c r="I56" s="44" t="s">
        <v>304</v>
      </c>
      <c r="J56" s="44"/>
      <c r="K56" s="44" t="s">
        <v>305</v>
      </c>
      <c r="L56" s="44"/>
      <c r="M56" s="63">
        <v>10000000</v>
      </c>
      <c r="N56" s="44" t="s">
        <v>114</v>
      </c>
      <c r="O56" s="63">
        <v>-95000</v>
      </c>
      <c r="P56" s="44" t="s">
        <v>114</v>
      </c>
      <c r="Q56" s="72"/>
      <c r="R56" s="72">
        <v>48120</v>
      </c>
      <c r="S56" s="72">
        <v>48120</v>
      </c>
      <c r="T56" s="72"/>
      <c r="U56" s="73"/>
      <c r="V56" s="73"/>
      <c r="W56" s="74"/>
      <c r="X56" s="46"/>
      <c r="Y56" s="46"/>
      <c r="Z56" s="44"/>
      <c r="AA56" s="44"/>
      <c r="AB56" s="47" t="s">
        <v>405</v>
      </c>
    </row>
    <row r="57" spans="3:28" ht="20.100000000000001" customHeight="1" x14ac:dyDescent="0.25">
      <c r="C57" s="60" t="s">
        <v>406</v>
      </c>
      <c r="D57" s="60" t="s">
        <v>292</v>
      </c>
      <c r="E57" s="44" t="s">
        <v>177</v>
      </c>
      <c r="F57" s="44" t="s">
        <v>185</v>
      </c>
      <c r="G57" s="44" t="s">
        <v>404</v>
      </c>
      <c r="H57" s="44" t="s">
        <v>303</v>
      </c>
      <c r="I57" s="44" t="s">
        <v>308</v>
      </c>
      <c r="J57" s="44"/>
      <c r="K57" s="44" t="s">
        <v>305</v>
      </c>
      <c r="L57" s="44"/>
      <c r="M57" s="63">
        <v>5000000</v>
      </c>
      <c r="N57" s="44" t="s">
        <v>114</v>
      </c>
      <c r="O57" s="63">
        <v>40000</v>
      </c>
      <c r="P57" s="44" t="s">
        <v>114</v>
      </c>
      <c r="Q57" s="72"/>
      <c r="R57" s="72">
        <v>47390</v>
      </c>
      <c r="S57" s="72">
        <v>47390</v>
      </c>
      <c r="T57" s="72"/>
      <c r="U57" s="73"/>
      <c r="V57" s="73"/>
      <c r="W57" s="74"/>
      <c r="X57" s="46"/>
      <c r="Y57" s="46"/>
      <c r="Z57" s="44"/>
      <c r="AA57" s="44"/>
      <c r="AB57" s="47" t="s">
        <v>407</v>
      </c>
    </row>
    <row r="58" spans="3:28" ht="20.100000000000001" customHeight="1" x14ac:dyDescent="0.25">
      <c r="C58" s="60" t="s">
        <v>408</v>
      </c>
      <c r="D58" s="60" t="s">
        <v>292</v>
      </c>
      <c r="E58" s="44" t="s">
        <v>177</v>
      </c>
      <c r="F58" s="44" t="s">
        <v>196</v>
      </c>
      <c r="G58" s="44" t="s">
        <v>409</v>
      </c>
      <c r="H58" s="44" t="s">
        <v>303</v>
      </c>
      <c r="I58" s="44" t="s">
        <v>308</v>
      </c>
      <c r="J58" s="44"/>
      <c r="K58" s="44" t="s">
        <v>305</v>
      </c>
      <c r="L58" s="44"/>
      <c r="M58" s="63">
        <v>8000000</v>
      </c>
      <c r="N58" s="44" t="s">
        <v>114</v>
      </c>
      <c r="O58" s="63">
        <v>120000</v>
      </c>
      <c r="P58" s="44" t="s">
        <v>114</v>
      </c>
      <c r="Q58" s="72"/>
      <c r="R58" s="72">
        <v>47755</v>
      </c>
      <c r="S58" s="72">
        <v>47755</v>
      </c>
      <c r="T58" s="72"/>
      <c r="U58" s="73"/>
      <c r="V58" s="73"/>
      <c r="W58" s="74"/>
      <c r="X58" s="46"/>
      <c r="Y58" s="46"/>
      <c r="Z58" s="44"/>
      <c r="AA58" s="44"/>
      <c r="AB58" s="47" t="s">
        <v>410</v>
      </c>
    </row>
    <row r="59" spans="3:28" ht="20.100000000000001" customHeight="1" x14ac:dyDescent="0.25">
      <c r="C59" s="60" t="s">
        <v>411</v>
      </c>
      <c r="D59" s="60" t="s">
        <v>292</v>
      </c>
      <c r="E59" s="44" t="s">
        <v>177</v>
      </c>
      <c r="F59" s="44" t="s">
        <v>206</v>
      </c>
      <c r="G59" s="44" t="s">
        <v>412</v>
      </c>
      <c r="H59" s="44" t="s">
        <v>303</v>
      </c>
      <c r="I59" s="44" t="s">
        <v>304</v>
      </c>
      <c r="J59" s="44"/>
      <c r="K59" s="44" t="s">
        <v>305</v>
      </c>
      <c r="L59" s="44"/>
      <c r="M59" s="63">
        <v>25000000</v>
      </c>
      <c r="N59" s="44" t="s">
        <v>114</v>
      </c>
      <c r="O59" s="63">
        <v>-210000</v>
      </c>
      <c r="P59" s="44" t="s">
        <v>114</v>
      </c>
      <c r="Q59" s="72"/>
      <c r="R59" s="72">
        <v>48120</v>
      </c>
      <c r="S59" s="72">
        <v>48120</v>
      </c>
      <c r="T59" s="72"/>
      <c r="U59" s="73"/>
      <c r="V59" s="73"/>
      <c r="W59" s="74"/>
      <c r="X59" s="46"/>
      <c r="Y59" s="46"/>
      <c r="Z59" s="44"/>
      <c r="AA59" s="44"/>
      <c r="AB59" s="47" t="s">
        <v>413</v>
      </c>
    </row>
    <row r="60" spans="3:28" ht="20.100000000000001" customHeight="1" x14ac:dyDescent="0.25">
      <c r="C60" s="60" t="s">
        <v>414</v>
      </c>
      <c r="D60" s="60" t="s">
        <v>292</v>
      </c>
      <c r="E60" s="44" t="s">
        <v>177</v>
      </c>
      <c r="F60" s="44" t="s">
        <v>206</v>
      </c>
      <c r="G60" s="44" t="s">
        <v>415</v>
      </c>
      <c r="H60" s="44" t="s">
        <v>301</v>
      </c>
      <c r="I60" s="44" t="s">
        <v>308</v>
      </c>
      <c r="J60" s="44"/>
      <c r="K60" s="44" t="s">
        <v>305</v>
      </c>
      <c r="L60" s="44"/>
      <c r="M60" s="63">
        <v>5000000</v>
      </c>
      <c r="N60" s="44" t="s">
        <v>114</v>
      </c>
      <c r="O60" s="63">
        <v>85000</v>
      </c>
      <c r="P60" s="44" t="s">
        <v>114</v>
      </c>
      <c r="Q60" s="72"/>
      <c r="R60" s="72">
        <v>48120</v>
      </c>
      <c r="S60" s="72">
        <v>48120</v>
      </c>
      <c r="T60" s="72"/>
      <c r="U60" s="73"/>
      <c r="V60" s="73"/>
      <c r="W60" s="74"/>
      <c r="X60" s="46">
        <v>0.03</v>
      </c>
      <c r="Y60" s="46">
        <v>0.06</v>
      </c>
      <c r="Z60" s="44"/>
      <c r="AA60" s="44"/>
      <c r="AB60" s="47" t="s">
        <v>416</v>
      </c>
    </row>
    <row r="61" spans="3:28" ht="20.100000000000001" customHeight="1" x14ac:dyDescent="0.25">
      <c r="C61" s="60" t="s">
        <v>417</v>
      </c>
      <c r="D61" s="60" t="s">
        <v>292</v>
      </c>
      <c r="E61" s="44" t="s">
        <v>211</v>
      </c>
      <c r="F61" s="44" t="s">
        <v>212</v>
      </c>
      <c r="G61" s="44" t="s">
        <v>418</v>
      </c>
      <c r="H61" s="44" t="s">
        <v>303</v>
      </c>
      <c r="I61" s="44" t="s">
        <v>304</v>
      </c>
      <c r="J61" s="44"/>
      <c r="K61" s="44" t="s">
        <v>305</v>
      </c>
      <c r="L61" s="44"/>
      <c r="M61" s="63">
        <v>8000000</v>
      </c>
      <c r="N61" s="44" t="s">
        <v>114</v>
      </c>
      <c r="O61" s="63">
        <v>310000</v>
      </c>
      <c r="P61" s="44" t="s">
        <v>114</v>
      </c>
      <c r="Q61" s="72"/>
      <c r="R61" s="72"/>
      <c r="S61" s="72">
        <v>46660</v>
      </c>
      <c r="T61" s="72"/>
      <c r="U61" s="73"/>
      <c r="V61" s="73"/>
      <c r="W61" s="74"/>
      <c r="X61" s="46"/>
      <c r="Y61" s="46"/>
      <c r="Z61" s="44"/>
      <c r="AA61" s="44"/>
      <c r="AB61" s="47" t="s">
        <v>419</v>
      </c>
    </row>
    <row r="62" spans="3:28" ht="20.100000000000001" customHeight="1" x14ac:dyDescent="0.25">
      <c r="C62" s="60" t="s">
        <v>420</v>
      </c>
      <c r="D62" s="60" t="s">
        <v>292</v>
      </c>
      <c r="E62" s="44" t="s">
        <v>211</v>
      </c>
      <c r="F62" s="44" t="s">
        <v>215</v>
      </c>
      <c r="G62" s="44" t="s">
        <v>421</v>
      </c>
      <c r="H62" s="44" t="s">
        <v>311</v>
      </c>
      <c r="I62" s="44" t="s">
        <v>308</v>
      </c>
      <c r="J62" s="44" t="s">
        <v>312</v>
      </c>
      <c r="K62" s="44" t="s">
        <v>305</v>
      </c>
      <c r="L62" s="44"/>
      <c r="M62" s="63">
        <v>10000000</v>
      </c>
      <c r="N62" s="44" t="s">
        <v>114</v>
      </c>
      <c r="O62" s="63">
        <v>-150000</v>
      </c>
      <c r="P62" s="44" t="s">
        <v>114</v>
      </c>
      <c r="Q62" s="72"/>
      <c r="R62" s="72"/>
      <c r="S62" s="72">
        <v>46477</v>
      </c>
      <c r="T62" s="72">
        <v>46477</v>
      </c>
      <c r="U62" s="73">
        <v>5400</v>
      </c>
      <c r="V62" s="73">
        <v>5000</v>
      </c>
      <c r="W62" s="74"/>
      <c r="X62" s="46"/>
      <c r="Y62" s="46"/>
      <c r="Z62" s="44"/>
      <c r="AA62" s="44"/>
      <c r="AB62" s="47" t="s">
        <v>422</v>
      </c>
    </row>
    <row r="63" spans="3:28" ht="20.100000000000001" customHeight="1" x14ac:dyDescent="0.25">
      <c r="C63" s="60" t="s">
        <v>423</v>
      </c>
      <c r="D63" s="60" t="s">
        <v>292</v>
      </c>
      <c r="E63" s="44" t="s">
        <v>211</v>
      </c>
      <c r="F63" s="44" t="s">
        <v>212</v>
      </c>
      <c r="G63" s="44" t="s">
        <v>424</v>
      </c>
      <c r="H63" s="44" t="s">
        <v>303</v>
      </c>
      <c r="I63" s="44" t="s">
        <v>308</v>
      </c>
      <c r="J63" s="44"/>
      <c r="K63" s="44" t="s">
        <v>305</v>
      </c>
      <c r="L63" s="44"/>
      <c r="M63" s="63">
        <v>4000000</v>
      </c>
      <c r="N63" s="44" t="s">
        <v>114</v>
      </c>
      <c r="O63" s="63">
        <v>-25000</v>
      </c>
      <c r="P63" s="44" t="s">
        <v>114</v>
      </c>
      <c r="Q63" s="72"/>
      <c r="R63" s="72"/>
      <c r="S63" s="72">
        <v>46565</v>
      </c>
      <c r="T63" s="72"/>
      <c r="U63" s="73"/>
      <c r="V63" s="73"/>
      <c r="W63" s="74"/>
      <c r="X63" s="46"/>
      <c r="Y63" s="46"/>
      <c r="Z63" s="44"/>
      <c r="AA63" s="44"/>
      <c r="AB63" s="47" t="s">
        <v>425</v>
      </c>
    </row>
    <row r="64" spans="3:28" ht="20.100000000000001" customHeight="1" x14ac:dyDescent="0.25">
      <c r="C64" s="60" t="s">
        <v>426</v>
      </c>
      <c r="D64" s="60" t="s">
        <v>292</v>
      </c>
      <c r="E64" s="44" t="s">
        <v>211</v>
      </c>
      <c r="F64" s="44" t="s">
        <v>215</v>
      </c>
      <c r="G64" s="44" t="s">
        <v>421</v>
      </c>
      <c r="H64" s="44" t="s">
        <v>303</v>
      </c>
      <c r="I64" s="44" t="s">
        <v>304</v>
      </c>
      <c r="J64" s="44"/>
      <c r="K64" s="44" t="s">
        <v>427</v>
      </c>
      <c r="L64" s="44" t="s">
        <v>428</v>
      </c>
      <c r="M64" s="63">
        <v>1000000</v>
      </c>
      <c r="N64" s="44" t="s">
        <v>114</v>
      </c>
      <c r="O64" s="63">
        <v>18000</v>
      </c>
      <c r="P64" s="44" t="s">
        <v>114</v>
      </c>
      <c r="Q64" s="72"/>
      <c r="R64" s="72"/>
      <c r="S64" s="72">
        <v>46660</v>
      </c>
      <c r="T64" s="72"/>
      <c r="U64" s="73"/>
      <c r="V64" s="73"/>
      <c r="W64" s="74"/>
      <c r="X64" s="46"/>
      <c r="Y64" s="46"/>
      <c r="Z64" s="44"/>
      <c r="AA64" s="44"/>
      <c r="AB64" s="47" t="s">
        <v>429</v>
      </c>
    </row>
    <row r="65" spans="3:28" ht="20.100000000000001" customHeight="1" x14ac:dyDescent="0.25">
      <c r="C65" s="60" t="s">
        <v>430</v>
      </c>
      <c r="D65" s="60" t="s">
        <v>292</v>
      </c>
      <c r="E65" s="44" t="s">
        <v>47</v>
      </c>
      <c r="F65" s="44" t="s">
        <v>220</v>
      </c>
      <c r="G65" s="44" t="s">
        <v>431</v>
      </c>
      <c r="H65" s="44" t="s">
        <v>303</v>
      </c>
      <c r="I65" s="44" t="s">
        <v>304</v>
      </c>
      <c r="J65" s="44"/>
      <c r="K65" s="44" t="s">
        <v>305</v>
      </c>
      <c r="L65" s="44"/>
      <c r="M65" s="63">
        <v>6000000</v>
      </c>
      <c r="N65" s="44" t="s">
        <v>236</v>
      </c>
      <c r="O65" s="63">
        <v>75000</v>
      </c>
      <c r="P65" s="44" t="s">
        <v>236</v>
      </c>
      <c r="Q65" s="72"/>
      <c r="R65" s="72"/>
      <c r="S65" s="72">
        <v>46660</v>
      </c>
      <c r="T65" s="72"/>
      <c r="U65" s="73"/>
      <c r="V65" s="73"/>
      <c r="W65" s="74"/>
      <c r="X65" s="46"/>
      <c r="Y65" s="46"/>
      <c r="Z65" s="44"/>
      <c r="AA65" s="44"/>
      <c r="AB65" s="47" t="s">
        <v>432</v>
      </c>
    </row>
    <row r="66" spans="3:28" ht="20.100000000000001" customHeight="1" x14ac:dyDescent="0.25">
      <c r="C66" s="60" t="s">
        <v>433</v>
      </c>
      <c r="D66" s="60" t="s">
        <v>292</v>
      </c>
      <c r="E66" s="44" t="s">
        <v>47</v>
      </c>
      <c r="F66" s="44" t="s">
        <v>220</v>
      </c>
      <c r="G66" s="44" t="s">
        <v>360</v>
      </c>
      <c r="H66" s="44" t="s">
        <v>303</v>
      </c>
      <c r="I66" s="44" t="s">
        <v>308</v>
      </c>
      <c r="J66" s="44"/>
      <c r="K66" s="44" t="s">
        <v>305</v>
      </c>
      <c r="L66" s="44"/>
      <c r="M66" s="63">
        <v>3000000</v>
      </c>
      <c r="N66" s="44" t="s">
        <v>236</v>
      </c>
      <c r="O66" s="63">
        <v>-20000</v>
      </c>
      <c r="P66" s="44" t="s">
        <v>236</v>
      </c>
      <c r="Q66" s="72"/>
      <c r="R66" s="72"/>
      <c r="S66" s="72">
        <v>46843</v>
      </c>
      <c r="T66" s="72"/>
      <c r="U66" s="73"/>
      <c r="V66" s="73"/>
      <c r="W66" s="74"/>
      <c r="X66" s="46"/>
      <c r="Y66" s="46"/>
      <c r="Z66" s="44"/>
      <c r="AA66" s="44"/>
      <c r="AB66" s="47" t="s">
        <v>434</v>
      </c>
    </row>
    <row r="67" spans="3:28" ht="20.100000000000001" customHeight="1" x14ac:dyDescent="0.25">
      <c r="C67" s="60" t="s">
        <v>435</v>
      </c>
      <c r="D67" s="60" t="s">
        <v>292</v>
      </c>
      <c r="E67" s="44" t="s">
        <v>47</v>
      </c>
      <c r="F67" s="44" t="s">
        <v>217</v>
      </c>
      <c r="G67" s="44" t="s">
        <v>436</v>
      </c>
      <c r="H67" s="44" t="s">
        <v>303</v>
      </c>
      <c r="I67" s="44" t="s">
        <v>304</v>
      </c>
      <c r="J67" s="44"/>
      <c r="K67" s="44" t="s">
        <v>305</v>
      </c>
      <c r="L67" s="44"/>
      <c r="M67" s="63">
        <v>2000000</v>
      </c>
      <c r="N67" s="44" t="s">
        <v>114</v>
      </c>
      <c r="O67" s="63">
        <v>60000</v>
      </c>
      <c r="P67" s="44" t="s">
        <v>114</v>
      </c>
      <c r="Q67" s="72"/>
      <c r="R67" s="72"/>
      <c r="S67" s="72">
        <v>46660</v>
      </c>
      <c r="T67" s="72"/>
      <c r="U67" s="73"/>
      <c r="V67" s="73"/>
      <c r="W67" s="74"/>
      <c r="X67" s="46"/>
      <c r="Y67" s="46"/>
      <c r="Z67" s="44"/>
      <c r="AA67" s="44"/>
      <c r="AB67" s="47" t="s">
        <v>437</v>
      </c>
    </row>
    <row r="68" spans="3:28" ht="20.100000000000001" customHeight="1" x14ac:dyDescent="0.25">
      <c r="C68" s="60" t="s">
        <v>438</v>
      </c>
      <c r="D68" s="60" t="s">
        <v>292</v>
      </c>
      <c r="E68" s="44" t="s">
        <v>47</v>
      </c>
      <c r="F68" s="44" t="s">
        <v>222</v>
      </c>
      <c r="G68" s="44" t="s">
        <v>439</v>
      </c>
      <c r="H68" s="44" t="s">
        <v>303</v>
      </c>
      <c r="I68" s="44" t="s">
        <v>304</v>
      </c>
      <c r="J68" s="44"/>
      <c r="K68" s="44" t="s">
        <v>305</v>
      </c>
      <c r="L68" s="44"/>
      <c r="M68" s="63">
        <v>5000000</v>
      </c>
      <c r="N68" s="44" t="s">
        <v>236</v>
      </c>
      <c r="O68" s="63">
        <v>140000</v>
      </c>
      <c r="P68" s="44" t="s">
        <v>236</v>
      </c>
      <c r="Q68" s="72"/>
      <c r="R68" s="72"/>
      <c r="S68" s="72">
        <v>47025</v>
      </c>
      <c r="T68" s="72"/>
      <c r="U68" s="73"/>
      <c r="V68" s="73"/>
      <c r="W68" s="74"/>
      <c r="X68" s="46"/>
      <c r="Y68" s="46"/>
      <c r="Z68" s="44"/>
      <c r="AA68" s="44"/>
      <c r="AB68" s="47" t="s">
        <v>440</v>
      </c>
    </row>
    <row r="69" spans="3:28" ht="20.100000000000001" customHeight="1" x14ac:dyDescent="0.25">
      <c r="C69" s="60" t="s">
        <v>441</v>
      </c>
      <c r="D69" s="60" t="s">
        <v>292</v>
      </c>
      <c r="E69" s="44" t="s">
        <v>47</v>
      </c>
      <c r="F69" s="44" t="s">
        <v>224</v>
      </c>
      <c r="G69" s="44" t="s">
        <v>442</v>
      </c>
      <c r="H69" s="44" t="s">
        <v>303</v>
      </c>
      <c r="I69" s="44" t="s">
        <v>308</v>
      </c>
      <c r="J69" s="44"/>
      <c r="K69" s="44" t="s">
        <v>305</v>
      </c>
      <c r="L69" s="44"/>
      <c r="M69" s="63">
        <v>1500000</v>
      </c>
      <c r="N69" s="44" t="s">
        <v>236</v>
      </c>
      <c r="O69" s="63">
        <v>-12000</v>
      </c>
      <c r="P69" s="44" t="s">
        <v>236</v>
      </c>
      <c r="Q69" s="72"/>
      <c r="R69" s="72"/>
      <c r="S69" s="72">
        <v>46477</v>
      </c>
      <c r="T69" s="72"/>
      <c r="U69" s="73"/>
      <c r="V69" s="73"/>
      <c r="W69" s="74"/>
      <c r="X69" s="46"/>
      <c r="Y69" s="46"/>
      <c r="Z69" s="44"/>
      <c r="AA69" s="44"/>
      <c r="AB69" s="47" t="s">
        <v>443</v>
      </c>
    </row>
    <row r="70" spans="3:28" ht="20.100000000000001" customHeight="1" x14ac:dyDescent="0.25">
      <c r="C70" s="60"/>
      <c r="D70" s="60"/>
      <c r="E70" s="44"/>
      <c r="F70" s="44"/>
      <c r="G70" s="44"/>
      <c r="H70" s="44"/>
      <c r="I70" s="44"/>
      <c r="J70" s="44"/>
      <c r="K70" s="44"/>
      <c r="L70" s="44"/>
      <c r="M70" s="63"/>
      <c r="N70" s="44"/>
      <c r="O70" s="63"/>
      <c r="P70" s="44"/>
      <c r="Q70" s="72"/>
      <c r="R70" s="72"/>
      <c r="S70" s="72"/>
      <c r="T70" s="72"/>
      <c r="U70" s="73"/>
      <c r="V70" s="73"/>
      <c r="W70" s="74"/>
      <c r="X70" s="46"/>
      <c r="Y70" s="46"/>
      <c r="Z70" s="44"/>
      <c r="AA70" s="44"/>
      <c r="AB70" s="47"/>
    </row>
    <row r="71" spans="3:28" ht="20.100000000000001" customHeight="1" x14ac:dyDescent="0.25">
      <c r="C71" s="60"/>
      <c r="D71" s="60"/>
      <c r="E71" s="44"/>
      <c r="F71" s="44"/>
      <c r="G71" s="44"/>
      <c r="H71" s="44"/>
      <c r="I71" s="44"/>
      <c r="J71" s="44"/>
      <c r="K71" s="44"/>
      <c r="L71" s="44"/>
      <c r="M71" s="63"/>
      <c r="N71" s="44"/>
      <c r="O71" s="63"/>
      <c r="P71" s="44"/>
      <c r="Q71" s="72"/>
      <c r="R71" s="72"/>
      <c r="S71" s="72"/>
      <c r="T71" s="72"/>
      <c r="U71" s="73"/>
      <c r="V71" s="73"/>
      <c r="W71" s="74"/>
      <c r="X71" s="46"/>
      <c r="Y71" s="46"/>
      <c r="Z71" s="44"/>
      <c r="AA71" s="44"/>
      <c r="AB71" s="47"/>
    </row>
    <row r="72" spans="3:28" ht="20.100000000000001" customHeight="1" x14ac:dyDescent="0.25">
      <c r="C72" s="60"/>
      <c r="D72" s="60"/>
      <c r="E72" s="44"/>
      <c r="F72" s="44"/>
      <c r="G72" s="44"/>
      <c r="H72" s="44"/>
      <c r="I72" s="44"/>
      <c r="J72" s="44"/>
      <c r="K72" s="44"/>
      <c r="L72" s="44"/>
      <c r="M72" s="63"/>
      <c r="N72" s="44"/>
      <c r="O72" s="63"/>
      <c r="P72" s="44"/>
      <c r="Q72" s="72"/>
      <c r="R72" s="72"/>
      <c r="S72" s="72"/>
      <c r="T72" s="72"/>
      <c r="U72" s="73"/>
      <c r="V72" s="73"/>
      <c r="W72" s="74"/>
      <c r="X72" s="46"/>
      <c r="Y72" s="46"/>
      <c r="Z72" s="44"/>
      <c r="AA72" s="44"/>
      <c r="AB72" s="47"/>
    </row>
    <row r="73" spans="3:28" ht="20.100000000000001" customHeight="1" x14ac:dyDescent="0.25">
      <c r="C73" s="60"/>
      <c r="D73" s="60"/>
      <c r="E73" s="44"/>
      <c r="F73" s="44"/>
      <c r="G73" s="44"/>
      <c r="H73" s="44"/>
      <c r="I73" s="44"/>
      <c r="J73" s="44"/>
      <c r="K73" s="44"/>
      <c r="L73" s="44"/>
      <c r="M73" s="63"/>
      <c r="N73" s="44"/>
      <c r="O73" s="63"/>
      <c r="P73" s="44"/>
      <c r="Q73" s="72"/>
      <c r="R73" s="72"/>
      <c r="S73" s="72"/>
      <c r="T73" s="72"/>
      <c r="U73" s="73"/>
      <c r="V73" s="73"/>
      <c r="W73" s="74"/>
      <c r="X73" s="46"/>
      <c r="Y73" s="46"/>
      <c r="Z73" s="44"/>
      <c r="AA73" s="44"/>
      <c r="AB73" s="47"/>
    </row>
    <row r="74" spans="3:28" ht="20.100000000000001" customHeight="1" x14ac:dyDescent="0.25">
      <c r="C74" s="60"/>
      <c r="D74" s="60"/>
      <c r="E74" s="44"/>
      <c r="F74" s="44"/>
      <c r="G74" s="44"/>
      <c r="H74" s="44"/>
      <c r="I74" s="44"/>
      <c r="J74" s="44"/>
      <c r="K74" s="44"/>
      <c r="L74" s="44"/>
      <c r="M74" s="63"/>
      <c r="N74" s="44"/>
      <c r="O74" s="63"/>
      <c r="P74" s="44"/>
      <c r="Q74" s="72"/>
      <c r="R74" s="72"/>
      <c r="S74" s="72"/>
      <c r="T74" s="72"/>
      <c r="U74" s="73"/>
      <c r="V74" s="73"/>
      <c r="W74" s="74"/>
      <c r="X74" s="46"/>
      <c r="Y74" s="46"/>
      <c r="Z74" s="44"/>
      <c r="AA74" s="44"/>
      <c r="AB74" s="47"/>
    </row>
    <row r="75" spans="3:28" ht="20.100000000000001" customHeight="1" x14ac:dyDescent="0.25">
      <c r="C75" s="60"/>
      <c r="D75" s="60"/>
      <c r="E75" s="44"/>
      <c r="F75" s="44"/>
      <c r="G75" s="44"/>
      <c r="H75" s="44"/>
      <c r="I75" s="44"/>
      <c r="J75" s="44"/>
      <c r="K75" s="44"/>
      <c r="L75" s="44"/>
      <c r="M75" s="63"/>
      <c r="N75" s="44"/>
      <c r="O75" s="63"/>
      <c r="P75" s="44"/>
      <c r="Q75" s="72"/>
      <c r="R75" s="72"/>
      <c r="S75" s="72"/>
      <c r="T75" s="72"/>
      <c r="U75" s="73"/>
      <c r="V75" s="73"/>
      <c r="W75" s="74"/>
      <c r="X75" s="46"/>
      <c r="Y75" s="46"/>
      <c r="Z75" s="44"/>
      <c r="AA75" s="44"/>
      <c r="AB75" s="47"/>
    </row>
    <row r="76" spans="3:28" ht="20.100000000000001" customHeight="1" x14ac:dyDescent="0.25">
      <c r="C76" s="60"/>
      <c r="D76" s="60"/>
      <c r="E76" s="44"/>
      <c r="F76" s="44"/>
      <c r="G76" s="44"/>
      <c r="H76" s="44"/>
      <c r="I76" s="44"/>
      <c r="J76" s="44"/>
      <c r="K76" s="44"/>
      <c r="L76" s="44"/>
      <c r="M76" s="63"/>
      <c r="N76" s="44"/>
      <c r="O76" s="63"/>
      <c r="P76" s="44"/>
      <c r="Q76" s="72"/>
      <c r="R76" s="72"/>
      <c r="S76" s="72"/>
      <c r="T76" s="72"/>
      <c r="U76" s="73"/>
      <c r="V76" s="73"/>
      <c r="W76" s="74"/>
      <c r="X76" s="46"/>
      <c r="Y76" s="46"/>
      <c r="Z76" s="44"/>
      <c r="AA76" s="44"/>
      <c r="AB76" s="47"/>
    </row>
    <row r="77" spans="3:28" ht="20.100000000000001" customHeight="1" x14ac:dyDescent="0.25">
      <c r="C77" s="60"/>
      <c r="D77" s="60"/>
      <c r="E77" s="44"/>
      <c r="F77" s="44"/>
      <c r="G77" s="44"/>
      <c r="H77" s="44"/>
      <c r="I77" s="44"/>
      <c r="J77" s="44"/>
      <c r="K77" s="44"/>
      <c r="L77" s="44"/>
      <c r="M77" s="63"/>
      <c r="N77" s="44"/>
      <c r="O77" s="63"/>
      <c r="P77" s="44"/>
      <c r="Q77" s="72"/>
      <c r="R77" s="72"/>
      <c r="S77" s="72"/>
      <c r="T77" s="72"/>
      <c r="U77" s="73"/>
      <c r="V77" s="73"/>
      <c r="W77" s="74"/>
      <c r="X77" s="46"/>
      <c r="Y77" s="46"/>
      <c r="Z77" s="44"/>
      <c r="AA77" s="44"/>
      <c r="AB77" s="47"/>
    </row>
    <row r="78" spans="3:28" ht="20.100000000000001" customHeight="1" x14ac:dyDescent="0.25">
      <c r="C78" s="60"/>
      <c r="D78" s="60"/>
      <c r="E78" s="44"/>
      <c r="F78" s="44"/>
      <c r="G78" s="44"/>
      <c r="H78" s="44"/>
      <c r="I78" s="44"/>
      <c r="J78" s="44"/>
      <c r="K78" s="44"/>
      <c r="L78" s="44"/>
      <c r="M78" s="63"/>
      <c r="N78" s="44"/>
      <c r="O78" s="63"/>
      <c r="P78" s="44"/>
      <c r="Q78" s="72"/>
      <c r="R78" s="72"/>
      <c r="S78" s="72"/>
      <c r="T78" s="72"/>
      <c r="U78" s="73"/>
      <c r="V78" s="73"/>
      <c r="W78" s="74"/>
      <c r="X78" s="46"/>
      <c r="Y78" s="46"/>
      <c r="Z78" s="44"/>
      <c r="AA78" s="44"/>
      <c r="AB78" s="47"/>
    </row>
    <row r="79" spans="3:28" ht="20.100000000000001" customHeight="1" x14ac:dyDescent="0.25">
      <c r="C79" s="60"/>
      <c r="D79" s="60"/>
      <c r="E79" s="44"/>
      <c r="F79" s="44"/>
      <c r="G79" s="44"/>
      <c r="H79" s="44"/>
      <c r="I79" s="44"/>
      <c r="J79" s="44"/>
      <c r="K79" s="44"/>
      <c r="L79" s="44"/>
      <c r="M79" s="63"/>
      <c r="N79" s="44"/>
      <c r="O79" s="63"/>
      <c r="P79" s="44"/>
      <c r="Q79" s="72"/>
      <c r="R79" s="72"/>
      <c r="S79" s="72"/>
      <c r="T79" s="72"/>
      <c r="U79" s="73"/>
      <c r="V79" s="73"/>
      <c r="W79" s="74"/>
      <c r="X79" s="46"/>
      <c r="Y79" s="46"/>
      <c r="Z79" s="44"/>
      <c r="AA79" s="44"/>
      <c r="AB79" s="47"/>
    </row>
    <row r="80" spans="3:28" ht="20.100000000000001" customHeight="1" x14ac:dyDescent="0.25">
      <c r="C80" s="60"/>
      <c r="D80" s="60"/>
      <c r="E80" s="44"/>
      <c r="F80" s="44"/>
      <c r="G80" s="44"/>
      <c r="H80" s="44"/>
      <c r="I80" s="44"/>
      <c r="J80" s="44"/>
      <c r="K80" s="44"/>
      <c r="L80" s="44"/>
      <c r="M80" s="63"/>
      <c r="N80" s="44"/>
      <c r="O80" s="63"/>
      <c r="P80" s="44"/>
      <c r="Q80" s="72"/>
      <c r="R80" s="72"/>
      <c r="S80" s="72"/>
      <c r="T80" s="72"/>
      <c r="U80" s="73"/>
      <c r="V80" s="73"/>
      <c r="W80" s="74"/>
      <c r="X80" s="46"/>
      <c r="Y80" s="46"/>
      <c r="Z80" s="44"/>
      <c r="AA80" s="44"/>
      <c r="AB80" s="47"/>
    </row>
    <row r="81" spans="3:28" ht="20.100000000000001" customHeight="1" x14ac:dyDescent="0.25">
      <c r="C81" s="60"/>
      <c r="D81" s="60"/>
      <c r="E81" s="44"/>
      <c r="F81" s="44"/>
      <c r="G81" s="44"/>
      <c r="H81" s="44"/>
      <c r="I81" s="44"/>
      <c r="J81" s="44"/>
      <c r="K81" s="44"/>
      <c r="L81" s="44"/>
      <c r="M81" s="63"/>
      <c r="N81" s="44"/>
      <c r="O81" s="63"/>
      <c r="P81" s="44"/>
      <c r="Q81" s="72"/>
      <c r="R81" s="72"/>
      <c r="S81" s="72"/>
      <c r="T81" s="72"/>
      <c r="U81" s="73"/>
      <c r="V81" s="73"/>
      <c r="W81" s="74"/>
      <c r="X81" s="46"/>
      <c r="Y81" s="46"/>
      <c r="Z81" s="44"/>
      <c r="AA81" s="44"/>
      <c r="AB81" s="47"/>
    </row>
    <row r="82" spans="3:28" ht="20.100000000000001" customHeight="1" x14ac:dyDescent="0.25">
      <c r="C82" s="60"/>
      <c r="D82" s="60"/>
      <c r="E82" s="44"/>
      <c r="F82" s="44"/>
      <c r="G82" s="44"/>
      <c r="H82" s="44"/>
      <c r="I82" s="44"/>
      <c r="J82" s="44"/>
      <c r="K82" s="44"/>
      <c r="L82" s="44"/>
      <c r="M82" s="63"/>
      <c r="N82" s="44"/>
      <c r="O82" s="63"/>
      <c r="P82" s="44"/>
      <c r="Q82" s="72"/>
      <c r="R82" s="72"/>
      <c r="S82" s="72"/>
      <c r="T82" s="72"/>
      <c r="U82" s="73"/>
      <c r="V82" s="73"/>
      <c r="W82" s="74"/>
      <c r="X82" s="46"/>
      <c r="Y82" s="46"/>
      <c r="Z82" s="44"/>
      <c r="AA82" s="44"/>
      <c r="AB82" s="47"/>
    </row>
    <row r="83" spans="3:28" ht="20.100000000000001" customHeight="1" x14ac:dyDescent="0.25">
      <c r="C83" s="60"/>
      <c r="D83" s="60"/>
      <c r="E83" s="44"/>
      <c r="F83" s="44"/>
      <c r="G83" s="44"/>
      <c r="H83" s="44"/>
      <c r="I83" s="44"/>
      <c r="J83" s="44"/>
      <c r="K83" s="44"/>
      <c r="L83" s="44"/>
      <c r="M83" s="63"/>
      <c r="N83" s="44"/>
      <c r="O83" s="63"/>
      <c r="P83" s="44"/>
      <c r="Q83" s="72"/>
      <c r="R83" s="72"/>
      <c r="S83" s="72"/>
      <c r="T83" s="72"/>
      <c r="U83" s="73"/>
      <c r="V83" s="73"/>
      <c r="W83" s="74"/>
      <c r="X83" s="46"/>
      <c r="Y83" s="46"/>
      <c r="Z83" s="44"/>
      <c r="AA83" s="44"/>
      <c r="AB83" s="47"/>
    </row>
    <row r="84" spans="3:28" ht="20.100000000000001" customHeight="1" x14ac:dyDescent="0.25">
      <c r="C84" s="60"/>
      <c r="D84" s="60"/>
      <c r="E84" s="44"/>
      <c r="F84" s="44"/>
      <c r="G84" s="44"/>
      <c r="H84" s="44"/>
      <c r="I84" s="44"/>
      <c r="J84" s="44"/>
      <c r="K84" s="44"/>
      <c r="L84" s="44"/>
      <c r="M84" s="63"/>
      <c r="N84" s="44"/>
      <c r="O84" s="63"/>
      <c r="P84" s="44"/>
      <c r="Q84" s="72"/>
      <c r="R84" s="72"/>
      <c r="S84" s="72"/>
      <c r="T84" s="72"/>
      <c r="U84" s="73"/>
      <c r="V84" s="73"/>
      <c r="W84" s="74"/>
      <c r="X84" s="46"/>
      <c r="Y84" s="46"/>
      <c r="Z84" s="44"/>
      <c r="AA84" s="44"/>
      <c r="AB84" s="47"/>
    </row>
    <row r="85" spans="3:28" ht="20.100000000000001" customHeight="1" x14ac:dyDescent="0.25">
      <c r="C85" s="60"/>
      <c r="D85" s="60"/>
      <c r="E85" s="44"/>
      <c r="F85" s="44"/>
      <c r="G85" s="44"/>
      <c r="H85" s="44"/>
      <c r="I85" s="44"/>
      <c r="J85" s="44"/>
      <c r="K85" s="44"/>
      <c r="L85" s="44"/>
      <c r="M85" s="63"/>
      <c r="N85" s="44"/>
      <c r="O85" s="63"/>
      <c r="P85" s="44"/>
      <c r="Q85" s="72"/>
      <c r="R85" s="72"/>
      <c r="S85" s="72"/>
      <c r="T85" s="72"/>
      <c r="U85" s="73"/>
      <c r="V85" s="73"/>
      <c r="W85" s="74"/>
      <c r="X85" s="46"/>
      <c r="Y85" s="46"/>
      <c r="Z85" s="44"/>
      <c r="AA85" s="44"/>
      <c r="AB85" s="47"/>
    </row>
    <row r="86" spans="3:28" ht="20.100000000000001" customHeight="1" x14ac:dyDescent="0.25">
      <c r="C86" s="60"/>
      <c r="D86" s="60"/>
      <c r="E86" s="44"/>
      <c r="F86" s="44"/>
      <c r="G86" s="44"/>
      <c r="H86" s="44"/>
      <c r="I86" s="44"/>
      <c r="J86" s="44"/>
      <c r="K86" s="44"/>
      <c r="L86" s="44"/>
      <c r="M86" s="63"/>
      <c r="N86" s="44"/>
      <c r="O86" s="63"/>
      <c r="P86" s="44"/>
      <c r="Q86" s="72"/>
      <c r="R86" s="72"/>
      <c r="S86" s="72"/>
      <c r="T86" s="72"/>
      <c r="U86" s="73"/>
      <c r="V86" s="73"/>
      <c r="W86" s="74"/>
      <c r="X86" s="46"/>
      <c r="Y86" s="46"/>
      <c r="Z86" s="44"/>
      <c r="AA86" s="44"/>
      <c r="AB86" s="47"/>
    </row>
    <row r="87" spans="3:28" ht="20.100000000000001" customHeight="1" x14ac:dyDescent="0.25">
      <c r="C87" s="60"/>
      <c r="D87" s="60"/>
      <c r="E87" s="44"/>
      <c r="F87" s="44"/>
      <c r="G87" s="44"/>
      <c r="H87" s="44"/>
      <c r="I87" s="44"/>
      <c r="J87" s="44"/>
      <c r="K87" s="44"/>
      <c r="L87" s="44"/>
      <c r="M87" s="63"/>
      <c r="N87" s="44"/>
      <c r="O87" s="63"/>
      <c r="P87" s="44"/>
      <c r="Q87" s="72"/>
      <c r="R87" s="72"/>
      <c r="S87" s="72"/>
      <c r="T87" s="72"/>
      <c r="U87" s="73"/>
      <c r="V87" s="73"/>
      <c r="W87" s="74"/>
      <c r="X87" s="46"/>
      <c r="Y87" s="46"/>
      <c r="Z87" s="44"/>
      <c r="AA87" s="44"/>
      <c r="AB87" s="47"/>
    </row>
    <row r="88" spans="3:28" ht="20.100000000000001" customHeight="1" x14ac:dyDescent="0.25">
      <c r="C88" s="60"/>
      <c r="D88" s="60"/>
      <c r="E88" s="44"/>
      <c r="F88" s="44"/>
      <c r="G88" s="44"/>
      <c r="H88" s="44"/>
      <c r="I88" s="44"/>
      <c r="J88" s="44"/>
      <c r="K88" s="44"/>
      <c r="L88" s="44"/>
      <c r="M88" s="63"/>
      <c r="N88" s="44"/>
      <c r="O88" s="63"/>
      <c r="P88" s="44"/>
      <c r="Q88" s="72"/>
      <c r="R88" s="72"/>
      <c r="S88" s="72"/>
      <c r="T88" s="72"/>
      <c r="U88" s="73"/>
      <c r="V88" s="73"/>
      <c r="W88" s="74"/>
      <c r="X88" s="46"/>
      <c r="Y88" s="46"/>
      <c r="Z88" s="44"/>
      <c r="AA88" s="44"/>
      <c r="AB88" s="47"/>
    </row>
    <row r="89" spans="3:28" ht="20.100000000000001" customHeight="1" x14ac:dyDescent="0.25">
      <c r="C89" s="60"/>
      <c r="D89" s="60"/>
      <c r="E89" s="44"/>
      <c r="F89" s="44"/>
      <c r="G89" s="44"/>
      <c r="H89" s="44"/>
      <c r="I89" s="44"/>
      <c r="J89" s="44"/>
      <c r="K89" s="44"/>
      <c r="L89" s="44"/>
      <c r="M89" s="63"/>
      <c r="N89" s="44"/>
      <c r="O89" s="63"/>
      <c r="P89" s="44"/>
      <c r="Q89" s="72"/>
      <c r="R89" s="72"/>
      <c r="S89" s="72"/>
      <c r="T89" s="72"/>
      <c r="U89" s="73"/>
      <c r="V89" s="73"/>
      <c r="W89" s="74"/>
      <c r="X89" s="46"/>
      <c r="Y89" s="46"/>
      <c r="Z89" s="44"/>
      <c r="AA89" s="44"/>
      <c r="AB89" s="47"/>
    </row>
    <row r="90" spans="3:28" ht="20.100000000000001" customHeight="1" x14ac:dyDescent="0.25">
      <c r="C90" s="60"/>
      <c r="D90" s="60"/>
      <c r="E90" s="44"/>
      <c r="F90" s="44"/>
      <c r="G90" s="44"/>
      <c r="H90" s="44"/>
      <c r="I90" s="44"/>
      <c r="J90" s="44"/>
      <c r="K90" s="44"/>
      <c r="L90" s="44"/>
      <c r="M90" s="63"/>
      <c r="N90" s="44"/>
      <c r="O90" s="63"/>
      <c r="P90" s="44"/>
      <c r="Q90" s="72"/>
      <c r="R90" s="72"/>
      <c r="S90" s="72"/>
      <c r="T90" s="72"/>
      <c r="U90" s="73"/>
      <c r="V90" s="73"/>
      <c r="W90" s="74"/>
      <c r="X90" s="46"/>
      <c r="Y90" s="46"/>
      <c r="Z90" s="44"/>
      <c r="AA90" s="44"/>
      <c r="AB90" s="47"/>
    </row>
    <row r="91" spans="3:28" ht="20.100000000000001" customHeight="1" x14ac:dyDescent="0.25">
      <c r="C91" s="60"/>
      <c r="D91" s="60"/>
      <c r="E91" s="44"/>
      <c r="F91" s="44"/>
      <c r="G91" s="44"/>
      <c r="H91" s="44"/>
      <c r="I91" s="44"/>
      <c r="J91" s="44"/>
      <c r="K91" s="44"/>
      <c r="L91" s="44"/>
      <c r="M91" s="63"/>
      <c r="N91" s="44"/>
      <c r="O91" s="63"/>
      <c r="P91" s="44"/>
      <c r="Q91" s="72"/>
      <c r="R91" s="72"/>
      <c r="S91" s="72"/>
      <c r="T91" s="72"/>
      <c r="U91" s="73"/>
      <c r="V91" s="73"/>
      <c r="W91" s="74"/>
      <c r="X91" s="46"/>
      <c r="Y91" s="46"/>
      <c r="Z91" s="44"/>
      <c r="AA91" s="44"/>
      <c r="AB91" s="47"/>
    </row>
    <row r="92" spans="3:28" ht="20.100000000000001" customHeight="1" x14ac:dyDescent="0.25">
      <c r="C92" s="60"/>
      <c r="D92" s="60"/>
      <c r="E92" s="44"/>
      <c r="F92" s="44"/>
      <c r="G92" s="44"/>
      <c r="H92" s="44"/>
      <c r="I92" s="44"/>
      <c r="J92" s="44"/>
      <c r="K92" s="44"/>
      <c r="L92" s="44"/>
      <c r="M92" s="63"/>
      <c r="N92" s="44"/>
      <c r="O92" s="63"/>
      <c r="P92" s="44"/>
      <c r="Q92" s="72"/>
      <c r="R92" s="72"/>
      <c r="S92" s="72"/>
      <c r="T92" s="72"/>
      <c r="U92" s="73"/>
      <c r="V92" s="73"/>
      <c r="W92" s="74"/>
      <c r="X92" s="46"/>
      <c r="Y92" s="46"/>
      <c r="Z92" s="44"/>
      <c r="AA92" s="44"/>
      <c r="AB92" s="47"/>
    </row>
    <row r="93" spans="3:28" ht="20.100000000000001" customHeight="1" x14ac:dyDescent="0.25">
      <c r="C93" s="60"/>
      <c r="D93" s="60"/>
      <c r="E93" s="44"/>
      <c r="F93" s="44"/>
      <c r="G93" s="44"/>
      <c r="H93" s="44"/>
      <c r="I93" s="44"/>
      <c r="J93" s="44"/>
      <c r="K93" s="44"/>
      <c r="L93" s="44"/>
      <c r="M93" s="63"/>
      <c r="N93" s="44"/>
      <c r="O93" s="63"/>
      <c r="P93" s="44"/>
      <c r="Q93" s="72"/>
      <c r="R93" s="72"/>
      <c r="S93" s="72"/>
      <c r="T93" s="72"/>
      <c r="U93" s="73"/>
      <c r="V93" s="73"/>
      <c r="W93" s="74"/>
      <c r="X93" s="46"/>
      <c r="Y93" s="46"/>
      <c r="Z93" s="44"/>
      <c r="AA93" s="44"/>
      <c r="AB93" s="47"/>
    </row>
    <row r="94" spans="3:28" ht="20.100000000000001" customHeight="1" x14ac:dyDescent="0.25">
      <c r="C94" s="60"/>
      <c r="D94" s="60"/>
      <c r="E94" s="44"/>
      <c r="F94" s="44"/>
      <c r="G94" s="44"/>
      <c r="H94" s="44"/>
      <c r="I94" s="44"/>
      <c r="J94" s="44"/>
      <c r="K94" s="44"/>
      <c r="L94" s="44"/>
      <c r="M94" s="63"/>
      <c r="N94" s="44"/>
      <c r="O94" s="63"/>
      <c r="P94" s="44"/>
      <c r="Q94" s="72"/>
      <c r="R94" s="72"/>
      <c r="S94" s="72"/>
      <c r="T94" s="72"/>
      <c r="U94" s="73"/>
      <c r="V94" s="73"/>
      <c r="W94" s="74"/>
      <c r="X94" s="46"/>
      <c r="Y94" s="46"/>
      <c r="Z94" s="44"/>
      <c r="AA94" s="44"/>
      <c r="AB94" s="47"/>
    </row>
    <row r="95" spans="3:28" ht="20.100000000000001" customHeight="1" x14ac:dyDescent="0.25">
      <c r="C95" s="60"/>
      <c r="D95" s="60"/>
      <c r="E95" s="44"/>
      <c r="F95" s="44"/>
      <c r="G95" s="44"/>
      <c r="H95" s="44"/>
      <c r="I95" s="44"/>
      <c r="J95" s="44"/>
      <c r="K95" s="44"/>
      <c r="L95" s="44"/>
      <c r="M95" s="63"/>
      <c r="N95" s="44"/>
      <c r="O95" s="63"/>
      <c r="P95" s="44"/>
      <c r="Q95" s="72"/>
      <c r="R95" s="72"/>
      <c r="S95" s="72"/>
      <c r="T95" s="72"/>
      <c r="U95" s="73"/>
      <c r="V95" s="73"/>
      <c r="W95" s="74"/>
      <c r="X95" s="46"/>
      <c r="Y95" s="46"/>
      <c r="Z95" s="44"/>
      <c r="AA95" s="44"/>
      <c r="AB95" s="47"/>
    </row>
    <row r="96" spans="3:28" ht="20.100000000000001" customHeight="1" x14ac:dyDescent="0.25">
      <c r="C96" s="60"/>
      <c r="D96" s="60"/>
      <c r="E96" s="44"/>
      <c r="F96" s="44"/>
      <c r="G96" s="44"/>
      <c r="H96" s="44"/>
      <c r="I96" s="44"/>
      <c r="J96" s="44"/>
      <c r="K96" s="44"/>
      <c r="L96" s="44"/>
      <c r="M96" s="63"/>
      <c r="N96" s="44"/>
      <c r="O96" s="63"/>
      <c r="P96" s="44"/>
      <c r="Q96" s="72"/>
      <c r="R96" s="72"/>
      <c r="S96" s="72"/>
      <c r="T96" s="72"/>
      <c r="U96" s="73"/>
      <c r="V96" s="73"/>
      <c r="W96" s="74"/>
      <c r="X96" s="46"/>
      <c r="Y96" s="46"/>
      <c r="Z96" s="44"/>
      <c r="AA96" s="44"/>
      <c r="AB96" s="47"/>
    </row>
    <row r="97" spans="3:28" ht="20.100000000000001" customHeight="1" x14ac:dyDescent="0.25">
      <c r="C97" s="60"/>
      <c r="D97" s="60"/>
      <c r="E97" s="44"/>
      <c r="F97" s="44"/>
      <c r="G97" s="44"/>
      <c r="H97" s="44"/>
      <c r="I97" s="44"/>
      <c r="J97" s="44"/>
      <c r="K97" s="44"/>
      <c r="L97" s="44"/>
      <c r="M97" s="63"/>
      <c r="N97" s="44"/>
      <c r="O97" s="63"/>
      <c r="P97" s="44"/>
      <c r="Q97" s="72"/>
      <c r="R97" s="72"/>
      <c r="S97" s="72"/>
      <c r="T97" s="72"/>
      <c r="U97" s="73"/>
      <c r="V97" s="73"/>
      <c r="W97" s="74"/>
      <c r="X97" s="46"/>
      <c r="Y97" s="46"/>
      <c r="Z97" s="44"/>
      <c r="AA97" s="44"/>
      <c r="AB97" s="47"/>
    </row>
    <row r="98" spans="3:28" ht="20.100000000000001" customHeight="1" x14ac:dyDescent="0.25">
      <c r="C98" s="60"/>
      <c r="D98" s="60"/>
      <c r="E98" s="44"/>
      <c r="F98" s="44"/>
      <c r="G98" s="44"/>
      <c r="H98" s="44"/>
      <c r="I98" s="44"/>
      <c r="J98" s="44"/>
      <c r="K98" s="44"/>
      <c r="L98" s="44"/>
      <c r="M98" s="63"/>
      <c r="N98" s="44"/>
      <c r="O98" s="63"/>
      <c r="P98" s="44"/>
      <c r="Q98" s="72"/>
      <c r="R98" s="72"/>
      <c r="S98" s="72"/>
      <c r="T98" s="72"/>
      <c r="U98" s="73"/>
      <c r="V98" s="73"/>
      <c r="W98" s="74"/>
      <c r="X98" s="46"/>
      <c r="Y98" s="46"/>
      <c r="Z98" s="44"/>
      <c r="AA98" s="44"/>
      <c r="AB98" s="47"/>
    </row>
    <row r="99" spans="3:28" ht="20.100000000000001" customHeight="1" x14ac:dyDescent="0.25">
      <c r="C99" s="60"/>
      <c r="D99" s="60"/>
      <c r="E99" s="44"/>
      <c r="F99" s="44"/>
      <c r="G99" s="44"/>
      <c r="H99" s="44"/>
      <c r="I99" s="44"/>
      <c r="J99" s="44"/>
      <c r="K99" s="44"/>
      <c r="L99" s="44"/>
      <c r="M99" s="63"/>
      <c r="N99" s="44"/>
      <c r="O99" s="63"/>
      <c r="P99" s="44"/>
      <c r="Q99" s="72"/>
      <c r="R99" s="72"/>
      <c r="S99" s="72"/>
      <c r="T99" s="72"/>
      <c r="U99" s="73"/>
      <c r="V99" s="73"/>
      <c r="W99" s="74"/>
      <c r="X99" s="46"/>
      <c r="Y99" s="46"/>
      <c r="Z99" s="44"/>
      <c r="AA99" s="44"/>
      <c r="AB99" s="47"/>
    </row>
    <row r="100" spans="3:28" ht="20.100000000000001" customHeight="1" x14ac:dyDescent="0.25">
      <c r="C100" s="60"/>
      <c r="D100" s="60"/>
      <c r="E100" s="44"/>
      <c r="F100" s="44"/>
      <c r="G100" s="44"/>
      <c r="H100" s="44"/>
      <c r="I100" s="44"/>
      <c r="J100" s="44"/>
      <c r="K100" s="44"/>
      <c r="L100" s="44"/>
      <c r="M100" s="63"/>
      <c r="N100" s="44"/>
      <c r="O100" s="63"/>
      <c r="P100" s="44"/>
      <c r="Q100" s="72"/>
      <c r="R100" s="72"/>
      <c r="S100" s="72"/>
      <c r="T100" s="72"/>
      <c r="U100" s="73"/>
      <c r="V100" s="73"/>
      <c r="W100" s="74"/>
      <c r="X100" s="46"/>
      <c r="Y100" s="46"/>
      <c r="Z100" s="44"/>
      <c r="AA100" s="44"/>
      <c r="AB100" s="47"/>
    </row>
    <row r="101" spans="3:28" ht="20.100000000000001" customHeight="1" x14ac:dyDescent="0.25">
      <c r="C101" s="60"/>
      <c r="D101" s="60"/>
      <c r="E101" s="44"/>
      <c r="F101" s="44"/>
      <c r="G101" s="44"/>
      <c r="H101" s="44"/>
      <c r="I101" s="44"/>
      <c r="J101" s="44"/>
      <c r="K101" s="44"/>
      <c r="L101" s="44"/>
      <c r="M101" s="63"/>
      <c r="N101" s="44"/>
      <c r="O101" s="63"/>
      <c r="P101" s="44"/>
      <c r="Q101" s="72"/>
      <c r="R101" s="72"/>
      <c r="S101" s="72"/>
      <c r="T101" s="72"/>
      <c r="U101" s="73"/>
      <c r="V101" s="73"/>
      <c r="W101" s="74"/>
      <c r="X101" s="46"/>
      <c r="Y101" s="46"/>
      <c r="Z101" s="44"/>
      <c r="AA101" s="44"/>
      <c r="AB101" s="47"/>
    </row>
    <row r="102" spans="3:28" ht="20.100000000000001" customHeight="1" x14ac:dyDescent="0.25">
      <c r="C102" s="60"/>
      <c r="D102" s="60"/>
      <c r="E102" s="44"/>
      <c r="F102" s="44"/>
      <c r="G102" s="44"/>
      <c r="H102" s="44"/>
      <c r="I102" s="44"/>
      <c r="J102" s="44"/>
      <c r="K102" s="44"/>
      <c r="L102" s="44"/>
      <c r="M102" s="63"/>
      <c r="N102" s="44"/>
      <c r="O102" s="63"/>
      <c r="P102" s="44"/>
      <c r="Q102" s="72"/>
      <c r="R102" s="72"/>
      <c r="S102" s="72"/>
      <c r="T102" s="72"/>
      <c r="U102" s="73"/>
      <c r="V102" s="73"/>
      <c r="W102" s="74"/>
      <c r="X102" s="46"/>
      <c r="Y102" s="46"/>
      <c r="Z102" s="44"/>
      <c r="AA102" s="44"/>
      <c r="AB102" s="47"/>
    </row>
    <row r="103" spans="3:28" ht="20.100000000000001" customHeight="1" x14ac:dyDescent="0.25">
      <c r="C103" s="60"/>
      <c r="D103" s="60"/>
      <c r="E103" s="44"/>
      <c r="F103" s="44"/>
      <c r="G103" s="44"/>
      <c r="H103" s="44"/>
      <c r="I103" s="44"/>
      <c r="J103" s="44"/>
      <c r="K103" s="44"/>
      <c r="L103" s="44"/>
      <c r="M103" s="63"/>
      <c r="N103" s="44"/>
      <c r="O103" s="63"/>
      <c r="P103" s="44"/>
      <c r="Q103" s="72"/>
      <c r="R103" s="72"/>
      <c r="S103" s="72"/>
      <c r="T103" s="72"/>
      <c r="U103" s="73"/>
      <c r="V103" s="73"/>
      <c r="W103" s="74"/>
      <c r="X103" s="46"/>
      <c r="Y103" s="46"/>
      <c r="Z103" s="44"/>
      <c r="AA103" s="44"/>
      <c r="AB103" s="47"/>
    </row>
    <row r="104" spans="3:28" ht="20.100000000000001" customHeight="1" x14ac:dyDescent="0.25">
      <c r="C104" s="60"/>
      <c r="D104" s="60"/>
      <c r="E104" s="44"/>
      <c r="F104" s="44"/>
      <c r="G104" s="44"/>
      <c r="H104" s="44"/>
      <c r="I104" s="44"/>
      <c r="J104" s="44"/>
      <c r="K104" s="44"/>
      <c r="L104" s="44"/>
      <c r="M104" s="63"/>
      <c r="N104" s="44"/>
      <c r="O104" s="63"/>
      <c r="P104" s="44"/>
      <c r="Q104" s="72"/>
      <c r="R104" s="72"/>
      <c r="S104" s="72"/>
      <c r="T104" s="72"/>
      <c r="U104" s="73"/>
      <c r="V104" s="73"/>
      <c r="W104" s="74"/>
      <c r="X104" s="46"/>
      <c r="Y104" s="46"/>
      <c r="Z104" s="44"/>
      <c r="AA104" s="44"/>
      <c r="AB104" s="47"/>
    </row>
    <row r="105" spans="3:28" ht="20.100000000000001" customHeight="1" x14ac:dyDescent="0.25">
      <c r="C105" s="60"/>
      <c r="D105" s="60"/>
      <c r="E105" s="44"/>
      <c r="F105" s="44"/>
      <c r="G105" s="44"/>
      <c r="H105" s="44"/>
      <c r="I105" s="44"/>
      <c r="J105" s="44"/>
      <c r="K105" s="44"/>
      <c r="L105" s="44"/>
      <c r="M105" s="63"/>
      <c r="N105" s="44"/>
      <c r="O105" s="63"/>
      <c r="P105" s="44"/>
      <c r="Q105" s="72"/>
      <c r="R105" s="72"/>
      <c r="S105" s="72"/>
      <c r="T105" s="72"/>
      <c r="U105" s="73"/>
      <c r="V105" s="73"/>
      <c r="W105" s="74"/>
      <c r="X105" s="46"/>
      <c r="Y105" s="46"/>
      <c r="Z105" s="44"/>
      <c r="AA105" s="44"/>
      <c r="AB105" s="47"/>
    </row>
    <row r="106" spans="3:28" ht="20.100000000000001" customHeight="1" x14ac:dyDescent="0.25">
      <c r="C106" s="60"/>
      <c r="D106" s="60"/>
      <c r="E106" s="44"/>
      <c r="F106" s="44"/>
      <c r="G106" s="44"/>
      <c r="H106" s="44"/>
      <c r="I106" s="44"/>
      <c r="J106" s="44"/>
      <c r="K106" s="44"/>
      <c r="L106" s="44"/>
      <c r="M106" s="63"/>
      <c r="N106" s="44"/>
      <c r="O106" s="63"/>
      <c r="P106" s="44"/>
      <c r="Q106" s="72"/>
      <c r="R106" s="72"/>
      <c r="S106" s="72"/>
      <c r="T106" s="72"/>
      <c r="U106" s="73"/>
      <c r="V106" s="73"/>
      <c r="W106" s="74"/>
      <c r="X106" s="46"/>
      <c r="Y106" s="46"/>
      <c r="Z106" s="44"/>
      <c r="AA106" s="44"/>
      <c r="AB106" s="47"/>
    </row>
    <row r="107" spans="3:28" ht="20.100000000000001" customHeight="1" x14ac:dyDescent="0.25">
      <c r="C107" s="60"/>
      <c r="D107" s="60"/>
      <c r="E107" s="44"/>
      <c r="F107" s="44"/>
      <c r="G107" s="44"/>
      <c r="H107" s="44"/>
      <c r="I107" s="44"/>
      <c r="J107" s="44"/>
      <c r="K107" s="44"/>
      <c r="L107" s="44"/>
      <c r="M107" s="63"/>
      <c r="N107" s="44"/>
      <c r="O107" s="63"/>
      <c r="P107" s="44"/>
      <c r="Q107" s="72"/>
      <c r="R107" s="72"/>
      <c r="S107" s="72"/>
      <c r="T107" s="72"/>
      <c r="U107" s="73"/>
      <c r="V107" s="73"/>
      <c r="W107" s="74"/>
      <c r="X107" s="46"/>
      <c r="Y107" s="46"/>
      <c r="Z107" s="44"/>
      <c r="AA107" s="44"/>
      <c r="AB107" s="47"/>
    </row>
    <row r="108" spans="3:28" ht="20.100000000000001" customHeight="1" x14ac:dyDescent="0.25">
      <c r="C108" s="60"/>
      <c r="D108" s="60"/>
      <c r="E108" s="44"/>
      <c r="F108" s="44"/>
      <c r="G108" s="44"/>
      <c r="H108" s="44"/>
      <c r="I108" s="44"/>
      <c r="J108" s="44"/>
      <c r="K108" s="44"/>
      <c r="L108" s="44"/>
      <c r="M108" s="63"/>
      <c r="N108" s="44"/>
      <c r="O108" s="63"/>
      <c r="P108" s="44"/>
      <c r="Q108" s="72"/>
      <c r="R108" s="72"/>
      <c r="S108" s="72"/>
      <c r="T108" s="72"/>
      <c r="U108" s="73"/>
      <c r="V108" s="73"/>
      <c r="W108" s="74"/>
      <c r="X108" s="46"/>
      <c r="Y108" s="46"/>
      <c r="Z108" s="44"/>
      <c r="AA108" s="44"/>
      <c r="AB108" s="47"/>
    </row>
    <row r="109" spans="3:28" ht="20.100000000000001" customHeight="1" x14ac:dyDescent="0.25">
      <c r="C109" s="60"/>
      <c r="D109" s="60"/>
      <c r="E109" s="44"/>
      <c r="F109" s="44"/>
      <c r="G109" s="44"/>
      <c r="H109" s="44"/>
      <c r="I109" s="44"/>
      <c r="J109" s="44"/>
      <c r="K109" s="44"/>
      <c r="L109" s="44"/>
      <c r="M109" s="63"/>
      <c r="N109" s="44"/>
      <c r="O109" s="63"/>
      <c r="P109" s="44"/>
      <c r="Q109" s="72"/>
      <c r="R109" s="72"/>
      <c r="S109" s="72"/>
      <c r="T109" s="72"/>
      <c r="U109" s="73"/>
      <c r="V109" s="73"/>
      <c r="W109" s="74"/>
      <c r="X109" s="46"/>
      <c r="Y109" s="46"/>
      <c r="Z109" s="44"/>
      <c r="AA109" s="44"/>
      <c r="AB109" s="47"/>
    </row>
    <row r="110" spans="3:28" ht="20.100000000000001" customHeight="1" x14ac:dyDescent="0.25">
      <c r="C110" s="60"/>
      <c r="D110" s="60"/>
      <c r="E110" s="44"/>
      <c r="F110" s="44"/>
      <c r="G110" s="44"/>
      <c r="H110" s="44"/>
      <c r="I110" s="44"/>
      <c r="J110" s="44"/>
      <c r="K110" s="44"/>
      <c r="L110" s="44"/>
      <c r="M110" s="63"/>
      <c r="N110" s="44"/>
      <c r="O110" s="63"/>
      <c r="P110" s="44"/>
      <c r="Q110" s="72"/>
      <c r="R110" s="72"/>
      <c r="S110" s="72"/>
      <c r="T110" s="72"/>
      <c r="U110" s="73"/>
      <c r="V110" s="73"/>
      <c r="W110" s="74"/>
      <c r="X110" s="46"/>
      <c r="Y110" s="46"/>
      <c r="Z110" s="44"/>
      <c r="AA110" s="44"/>
      <c r="AB110" s="47"/>
    </row>
    <row r="111" spans="3:28" ht="20.100000000000001" customHeight="1" x14ac:dyDescent="0.25">
      <c r="C111" s="60"/>
      <c r="D111" s="60"/>
      <c r="E111" s="44"/>
      <c r="F111" s="44"/>
      <c r="G111" s="44"/>
      <c r="H111" s="44"/>
      <c r="I111" s="44"/>
      <c r="J111" s="44"/>
      <c r="K111" s="44"/>
      <c r="L111" s="44"/>
      <c r="M111" s="63"/>
      <c r="N111" s="44"/>
      <c r="O111" s="63"/>
      <c r="P111" s="44"/>
      <c r="Q111" s="72"/>
      <c r="R111" s="72"/>
      <c r="S111" s="72"/>
      <c r="T111" s="72"/>
      <c r="U111" s="73"/>
      <c r="V111" s="73"/>
      <c r="W111" s="74"/>
      <c r="X111" s="46"/>
      <c r="Y111" s="46"/>
      <c r="Z111" s="44"/>
      <c r="AA111" s="44"/>
      <c r="AB111" s="47"/>
    </row>
    <row r="112" spans="3:28" ht="20.100000000000001" customHeight="1" x14ac:dyDescent="0.25">
      <c r="C112" s="60"/>
      <c r="D112" s="60"/>
      <c r="E112" s="44"/>
      <c r="F112" s="44"/>
      <c r="G112" s="44"/>
      <c r="H112" s="44"/>
      <c r="I112" s="44"/>
      <c r="J112" s="44"/>
      <c r="K112" s="44"/>
      <c r="L112" s="44"/>
      <c r="M112" s="63"/>
      <c r="N112" s="44"/>
      <c r="O112" s="63"/>
      <c r="P112" s="44"/>
      <c r="Q112" s="72"/>
      <c r="R112" s="72"/>
      <c r="S112" s="72"/>
      <c r="T112" s="72"/>
      <c r="U112" s="73"/>
      <c r="V112" s="73"/>
      <c r="W112" s="74"/>
      <c r="X112" s="46"/>
      <c r="Y112" s="46"/>
      <c r="Z112" s="44"/>
      <c r="AA112" s="44"/>
      <c r="AB112" s="47"/>
    </row>
    <row r="113" spans="3:28" ht="20.100000000000001" customHeight="1" x14ac:dyDescent="0.25">
      <c r="C113" s="60"/>
      <c r="D113" s="60"/>
      <c r="E113" s="44"/>
      <c r="F113" s="44"/>
      <c r="G113" s="44"/>
      <c r="H113" s="44"/>
      <c r="I113" s="44"/>
      <c r="J113" s="44"/>
      <c r="K113" s="44"/>
      <c r="L113" s="44"/>
      <c r="M113" s="63"/>
      <c r="N113" s="44"/>
      <c r="O113" s="63"/>
      <c r="P113" s="44"/>
      <c r="Q113" s="72"/>
      <c r="R113" s="72"/>
      <c r="S113" s="72"/>
      <c r="T113" s="72"/>
      <c r="U113" s="73"/>
      <c r="V113" s="73"/>
      <c r="W113" s="74"/>
      <c r="X113" s="46"/>
      <c r="Y113" s="46"/>
      <c r="Z113" s="44"/>
      <c r="AA113" s="44"/>
      <c r="AB113" s="47"/>
    </row>
    <row r="114" spans="3:28" ht="20.100000000000001" customHeight="1" x14ac:dyDescent="0.25">
      <c r="C114" s="60"/>
      <c r="D114" s="60"/>
      <c r="E114" s="44"/>
      <c r="F114" s="44"/>
      <c r="G114" s="44"/>
      <c r="H114" s="44"/>
      <c r="I114" s="44"/>
      <c r="J114" s="44"/>
      <c r="K114" s="44"/>
      <c r="L114" s="44"/>
      <c r="M114" s="63"/>
      <c r="N114" s="44"/>
      <c r="O114" s="63"/>
      <c r="P114" s="44"/>
      <c r="Q114" s="72"/>
      <c r="R114" s="72"/>
      <c r="S114" s="72"/>
      <c r="T114" s="72"/>
      <c r="U114" s="73"/>
      <c r="V114" s="73"/>
      <c r="W114" s="74"/>
      <c r="X114" s="46"/>
      <c r="Y114" s="46"/>
      <c r="Z114" s="44"/>
      <c r="AA114" s="44"/>
      <c r="AB114" s="47"/>
    </row>
    <row r="115" spans="3:28" ht="20.100000000000001" customHeight="1" x14ac:dyDescent="0.25">
      <c r="C115" s="60"/>
      <c r="D115" s="60"/>
      <c r="E115" s="44"/>
      <c r="F115" s="44"/>
      <c r="G115" s="44"/>
      <c r="H115" s="44"/>
      <c r="I115" s="44"/>
      <c r="J115" s="44"/>
      <c r="K115" s="44"/>
      <c r="L115" s="44"/>
      <c r="M115" s="63"/>
      <c r="N115" s="44"/>
      <c r="O115" s="63"/>
      <c r="P115" s="44"/>
      <c r="Q115" s="72"/>
      <c r="R115" s="72"/>
      <c r="S115" s="72"/>
      <c r="T115" s="72"/>
      <c r="U115" s="73"/>
      <c r="V115" s="73"/>
      <c r="W115" s="74"/>
      <c r="X115" s="46"/>
      <c r="Y115" s="46"/>
      <c r="Z115" s="44"/>
      <c r="AA115" s="44"/>
      <c r="AB115" s="47"/>
    </row>
    <row r="116" spans="3:28" ht="20.100000000000001" customHeight="1" x14ac:dyDescent="0.25">
      <c r="C116" s="60"/>
      <c r="D116" s="60"/>
      <c r="E116" s="44"/>
      <c r="F116" s="44"/>
      <c r="G116" s="44"/>
      <c r="H116" s="44"/>
      <c r="I116" s="44"/>
      <c r="J116" s="44"/>
      <c r="K116" s="44"/>
      <c r="L116" s="44"/>
      <c r="M116" s="63"/>
      <c r="N116" s="44"/>
      <c r="O116" s="63"/>
      <c r="P116" s="44"/>
      <c r="Q116" s="72"/>
      <c r="R116" s="72"/>
      <c r="S116" s="72"/>
      <c r="T116" s="72"/>
      <c r="U116" s="73"/>
      <c r="V116" s="73"/>
      <c r="W116" s="74"/>
      <c r="X116" s="46"/>
      <c r="Y116" s="46"/>
      <c r="Z116" s="44"/>
      <c r="AA116" s="44"/>
      <c r="AB116" s="47"/>
    </row>
    <row r="117" spans="3:28" ht="20.100000000000001" customHeight="1" x14ac:dyDescent="0.25">
      <c r="C117" s="60"/>
      <c r="D117" s="60"/>
      <c r="E117" s="44"/>
      <c r="F117" s="44"/>
      <c r="G117" s="44"/>
      <c r="H117" s="44"/>
      <c r="I117" s="44"/>
      <c r="J117" s="44"/>
      <c r="K117" s="44"/>
      <c r="L117" s="44"/>
      <c r="M117" s="63"/>
      <c r="N117" s="44"/>
      <c r="O117" s="63"/>
      <c r="P117" s="44"/>
      <c r="Q117" s="72"/>
      <c r="R117" s="72"/>
      <c r="S117" s="72"/>
      <c r="T117" s="72"/>
      <c r="U117" s="73"/>
      <c r="V117" s="73"/>
      <c r="W117" s="74"/>
      <c r="X117" s="46"/>
      <c r="Y117" s="46"/>
      <c r="Z117" s="44"/>
      <c r="AA117" s="44"/>
      <c r="AB117" s="47"/>
    </row>
    <row r="118" spans="3:28" ht="20.100000000000001" customHeight="1" x14ac:dyDescent="0.25">
      <c r="C118" s="60"/>
      <c r="D118" s="60"/>
      <c r="E118" s="44"/>
      <c r="F118" s="44"/>
      <c r="G118" s="44"/>
      <c r="H118" s="44"/>
      <c r="I118" s="44"/>
      <c r="J118" s="44"/>
      <c r="K118" s="44"/>
      <c r="L118" s="44"/>
      <c r="M118" s="63"/>
      <c r="N118" s="44"/>
      <c r="O118" s="63"/>
      <c r="P118" s="44"/>
      <c r="Q118" s="72"/>
      <c r="R118" s="72"/>
      <c r="S118" s="72"/>
      <c r="T118" s="72"/>
      <c r="U118" s="73"/>
      <c r="V118" s="73"/>
      <c r="W118" s="74"/>
      <c r="X118" s="46"/>
      <c r="Y118" s="46"/>
      <c r="Z118" s="44"/>
      <c r="AA118" s="44"/>
      <c r="AB118" s="47"/>
    </row>
    <row r="119" spans="3:28" ht="20.100000000000001" customHeight="1" x14ac:dyDescent="0.25">
      <c r="C119" s="60"/>
      <c r="D119" s="60"/>
      <c r="E119" s="44"/>
      <c r="F119" s="44"/>
      <c r="G119" s="44"/>
      <c r="H119" s="44"/>
      <c r="I119" s="44"/>
      <c r="J119" s="44"/>
      <c r="K119" s="44"/>
      <c r="L119" s="44"/>
      <c r="M119" s="63"/>
      <c r="N119" s="44"/>
      <c r="O119" s="63"/>
      <c r="P119" s="44"/>
      <c r="Q119" s="72"/>
      <c r="R119" s="72"/>
      <c r="S119" s="72"/>
      <c r="T119" s="72"/>
      <c r="U119" s="73"/>
      <c r="V119" s="73"/>
      <c r="W119" s="74"/>
      <c r="X119" s="46"/>
      <c r="Y119" s="46"/>
      <c r="Z119" s="44"/>
      <c r="AA119" s="44"/>
      <c r="AB119" s="47"/>
    </row>
    <row r="120" spans="3:28" ht="20.100000000000001" customHeight="1" x14ac:dyDescent="0.25">
      <c r="C120" s="60"/>
      <c r="D120" s="60"/>
      <c r="E120" s="44"/>
      <c r="F120" s="44"/>
      <c r="G120" s="44"/>
      <c r="H120" s="44"/>
      <c r="I120" s="44"/>
      <c r="J120" s="44"/>
      <c r="K120" s="44"/>
      <c r="L120" s="44"/>
      <c r="M120" s="63"/>
      <c r="N120" s="44"/>
      <c r="O120" s="63"/>
      <c r="P120" s="44"/>
      <c r="Q120" s="72"/>
      <c r="R120" s="72"/>
      <c r="S120" s="72"/>
      <c r="T120" s="72"/>
      <c r="U120" s="73"/>
      <c r="V120" s="73"/>
      <c r="W120" s="74"/>
      <c r="X120" s="46"/>
      <c r="Y120" s="46"/>
      <c r="Z120" s="44"/>
      <c r="AA120" s="44"/>
      <c r="AB120" s="47"/>
    </row>
    <row r="121" spans="3:28" ht="20.100000000000001" customHeight="1" x14ac:dyDescent="0.25">
      <c r="C121" s="60"/>
      <c r="D121" s="60"/>
      <c r="E121" s="44"/>
      <c r="F121" s="44"/>
      <c r="G121" s="44"/>
      <c r="H121" s="44"/>
      <c r="I121" s="44"/>
      <c r="J121" s="44"/>
      <c r="K121" s="44"/>
      <c r="L121" s="44"/>
      <c r="M121" s="63"/>
      <c r="N121" s="44"/>
      <c r="O121" s="63"/>
      <c r="P121" s="44"/>
      <c r="Q121" s="72"/>
      <c r="R121" s="72"/>
      <c r="S121" s="72"/>
      <c r="T121" s="72"/>
      <c r="U121" s="73"/>
      <c r="V121" s="73"/>
      <c r="W121" s="74"/>
      <c r="X121" s="46"/>
      <c r="Y121" s="46"/>
      <c r="Z121" s="44"/>
      <c r="AA121" s="44"/>
      <c r="AB121" s="47"/>
    </row>
    <row r="122" spans="3:28" ht="20.100000000000001" customHeight="1" x14ac:dyDescent="0.25">
      <c r="C122" s="60"/>
      <c r="D122" s="60"/>
      <c r="E122" s="44"/>
      <c r="F122" s="44"/>
      <c r="G122" s="44"/>
      <c r="H122" s="44"/>
      <c r="I122" s="44"/>
      <c r="J122" s="44"/>
      <c r="K122" s="44"/>
      <c r="L122" s="44"/>
      <c r="M122" s="63"/>
      <c r="N122" s="44"/>
      <c r="O122" s="63"/>
      <c r="P122" s="44"/>
      <c r="Q122" s="72"/>
      <c r="R122" s="72"/>
      <c r="S122" s="72"/>
      <c r="T122" s="72"/>
      <c r="U122" s="73"/>
      <c r="V122" s="73"/>
      <c r="W122" s="74"/>
      <c r="X122" s="46"/>
      <c r="Y122" s="46"/>
      <c r="Z122" s="44"/>
      <c r="AA122" s="44"/>
      <c r="AB122" s="47"/>
    </row>
    <row r="123" spans="3:28" ht="20.100000000000001" customHeight="1" x14ac:dyDescent="0.25">
      <c r="C123" s="60"/>
      <c r="D123" s="60"/>
      <c r="E123" s="44"/>
      <c r="F123" s="44"/>
      <c r="G123" s="44"/>
      <c r="H123" s="44"/>
      <c r="I123" s="44"/>
      <c r="J123" s="44"/>
      <c r="K123" s="44"/>
      <c r="L123" s="44"/>
      <c r="M123" s="63"/>
      <c r="N123" s="44"/>
      <c r="O123" s="63"/>
      <c r="P123" s="44"/>
      <c r="Q123" s="72"/>
      <c r="R123" s="72"/>
      <c r="S123" s="72"/>
      <c r="T123" s="72"/>
      <c r="U123" s="73"/>
      <c r="V123" s="73"/>
      <c r="W123" s="74"/>
      <c r="X123" s="46"/>
      <c r="Y123" s="46"/>
      <c r="Z123" s="44"/>
      <c r="AA123" s="44"/>
      <c r="AB123" s="47"/>
    </row>
    <row r="124" spans="3:28" ht="20.100000000000001" customHeight="1" x14ac:dyDescent="0.25">
      <c r="C124" s="60"/>
      <c r="D124" s="60"/>
      <c r="E124" s="44"/>
      <c r="F124" s="44"/>
      <c r="G124" s="44"/>
      <c r="H124" s="44"/>
      <c r="I124" s="44"/>
      <c r="J124" s="44"/>
      <c r="K124" s="44"/>
      <c r="L124" s="44"/>
      <c r="M124" s="63"/>
      <c r="N124" s="44"/>
      <c r="O124" s="63"/>
      <c r="P124" s="44"/>
      <c r="Q124" s="72"/>
      <c r="R124" s="72"/>
      <c r="S124" s="72"/>
      <c r="T124" s="72"/>
      <c r="U124" s="73"/>
      <c r="V124" s="73"/>
      <c r="W124" s="74"/>
      <c r="X124" s="46"/>
      <c r="Y124" s="46"/>
      <c r="Z124" s="44"/>
      <c r="AA124" s="44"/>
      <c r="AB124" s="47"/>
    </row>
    <row r="125" spans="3:28" ht="20.100000000000001" customHeight="1" x14ac:dyDescent="0.25">
      <c r="C125" s="60"/>
      <c r="D125" s="60"/>
      <c r="E125" s="44"/>
      <c r="F125" s="44"/>
      <c r="G125" s="44"/>
      <c r="H125" s="44"/>
      <c r="I125" s="44"/>
      <c r="J125" s="44"/>
      <c r="K125" s="44"/>
      <c r="L125" s="44"/>
      <c r="M125" s="63"/>
      <c r="N125" s="44"/>
      <c r="O125" s="63"/>
      <c r="P125" s="44"/>
      <c r="Q125" s="72"/>
      <c r="R125" s="72"/>
      <c r="S125" s="72"/>
      <c r="T125" s="72"/>
      <c r="U125" s="73"/>
      <c r="V125" s="73"/>
      <c r="W125" s="74"/>
      <c r="X125" s="46"/>
      <c r="Y125" s="46"/>
      <c r="Z125" s="44"/>
      <c r="AA125" s="44"/>
      <c r="AB125" s="47"/>
    </row>
    <row r="126" spans="3:28" ht="20.100000000000001" customHeight="1" x14ac:dyDescent="0.25">
      <c r="C126" s="60"/>
      <c r="D126" s="60"/>
      <c r="E126" s="44"/>
      <c r="F126" s="44"/>
      <c r="G126" s="44"/>
      <c r="H126" s="44"/>
      <c r="I126" s="44"/>
      <c r="J126" s="44"/>
      <c r="K126" s="44"/>
      <c r="L126" s="44"/>
      <c r="M126" s="63"/>
      <c r="N126" s="44"/>
      <c r="O126" s="63"/>
      <c r="P126" s="44"/>
      <c r="Q126" s="72"/>
      <c r="R126" s="72"/>
      <c r="S126" s="72"/>
      <c r="T126" s="72"/>
      <c r="U126" s="73"/>
      <c r="V126" s="73"/>
      <c r="W126" s="74"/>
      <c r="X126" s="46"/>
      <c r="Y126" s="46"/>
      <c r="Z126" s="44"/>
      <c r="AA126" s="44"/>
      <c r="AB126" s="47"/>
    </row>
    <row r="127" spans="3:28" ht="20.100000000000001" customHeight="1" x14ac:dyDescent="0.25">
      <c r="C127" s="60"/>
      <c r="D127" s="60"/>
      <c r="E127" s="44"/>
      <c r="F127" s="44"/>
      <c r="G127" s="44"/>
      <c r="H127" s="44"/>
      <c r="I127" s="44"/>
      <c r="J127" s="44"/>
      <c r="K127" s="44"/>
      <c r="L127" s="44"/>
      <c r="M127" s="63"/>
      <c r="N127" s="44"/>
      <c r="O127" s="63"/>
      <c r="P127" s="44"/>
      <c r="Q127" s="72"/>
      <c r="R127" s="72"/>
      <c r="S127" s="72"/>
      <c r="T127" s="72"/>
      <c r="U127" s="73"/>
      <c r="V127" s="73"/>
      <c r="W127" s="74"/>
      <c r="X127" s="46"/>
      <c r="Y127" s="46"/>
      <c r="Z127" s="44"/>
      <c r="AA127" s="44"/>
      <c r="AB127" s="47"/>
    </row>
    <row r="128" spans="3:28" ht="20.100000000000001" customHeight="1" x14ac:dyDescent="0.25">
      <c r="C128" s="60"/>
      <c r="D128" s="60"/>
      <c r="E128" s="44"/>
      <c r="F128" s="44"/>
      <c r="G128" s="44"/>
      <c r="H128" s="44"/>
      <c r="I128" s="44"/>
      <c r="J128" s="44"/>
      <c r="K128" s="44"/>
      <c r="L128" s="44"/>
      <c r="M128" s="63"/>
      <c r="N128" s="44"/>
      <c r="O128" s="63"/>
      <c r="P128" s="44"/>
      <c r="Q128" s="72"/>
      <c r="R128" s="72"/>
      <c r="S128" s="72"/>
      <c r="T128" s="72"/>
      <c r="U128" s="73"/>
      <c r="V128" s="73"/>
      <c r="W128" s="74"/>
      <c r="X128" s="46"/>
      <c r="Y128" s="46"/>
      <c r="Z128" s="44"/>
      <c r="AA128" s="44"/>
      <c r="AB128" s="47"/>
    </row>
    <row r="129" spans="3:28" ht="20.100000000000001" customHeight="1" x14ac:dyDescent="0.25">
      <c r="C129" s="60"/>
      <c r="D129" s="60"/>
      <c r="E129" s="44"/>
      <c r="F129" s="44"/>
      <c r="G129" s="44"/>
      <c r="H129" s="44"/>
      <c r="I129" s="44"/>
      <c r="J129" s="44"/>
      <c r="K129" s="44"/>
      <c r="L129" s="44"/>
      <c r="M129" s="63"/>
      <c r="N129" s="44"/>
      <c r="O129" s="63"/>
      <c r="P129" s="44"/>
      <c r="Q129" s="72"/>
      <c r="R129" s="72"/>
      <c r="S129" s="72"/>
      <c r="T129" s="72"/>
      <c r="U129" s="73"/>
      <c r="V129" s="73"/>
      <c r="W129" s="74"/>
      <c r="X129" s="46"/>
      <c r="Y129" s="46"/>
      <c r="Z129" s="44"/>
      <c r="AA129" s="44"/>
      <c r="AB129" s="47"/>
    </row>
    <row r="130" spans="3:28" ht="20.100000000000001" customHeight="1" x14ac:dyDescent="0.25">
      <c r="C130" s="60"/>
      <c r="D130" s="60"/>
      <c r="E130" s="44"/>
      <c r="F130" s="44"/>
      <c r="G130" s="44"/>
      <c r="H130" s="44"/>
      <c r="I130" s="44"/>
      <c r="J130" s="44"/>
      <c r="K130" s="44"/>
      <c r="L130" s="44"/>
      <c r="M130" s="63"/>
      <c r="N130" s="44"/>
      <c r="O130" s="63"/>
      <c r="P130" s="44"/>
      <c r="Q130" s="72"/>
      <c r="R130" s="72"/>
      <c r="S130" s="72"/>
      <c r="T130" s="72"/>
      <c r="U130" s="73"/>
      <c r="V130" s="73"/>
      <c r="W130" s="74"/>
      <c r="X130" s="46"/>
      <c r="Y130" s="46"/>
      <c r="Z130" s="44"/>
      <c r="AA130" s="44"/>
      <c r="AB130" s="47"/>
    </row>
    <row r="131" spans="3:28" ht="20.100000000000001" customHeight="1" x14ac:dyDescent="0.25">
      <c r="C131" s="60"/>
      <c r="D131" s="60"/>
      <c r="E131" s="44"/>
      <c r="F131" s="44"/>
      <c r="G131" s="44"/>
      <c r="H131" s="44"/>
      <c r="I131" s="44"/>
      <c r="J131" s="44"/>
      <c r="K131" s="44"/>
      <c r="L131" s="44"/>
      <c r="M131" s="63"/>
      <c r="N131" s="44"/>
      <c r="O131" s="63"/>
      <c r="P131" s="44"/>
      <c r="Q131" s="72"/>
      <c r="R131" s="72"/>
      <c r="S131" s="72"/>
      <c r="T131" s="72"/>
      <c r="U131" s="73"/>
      <c r="V131" s="73"/>
      <c r="W131" s="74"/>
      <c r="X131" s="46"/>
      <c r="Y131" s="46"/>
      <c r="Z131" s="44"/>
      <c r="AA131" s="44"/>
      <c r="AB131" s="47"/>
    </row>
    <row r="132" spans="3:28" ht="20.100000000000001" customHeight="1" x14ac:dyDescent="0.25">
      <c r="C132" s="60"/>
      <c r="D132" s="60"/>
      <c r="E132" s="44"/>
      <c r="F132" s="44"/>
      <c r="G132" s="44"/>
      <c r="H132" s="44"/>
      <c r="I132" s="44"/>
      <c r="J132" s="44"/>
      <c r="K132" s="44"/>
      <c r="L132" s="44"/>
      <c r="M132" s="63"/>
      <c r="N132" s="44"/>
      <c r="O132" s="63"/>
      <c r="P132" s="44"/>
      <c r="Q132" s="72"/>
      <c r="R132" s="72"/>
      <c r="S132" s="72"/>
      <c r="T132" s="72"/>
      <c r="U132" s="73"/>
      <c r="V132" s="73"/>
      <c r="W132" s="74"/>
      <c r="X132" s="46"/>
      <c r="Y132" s="46"/>
      <c r="Z132" s="44"/>
      <c r="AA132" s="44"/>
      <c r="AB132" s="47"/>
    </row>
    <row r="133" spans="3:28" ht="20.100000000000001" customHeight="1" x14ac:dyDescent="0.25">
      <c r="C133" s="60"/>
      <c r="D133" s="60"/>
      <c r="E133" s="44"/>
      <c r="F133" s="44"/>
      <c r="G133" s="44"/>
      <c r="H133" s="44"/>
      <c r="I133" s="44"/>
      <c r="J133" s="44"/>
      <c r="K133" s="44"/>
      <c r="L133" s="44"/>
      <c r="M133" s="63"/>
      <c r="N133" s="44"/>
      <c r="O133" s="63"/>
      <c r="P133" s="44"/>
      <c r="Q133" s="72"/>
      <c r="R133" s="72"/>
      <c r="S133" s="72"/>
      <c r="T133" s="72"/>
      <c r="U133" s="73"/>
      <c r="V133" s="73"/>
      <c r="W133" s="74"/>
      <c r="X133" s="46"/>
      <c r="Y133" s="46"/>
      <c r="Z133" s="44"/>
      <c r="AA133" s="44"/>
      <c r="AB133" s="47"/>
    </row>
    <row r="134" spans="3:28" ht="20.100000000000001" customHeight="1" x14ac:dyDescent="0.25">
      <c r="C134" s="60"/>
      <c r="D134" s="60"/>
      <c r="E134" s="44"/>
      <c r="F134" s="44"/>
      <c r="G134" s="44"/>
      <c r="H134" s="44"/>
      <c r="I134" s="44"/>
      <c r="J134" s="44"/>
      <c r="K134" s="44"/>
      <c r="L134" s="44"/>
      <c r="M134" s="63"/>
      <c r="N134" s="44"/>
      <c r="O134" s="63"/>
      <c r="P134" s="44"/>
      <c r="Q134" s="72"/>
      <c r="R134" s="72"/>
      <c r="S134" s="72"/>
      <c r="T134" s="72"/>
      <c r="U134" s="73"/>
      <c r="V134" s="73"/>
      <c r="W134" s="74"/>
      <c r="X134" s="46"/>
      <c r="Y134" s="46"/>
      <c r="Z134" s="44"/>
      <c r="AA134" s="44"/>
      <c r="AB134" s="47"/>
    </row>
    <row r="135" spans="3:28" ht="20.100000000000001" customHeight="1" x14ac:dyDescent="0.25">
      <c r="C135" s="60"/>
      <c r="D135" s="60"/>
      <c r="E135" s="44"/>
      <c r="F135" s="44"/>
      <c r="G135" s="44"/>
      <c r="H135" s="44"/>
      <c r="I135" s="44"/>
      <c r="J135" s="44"/>
      <c r="K135" s="44"/>
      <c r="L135" s="44"/>
      <c r="M135" s="63"/>
      <c r="N135" s="44"/>
      <c r="O135" s="63"/>
      <c r="P135" s="44"/>
      <c r="Q135" s="72"/>
      <c r="R135" s="72"/>
      <c r="S135" s="72"/>
      <c r="T135" s="72"/>
      <c r="U135" s="73"/>
      <c r="V135" s="73"/>
      <c r="W135" s="74"/>
      <c r="X135" s="46"/>
      <c r="Y135" s="46"/>
      <c r="Z135" s="44"/>
      <c r="AA135" s="44"/>
      <c r="AB135" s="47"/>
    </row>
    <row r="136" spans="3:28" ht="20.100000000000001" customHeight="1" x14ac:dyDescent="0.25">
      <c r="C136" s="60"/>
      <c r="D136" s="60"/>
      <c r="E136" s="44"/>
      <c r="F136" s="44"/>
      <c r="G136" s="44"/>
      <c r="H136" s="44"/>
      <c r="I136" s="44"/>
      <c r="J136" s="44"/>
      <c r="K136" s="44"/>
      <c r="L136" s="44"/>
      <c r="M136" s="63"/>
      <c r="N136" s="44"/>
      <c r="O136" s="63"/>
      <c r="P136" s="44"/>
      <c r="Q136" s="72"/>
      <c r="R136" s="72"/>
      <c r="S136" s="72"/>
      <c r="T136" s="72"/>
      <c r="U136" s="73"/>
      <c r="V136" s="73"/>
      <c r="W136" s="74"/>
      <c r="X136" s="46"/>
      <c r="Y136" s="46"/>
      <c r="Z136" s="44"/>
      <c r="AA136" s="44"/>
      <c r="AB136" s="47"/>
    </row>
    <row r="137" spans="3:28" ht="20.100000000000001" customHeight="1" x14ac:dyDescent="0.25">
      <c r="C137" s="60"/>
      <c r="D137" s="60"/>
      <c r="E137" s="44"/>
      <c r="F137" s="44"/>
      <c r="G137" s="44"/>
      <c r="H137" s="44"/>
      <c r="I137" s="44"/>
      <c r="J137" s="44"/>
      <c r="K137" s="44"/>
      <c r="L137" s="44"/>
      <c r="M137" s="63"/>
      <c r="N137" s="44"/>
      <c r="O137" s="63"/>
      <c r="P137" s="44"/>
      <c r="Q137" s="72"/>
      <c r="R137" s="72"/>
      <c r="S137" s="72"/>
      <c r="T137" s="72"/>
      <c r="U137" s="73"/>
      <c r="V137" s="73"/>
      <c r="W137" s="74"/>
      <c r="X137" s="46"/>
      <c r="Y137" s="46"/>
      <c r="Z137" s="44"/>
      <c r="AA137" s="44"/>
      <c r="AB137" s="47"/>
    </row>
    <row r="138" spans="3:28" ht="20.100000000000001" customHeight="1" x14ac:dyDescent="0.25">
      <c r="C138" s="60"/>
      <c r="D138" s="60"/>
      <c r="E138" s="44"/>
      <c r="F138" s="44"/>
      <c r="G138" s="44"/>
      <c r="H138" s="44"/>
      <c r="I138" s="44"/>
      <c r="J138" s="44"/>
      <c r="K138" s="44"/>
      <c r="L138" s="44"/>
      <c r="M138" s="63"/>
      <c r="N138" s="44"/>
      <c r="O138" s="63"/>
      <c r="P138" s="44"/>
      <c r="Q138" s="72"/>
      <c r="R138" s="72"/>
      <c r="S138" s="72"/>
      <c r="T138" s="72"/>
      <c r="U138" s="73"/>
      <c r="V138" s="73"/>
      <c r="W138" s="74"/>
      <c r="X138" s="46"/>
      <c r="Y138" s="46"/>
      <c r="Z138" s="44"/>
      <c r="AA138" s="44"/>
      <c r="AB138" s="47"/>
    </row>
    <row r="139" spans="3:28" ht="20.100000000000001" customHeight="1" x14ac:dyDescent="0.25">
      <c r="C139" s="60"/>
      <c r="D139" s="60"/>
      <c r="E139" s="44"/>
      <c r="F139" s="44"/>
      <c r="G139" s="44"/>
      <c r="H139" s="44"/>
      <c r="I139" s="44"/>
      <c r="J139" s="44"/>
      <c r="K139" s="44"/>
      <c r="L139" s="44"/>
      <c r="M139" s="63"/>
      <c r="N139" s="44"/>
      <c r="O139" s="63"/>
      <c r="P139" s="44"/>
      <c r="Q139" s="72"/>
      <c r="R139" s="72"/>
      <c r="S139" s="72"/>
      <c r="T139" s="72"/>
      <c r="U139" s="73"/>
      <c r="V139" s="73"/>
      <c r="W139" s="74"/>
      <c r="X139" s="46"/>
      <c r="Y139" s="46"/>
      <c r="Z139" s="44"/>
      <c r="AA139" s="44"/>
      <c r="AB139" s="47"/>
    </row>
    <row r="140" spans="3:28" ht="20.100000000000001" customHeight="1" x14ac:dyDescent="0.25">
      <c r="C140" s="60"/>
      <c r="D140" s="60"/>
      <c r="E140" s="44"/>
      <c r="F140" s="44"/>
      <c r="G140" s="44"/>
      <c r="H140" s="44"/>
      <c r="I140" s="44"/>
      <c r="J140" s="44"/>
      <c r="K140" s="44"/>
      <c r="L140" s="44"/>
      <c r="M140" s="63"/>
      <c r="N140" s="44"/>
      <c r="O140" s="63"/>
      <c r="P140" s="44"/>
      <c r="Q140" s="72"/>
      <c r="R140" s="72"/>
      <c r="S140" s="72"/>
      <c r="T140" s="72"/>
      <c r="U140" s="73"/>
      <c r="V140" s="73"/>
      <c r="W140" s="74"/>
      <c r="X140" s="46"/>
      <c r="Y140" s="46"/>
      <c r="Z140" s="44"/>
      <c r="AA140" s="44"/>
      <c r="AB140" s="47"/>
    </row>
    <row r="141" spans="3:28" ht="20.100000000000001" customHeight="1" x14ac:dyDescent="0.25">
      <c r="C141" s="60"/>
      <c r="D141" s="60"/>
      <c r="E141" s="44"/>
      <c r="F141" s="44"/>
      <c r="G141" s="44"/>
      <c r="H141" s="44"/>
      <c r="I141" s="44"/>
      <c r="J141" s="44"/>
      <c r="K141" s="44"/>
      <c r="L141" s="44"/>
      <c r="M141" s="63"/>
      <c r="N141" s="44"/>
      <c r="O141" s="63"/>
      <c r="P141" s="44"/>
      <c r="Q141" s="72"/>
      <c r="R141" s="72"/>
      <c r="S141" s="72"/>
      <c r="T141" s="72"/>
      <c r="U141" s="73"/>
      <c r="V141" s="73"/>
      <c r="W141" s="74"/>
      <c r="X141" s="46"/>
      <c r="Y141" s="46"/>
      <c r="Z141" s="44"/>
      <c r="AA141" s="44"/>
      <c r="AB141" s="47"/>
    </row>
    <row r="142" spans="3:28" ht="20.100000000000001" customHeight="1" x14ac:dyDescent="0.25">
      <c r="C142" s="60"/>
      <c r="D142" s="60"/>
      <c r="E142" s="44"/>
      <c r="F142" s="44"/>
      <c r="G142" s="44"/>
      <c r="H142" s="44"/>
      <c r="I142" s="44"/>
      <c r="J142" s="44"/>
      <c r="K142" s="44"/>
      <c r="L142" s="44"/>
      <c r="M142" s="63"/>
      <c r="N142" s="44"/>
      <c r="O142" s="63"/>
      <c r="P142" s="44"/>
      <c r="Q142" s="72"/>
      <c r="R142" s="72"/>
      <c r="S142" s="72"/>
      <c r="T142" s="72"/>
      <c r="U142" s="73"/>
      <c r="V142" s="73"/>
      <c r="W142" s="74"/>
      <c r="X142" s="46"/>
      <c r="Y142" s="46"/>
      <c r="Z142" s="44"/>
      <c r="AA142" s="44"/>
      <c r="AB142" s="47"/>
    </row>
    <row r="143" spans="3:28" ht="20.100000000000001" customHeight="1" x14ac:dyDescent="0.25">
      <c r="C143" s="60"/>
      <c r="D143" s="60"/>
      <c r="E143" s="44"/>
      <c r="F143" s="44"/>
      <c r="G143" s="44"/>
      <c r="H143" s="44"/>
      <c r="I143" s="44"/>
      <c r="J143" s="44"/>
      <c r="K143" s="44"/>
      <c r="L143" s="44"/>
      <c r="M143" s="63"/>
      <c r="N143" s="44"/>
      <c r="O143" s="63"/>
      <c r="P143" s="44"/>
      <c r="Q143" s="72"/>
      <c r="R143" s="72"/>
      <c r="S143" s="72"/>
      <c r="T143" s="72"/>
      <c r="U143" s="73"/>
      <c r="V143" s="73"/>
      <c r="W143" s="74"/>
      <c r="X143" s="46"/>
      <c r="Y143" s="46"/>
      <c r="Z143" s="44"/>
      <c r="AA143" s="44"/>
      <c r="AB143" s="47"/>
    </row>
    <row r="144" spans="3:28" ht="20.100000000000001" customHeight="1" x14ac:dyDescent="0.25">
      <c r="C144" s="60"/>
      <c r="D144" s="60"/>
      <c r="E144" s="44"/>
      <c r="F144" s="44"/>
      <c r="G144" s="44"/>
      <c r="H144" s="44"/>
      <c r="I144" s="44"/>
      <c r="J144" s="44"/>
      <c r="K144" s="44"/>
      <c r="L144" s="44"/>
      <c r="M144" s="63"/>
      <c r="N144" s="44"/>
      <c r="O144" s="63"/>
      <c r="P144" s="44"/>
      <c r="Q144" s="72"/>
      <c r="R144" s="72"/>
      <c r="S144" s="72"/>
      <c r="T144" s="72"/>
      <c r="U144" s="73"/>
      <c r="V144" s="73"/>
      <c r="W144" s="74"/>
      <c r="X144" s="46"/>
      <c r="Y144" s="46"/>
      <c r="Z144" s="44"/>
      <c r="AA144" s="44"/>
      <c r="AB144" s="47"/>
    </row>
    <row r="145" spans="3:28" ht="20.100000000000001" customHeight="1" x14ac:dyDescent="0.25">
      <c r="C145" s="60"/>
      <c r="D145" s="60"/>
      <c r="E145" s="44"/>
      <c r="F145" s="44"/>
      <c r="G145" s="44"/>
      <c r="H145" s="44"/>
      <c r="I145" s="44"/>
      <c r="J145" s="44"/>
      <c r="K145" s="44"/>
      <c r="L145" s="44"/>
      <c r="M145" s="63"/>
      <c r="N145" s="44"/>
      <c r="O145" s="63"/>
      <c r="P145" s="44"/>
      <c r="Q145" s="72"/>
      <c r="R145" s="72"/>
      <c r="S145" s="72"/>
      <c r="T145" s="72"/>
      <c r="U145" s="73"/>
      <c r="V145" s="73"/>
      <c r="W145" s="74"/>
      <c r="X145" s="46"/>
      <c r="Y145" s="46"/>
      <c r="Z145" s="44"/>
      <c r="AA145" s="44"/>
      <c r="AB145" s="47"/>
    </row>
    <row r="146" spans="3:28" ht="20.100000000000001" customHeight="1" x14ac:dyDescent="0.25">
      <c r="C146" s="60"/>
      <c r="D146" s="60"/>
      <c r="E146" s="44"/>
      <c r="F146" s="44"/>
      <c r="G146" s="44"/>
      <c r="H146" s="44"/>
      <c r="I146" s="44"/>
      <c r="J146" s="44"/>
      <c r="K146" s="44"/>
      <c r="L146" s="44"/>
      <c r="M146" s="63"/>
      <c r="N146" s="44"/>
      <c r="O146" s="63"/>
      <c r="P146" s="44"/>
      <c r="Q146" s="72"/>
      <c r="R146" s="72"/>
      <c r="S146" s="72"/>
      <c r="T146" s="72"/>
      <c r="U146" s="73"/>
      <c r="V146" s="73"/>
      <c r="W146" s="74"/>
      <c r="X146" s="46"/>
      <c r="Y146" s="46"/>
      <c r="Z146" s="44"/>
      <c r="AA146" s="44"/>
      <c r="AB146" s="47"/>
    </row>
    <row r="147" spans="3:28" ht="20.100000000000001" customHeight="1" x14ac:dyDescent="0.25">
      <c r="C147" s="60"/>
      <c r="D147" s="60"/>
      <c r="E147" s="44"/>
      <c r="F147" s="44"/>
      <c r="G147" s="44"/>
      <c r="H147" s="44"/>
      <c r="I147" s="44"/>
      <c r="J147" s="44"/>
      <c r="K147" s="44"/>
      <c r="L147" s="44"/>
      <c r="M147" s="63"/>
      <c r="N147" s="44"/>
      <c r="O147" s="63"/>
      <c r="P147" s="44"/>
      <c r="Q147" s="72"/>
      <c r="R147" s="72"/>
      <c r="S147" s="72"/>
      <c r="T147" s="72"/>
      <c r="U147" s="73"/>
      <c r="V147" s="73"/>
      <c r="W147" s="74"/>
      <c r="X147" s="46"/>
      <c r="Y147" s="46"/>
      <c r="Z147" s="44"/>
      <c r="AA147" s="44"/>
      <c r="AB147" s="47"/>
    </row>
    <row r="148" spans="3:28" ht="20.100000000000001" customHeight="1" x14ac:dyDescent="0.25">
      <c r="C148" s="60"/>
      <c r="D148" s="60"/>
      <c r="E148" s="44"/>
      <c r="F148" s="44"/>
      <c r="G148" s="44"/>
      <c r="H148" s="44"/>
      <c r="I148" s="44"/>
      <c r="J148" s="44"/>
      <c r="K148" s="44"/>
      <c r="L148" s="44"/>
      <c r="M148" s="63"/>
      <c r="N148" s="44"/>
      <c r="O148" s="63"/>
      <c r="P148" s="44"/>
      <c r="Q148" s="72"/>
      <c r="R148" s="72"/>
      <c r="S148" s="72"/>
      <c r="T148" s="72"/>
      <c r="U148" s="73"/>
      <c r="V148" s="73"/>
      <c r="W148" s="74"/>
      <c r="X148" s="46"/>
      <c r="Y148" s="46"/>
      <c r="Z148" s="44"/>
      <c r="AA148" s="44"/>
      <c r="AB148" s="47"/>
    </row>
    <row r="149" spans="3:28" ht="20.100000000000001" customHeight="1" x14ac:dyDescent="0.25">
      <c r="C149" s="60"/>
      <c r="D149" s="60"/>
      <c r="E149" s="44"/>
      <c r="F149" s="44"/>
      <c r="G149" s="44"/>
      <c r="H149" s="44"/>
      <c r="I149" s="44"/>
      <c r="J149" s="44"/>
      <c r="K149" s="44"/>
      <c r="L149" s="44"/>
      <c r="M149" s="63"/>
      <c r="N149" s="44"/>
      <c r="O149" s="63"/>
      <c r="P149" s="44"/>
      <c r="Q149" s="72"/>
      <c r="R149" s="72"/>
      <c r="S149" s="72"/>
      <c r="T149" s="72"/>
      <c r="U149" s="73"/>
      <c r="V149" s="73"/>
      <c r="W149" s="74"/>
      <c r="X149" s="46"/>
      <c r="Y149" s="46"/>
      <c r="Z149" s="44"/>
      <c r="AA149" s="44"/>
      <c r="AB149" s="47"/>
    </row>
    <row r="150" spans="3:28" ht="20.100000000000001" customHeight="1" x14ac:dyDescent="0.25">
      <c r="C150" s="60"/>
      <c r="D150" s="60"/>
      <c r="E150" s="44"/>
      <c r="F150" s="44"/>
      <c r="G150" s="44"/>
      <c r="H150" s="44"/>
      <c r="I150" s="44"/>
      <c r="J150" s="44"/>
      <c r="K150" s="44"/>
      <c r="L150" s="44"/>
      <c r="M150" s="63"/>
      <c r="N150" s="44"/>
      <c r="O150" s="63"/>
      <c r="P150" s="44"/>
      <c r="Q150" s="72"/>
      <c r="R150" s="72"/>
      <c r="S150" s="72"/>
      <c r="T150" s="72"/>
      <c r="U150" s="73"/>
      <c r="V150" s="73"/>
      <c r="W150" s="74"/>
      <c r="X150" s="46"/>
      <c r="Y150" s="46"/>
      <c r="Z150" s="44"/>
      <c r="AA150" s="44"/>
      <c r="AB150" s="47"/>
    </row>
    <row r="151" spans="3:28" ht="20.100000000000001" customHeight="1" x14ac:dyDescent="0.25">
      <c r="C151" s="60"/>
      <c r="D151" s="60"/>
      <c r="E151" s="44"/>
      <c r="F151" s="44"/>
      <c r="G151" s="44"/>
      <c r="H151" s="44"/>
      <c r="I151" s="44"/>
      <c r="J151" s="44"/>
      <c r="K151" s="44"/>
      <c r="L151" s="44"/>
      <c r="M151" s="63"/>
      <c r="N151" s="44"/>
      <c r="O151" s="63"/>
      <c r="P151" s="44"/>
      <c r="Q151" s="72"/>
      <c r="R151" s="72"/>
      <c r="S151" s="72"/>
      <c r="T151" s="72"/>
      <c r="U151" s="73"/>
      <c r="V151" s="73"/>
      <c r="W151" s="74"/>
      <c r="X151" s="46"/>
      <c r="Y151" s="46"/>
      <c r="Z151" s="44"/>
      <c r="AA151" s="44"/>
      <c r="AB151" s="47"/>
    </row>
    <row r="152" spans="3:28" ht="20.100000000000001" customHeight="1" x14ac:dyDescent="0.25">
      <c r="C152" s="60"/>
      <c r="D152" s="60"/>
      <c r="E152" s="44"/>
      <c r="F152" s="44"/>
      <c r="G152" s="44"/>
      <c r="H152" s="44"/>
      <c r="I152" s="44"/>
      <c r="J152" s="44"/>
      <c r="K152" s="44"/>
      <c r="L152" s="44"/>
      <c r="M152" s="63"/>
      <c r="N152" s="44"/>
      <c r="O152" s="63"/>
      <c r="P152" s="44"/>
      <c r="Q152" s="72"/>
      <c r="R152" s="72"/>
      <c r="S152" s="72"/>
      <c r="T152" s="72"/>
      <c r="U152" s="73"/>
      <c r="V152" s="73"/>
      <c r="W152" s="74"/>
      <c r="X152" s="46"/>
      <c r="Y152" s="46"/>
      <c r="Z152" s="44"/>
      <c r="AA152" s="44"/>
      <c r="AB152" s="47"/>
    </row>
    <row r="153" spans="3:28" ht="20.100000000000001" customHeight="1" x14ac:dyDescent="0.25">
      <c r="C153" s="60"/>
      <c r="D153" s="60"/>
      <c r="E153" s="44"/>
      <c r="F153" s="44"/>
      <c r="G153" s="44"/>
      <c r="H153" s="44"/>
      <c r="I153" s="44"/>
      <c r="J153" s="44"/>
      <c r="K153" s="44"/>
      <c r="L153" s="44"/>
      <c r="M153" s="63"/>
      <c r="N153" s="44"/>
      <c r="O153" s="63"/>
      <c r="P153" s="44"/>
      <c r="Q153" s="72"/>
      <c r="R153" s="72"/>
      <c r="S153" s="72"/>
      <c r="T153" s="72"/>
      <c r="U153" s="73"/>
      <c r="V153" s="73"/>
      <c r="W153" s="74"/>
      <c r="X153" s="46"/>
      <c r="Y153" s="46"/>
      <c r="Z153" s="44"/>
      <c r="AA153" s="44"/>
      <c r="AB153" s="47"/>
    </row>
    <row r="154" spans="3:28" ht="20.100000000000001" customHeight="1" x14ac:dyDescent="0.25">
      <c r="C154" s="60"/>
      <c r="D154" s="60"/>
      <c r="E154" s="44"/>
      <c r="F154" s="44"/>
      <c r="G154" s="44"/>
      <c r="H154" s="44"/>
      <c r="I154" s="44"/>
      <c r="J154" s="44"/>
      <c r="K154" s="44"/>
      <c r="L154" s="44"/>
      <c r="M154" s="63"/>
      <c r="N154" s="44"/>
      <c r="O154" s="63"/>
      <c r="P154" s="44"/>
      <c r="Q154" s="72"/>
      <c r="R154" s="72"/>
      <c r="S154" s="72"/>
      <c r="T154" s="72"/>
      <c r="U154" s="73"/>
      <c r="V154" s="73"/>
      <c r="W154" s="74"/>
      <c r="X154" s="46"/>
      <c r="Y154" s="46"/>
      <c r="Z154" s="44"/>
      <c r="AA154" s="44"/>
      <c r="AB154" s="47"/>
    </row>
    <row r="155" spans="3:28" ht="20.100000000000001" customHeight="1" x14ac:dyDescent="0.25">
      <c r="C155" s="60"/>
      <c r="D155" s="60"/>
      <c r="E155" s="44"/>
      <c r="F155" s="44"/>
      <c r="G155" s="44"/>
      <c r="H155" s="44"/>
      <c r="I155" s="44"/>
      <c r="J155" s="44"/>
      <c r="K155" s="44"/>
      <c r="L155" s="44"/>
      <c r="M155" s="63"/>
      <c r="N155" s="44"/>
      <c r="O155" s="63"/>
      <c r="P155" s="44"/>
      <c r="Q155" s="72"/>
      <c r="R155" s="72"/>
      <c r="S155" s="72"/>
      <c r="T155" s="72"/>
      <c r="U155" s="73"/>
      <c r="V155" s="73"/>
      <c r="W155" s="74"/>
      <c r="X155" s="46"/>
      <c r="Y155" s="46"/>
      <c r="Z155" s="44"/>
      <c r="AA155" s="44"/>
      <c r="AB155" s="47"/>
    </row>
    <row r="156" spans="3:28" ht="20.100000000000001" customHeight="1" x14ac:dyDescent="0.25">
      <c r="C156" s="60"/>
      <c r="D156" s="60"/>
      <c r="E156" s="44"/>
      <c r="F156" s="44"/>
      <c r="G156" s="44"/>
      <c r="H156" s="44"/>
      <c r="I156" s="44"/>
      <c r="J156" s="44"/>
      <c r="K156" s="44"/>
      <c r="L156" s="44"/>
      <c r="M156" s="63"/>
      <c r="N156" s="44"/>
      <c r="O156" s="63"/>
      <c r="P156" s="44"/>
      <c r="Q156" s="72"/>
      <c r="R156" s="72"/>
      <c r="S156" s="72"/>
      <c r="T156" s="72"/>
      <c r="U156" s="73"/>
      <c r="V156" s="73"/>
      <c r="W156" s="74"/>
      <c r="X156" s="46"/>
      <c r="Y156" s="46"/>
      <c r="Z156" s="44"/>
      <c r="AA156" s="44"/>
      <c r="AB156" s="47"/>
    </row>
    <row r="157" spans="3:28" ht="20.100000000000001" customHeight="1" x14ac:dyDescent="0.25">
      <c r="C157" s="60"/>
      <c r="D157" s="60"/>
      <c r="E157" s="44"/>
      <c r="F157" s="44"/>
      <c r="G157" s="44"/>
      <c r="H157" s="44"/>
      <c r="I157" s="44"/>
      <c r="J157" s="44"/>
      <c r="K157" s="44"/>
      <c r="L157" s="44"/>
      <c r="M157" s="63"/>
      <c r="N157" s="44"/>
      <c r="O157" s="63"/>
      <c r="P157" s="44"/>
      <c r="Q157" s="72"/>
      <c r="R157" s="72"/>
      <c r="S157" s="72"/>
      <c r="T157" s="72"/>
      <c r="U157" s="73"/>
      <c r="V157" s="73"/>
      <c r="W157" s="74"/>
      <c r="X157" s="46"/>
      <c r="Y157" s="46"/>
      <c r="Z157" s="44"/>
      <c r="AA157" s="44"/>
      <c r="AB157" s="47"/>
    </row>
    <row r="158" spans="3:28" ht="20.100000000000001" customHeight="1" x14ac:dyDescent="0.25">
      <c r="C158" s="60"/>
      <c r="D158" s="60"/>
      <c r="E158" s="44"/>
      <c r="F158" s="44"/>
      <c r="G158" s="44"/>
      <c r="H158" s="44"/>
      <c r="I158" s="44"/>
      <c r="J158" s="44"/>
      <c r="K158" s="44"/>
      <c r="L158" s="44"/>
      <c r="M158" s="63"/>
      <c r="N158" s="44"/>
      <c r="O158" s="63"/>
      <c r="P158" s="44"/>
      <c r="Q158" s="72"/>
      <c r="R158" s="72"/>
      <c r="S158" s="72"/>
      <c r="T158" s="72"/>
      <c r="U158" s="73"/>
      <c r="V158" s="73"/>
      <c r="W158" s="74"/>
      <c r="X158" s="46"/>
      <c r="Y158" s="46"/>
      <c r="Z158" s="44"/>
      <c r="AA158" s="44"/>
      <c r="AB158" s="47"/>
    </row>
    <row r="159" spans="3:28" ht="20.100000000000001" customHeight="1" x14ac:dyDescent="0.25">
      <c r="C159" s="60"/>
      <c r="D159" s="60"/>
      <c r="E159" s="44"/>
      <c r="F159" s="44"/>
      <c r="G159" s="44"/>
      <c r="H159" s="44"/>
      <c r="I159" s="44"/>
      <c r="J159" s="44"/>
      <c r="K159" s="44"/>
      <c r="L159" s="44"/>
      <c r="M159" s="63"/>
      <c r="N159" s="44"/>
      <c r="O159" s="63"/>
      <c r="P159" s="44"/>
      <c r="Q159" s="72"/>
      <c r="R159" s="72"/>
      <c r="S159" s="72"/>
      <c r="T159" s="72"/>
      <c r="U159" s="73"/>
      <c r="V159" s="73"/>
      <c r="W159" s="74"/>
      <c r="X159" s="46"/>
      <c r="Y159" s="46"/>
      <c r="Z159" s="44"/>
      <c r="AA159" s="44"/>
      <c r="AB159" s="47"/>
    </row>
    <row r="160" spans="3:28" ht="20.100000000000001" customHeight="1" x14ac:dyDescent="0.25">
      <c r="C160" s="60"/>
      <c r="D160" s="60"/>
      <c r="E160" s="44"/>
      <c r="F160" s="44"/>
      <c r="G160" s="44"/>
      <c r="H160" s="44"/>
      <c r="I160" s="44"/>
      <c r="J160" s="44"/>
      <c r="K160" s="44"/>
      <c r="L160" s="44"/>
      <c r="M160" s="63"/>
      <c r="N160" s="44"/>
      <c r="O160" s="63"/>
      <c r="P160" s="44"/>
      <c r="Q160" s="72"/>
      <c r="R160" s="72"/>
      <c r="S160" s="72"/>
      <c r="T160" s="72"/>
      <c r="U160" s="73"/>
      <c r="V160" s="73"/>
      <c r="W160" s="74"/>
      <c r="X160" s="46"/>
      <c r="Y160" s="46"/>
      <c r="Z160" s="44"/>
      <c r="AA160" s="44"/>
      <c r="AB160" s="47"/>
    </row>
    <row r="161" spans="3:28" ht="20.100000000000001" customHeight="1" x14ac:dyDescent="0.25">
      <c r="C161" s="60"/>
      <c r="D161" s="60"/>
      <c r="E161" s="44"/>
      <c r="F161" s="44"/>
      <c r="G161" s="44"/>
      <c r="H161" s="44"/>
      <c r="I161" s="44"/>
      <c r="J161" s="44"/>
      <c r="K161" s="44"/>
      <c r="L161" s="44"/>
      <c r="M161" s="63"/>
      <c r="N161" s="44"/>
      <c r="O161" s="63"/>
      <c r="P161" s="44"/>
      <c r="Q161" s="72"/>
      <c r="R161" s="72"/>
      <c r="S161" s="72"/>
      <c r="T161" s="72"/>
      <c r="U161" s="73"/>
      <c r="V161" s="73"/>
      <c r="W161" s="74"/>
      <c r="X161" s="46"/>
      <c r="Y161" s="46"/>
      <c r="Z161" s="44"/>
      <c r="AA161" s="44"/>
      <c r="AB161" s="47"/>
    </row>
    <row r="162" spans="3:28" ht="20.100000000000001" customHeight="1" x14ac:dyDescent="0.25">
      <c r="C162" s="60"/>
      <c r="D162" s="60"/>
      <c r="E162" s="44"/>
      <c r="F162" s="44"/>
      <c r="G162" s="44"/>
      <c r="H162" s="44"/>
      <c r="I162" s="44"/>
      <c r="J162" s="44"/>
      <c r="K162" s="44"/>
      <c r="L162" s="44"/>
      <c r="M162" s="63"/>
      <c r="N162" s="44"/>
      <c r="O162" s="63"/>
      <c r="P162" s="44"/>
      <c r="Q162" s="72"/>
      <c r="R162" s="72"/>
      <c r="S162" s="72"/>
      <c r="T162" s="72"/>
      <c r="U162" s="73"/>
      <c r="V162" s="73"/>
      <c r="W162" s="74"/>
      <c r="X162" s="46"/>
      <c r="Y162" s="46"/>
      <c r="Z162" s="44"/>
      <c r="AA162" s="44"/>
      <c r="AB162" s="47"/>
    </row>
    <row r="163" spans="3:28" ht="20.100000000000001" customHeight="1" x14ac:dyDescent="0.25">
      <c r="C163" s="60"/>
      <c r="D163" s="60"/>
      <c r="E163" s="44"/>
      <c r="F163" s="44"/>
      <c r="G163" s="44"/>
      <c r="H163" s="44"/>
      <c r="I163" s="44"/>
      <c r="J163" s="44"/>
      <c r="K163" s="44"/>
      <c r="L163" s="44"/>
      <c r="M163" s="63"/>
      <c r="N163" s="44"/>
      <c r="O163" s="63"/>
      <c r="P163" s="44"/>
      <c r="Q163" s="72"/>
      <c r="R163" s="72"/>
      <c r="S163" s="72"/>
      <c r="T163" s="72"/>
      <c r="U163" s="73"/>
      <c r="V163" s="73"/>
      <c r="W163" s="74"/>
      <c r="X163" s="46"/>
      <c r="Y163" s="46"/>
      <c r="Z163" s="44"/>
      <c r="AA163" s="44"/>
      <c r="AB163" s="47"/>
    </row>
    <row r="164" spans="3:28" ht="20.100000000000001" customHeight="1" x14ac:dyDescent="0.25">
      <c r="C164" s="60"/>
      <c r="D164" s="60"/>
      <c r="E164" s="44"/>
      <c r="F164" s="44"/>
      <c r="G164" s="44"/>
      <c r="H164" s="44"/>
      <c r="I164" s="44"/>
      <c r="J164" s="44"/>
      <c r="K164" s="44"/>
      <c r="L164" s="44"/>
      <c r="M164" s="63"/>
      <c r="N164" s="44"/>
      <c r="O164" s="63"/>
      <c r="P164" s="44"/>
      <c r="Q164" s="72"/>
      <c r="R164" s="72"/>
      <c r="S164" s="72"/>
      <c r="T164" s="72"/>
      <c r="U164" s="73"/>
      <c r="V164" s="73"/>
      <c r="W164" s="74"/>
      <c r="X164" s="46"/>
      <c r="Y164" s="46"/>
      <c r="Z164" s="44"/>
      <c r="AA164" s="44"/>
      <c r="AB164" s="47"/>
    </row>
    <row r="165" spans="3:28" ht="20.100000000000001" customHeight="1" x14ac:dyDescent="0.25">
      <c r="C165" s="60"/>
      <c r="D165" s="60"/>
      <c r="E165" s="44"/>
      <c r="F165" s="44"/>
      <c r="G165" s="44"/>
      <c r="H165" s="44"/>
      <c r="I165" s="44"/>
      <c r="J165" s="44"/>
      <c r="K165" s="44"/>
      <c r="L165" s="44"/>
      <c r="M165" s="63"/>
      <c r="N165" s="44"/>
      <c r="O165" s="63"/>
      <c r="P165" s="44"/>
      <c r="Q165" s="72"/>
      <c r="R165" s="72"/>
      <c r="S165" s="72"/>
      <c r="T165" s="72"/>
      <c r="U165" s="73"/>
      <c r="V165" s="73"/>
      <c r="W165" s="74"/>
      <c r="X165" s="46"/>
      <c r="Y165" s="46"/>
      <c r="Z165" s="44"/>
      <c r="AA165" s="44"/>
      <c r="AB165" s="47"/>
    </row>
    <row r="166" spans="3:28" ht="20.100000000000001" customHeight="1" x14ac:dyDescent="0.25">
      <c r="C166" s="60"/>
      <c r="D166" s="60"/>
      <c r="E166" s="44"/>
      <c r="F166" s="44"/>
      <c r="G166" s="44"/>
      <c r="H166" s="44"/>
      <c r="I166" s="44"/>
      <c r="J166" s="44"/>
      <c r="K166" s="44"/>
      <c r="L166" s="44"/>
      <c r="M166" s="63"/>
      <c r="N166" s="44"/>
      <c r="O166" s="63"/>
      <c r="P166" s="44"/>
      <c r="Q166" s="72"/>
      <c r="R166" s="72"/>
      <c r="S166" s="72"/>
      <c r="T166" s="72"/>
      <c r="U166" s="73"/>
      <c r="V166" s="73"/>
      <c r="W166" s="74"/>
      <c r="X166" s="46"/>
      <c r="Y166" s="46"/>
      <c r="Z166" s="44"/>
      <c r="AA166" s="44"/>
      <c r="AB166" s="47"/>
    </row>
    <row r="167" spans="3:28" ht="20.100000000000001" customHeight="1" x14ac:dyDescent="0.25">
      <c r="C167" s="60"/>
      <c r="D167" s="60"/>
      <c r="E167" s="44"/>
      <c r="F167" s="44"/>
      <c r="G167" s="44"/>
      <c r="H167" s="44"/>
      <c r="I167" s="44"/>
      <c r="J167" s="44"/>
      <c r="K167" s="44"/>
      <c r="L167" s="44"/>
      <c r="M167" s="63"/>
      <c r="N167" s="44"/>
      <c r="O167" s="63"/>
      <c r="P167" s="44"/>
      <c r="Q167" s="72"/>
      <c r="R167" s="72"/>
      <c r="S167" s="72"/>
      <c r="T167" s="72"/>
      <c r="U167" s="73"/>
      <c r="V167" s="73"/>
      <c r="W167" s="74"/>
      <c r="X167" s="46"/>
      <c r="Y167" s="46"/>
      <c r="Z167" s="44"/>
      <c r="AA167" s="44"/>
      <c r="AB167" s="47"/>
    </row>
    <row r="168" spans="3:28" ht="20.100000000000001" customHeight="1" x14ac:dyDescent="0.25">
      <c r="C168" s="60"/>
      <c r="D168" s="60"/>
      <c r="E168" s="44"/>
      <c r="F168" s="44"/>
      <c r="G168" s="44"/>
      <c r="H168" s="44"/>
      <c r="I168" s="44"/>
      <c r="J168" s="44"/>
      <c r="K168" s="44"/>
      <c r="L168" s="44"/>
      <c r="M168" s="63"/>
      <c r="N168" s="44"/>
      <c r="O168" s="63"/>
      <c r="P168" s="44"/>
      <c r="Q168" s="72"/>
      <c r="R168" s="72"/>
      <c r="S168" s="72"/>
      <c r="T168" s="72"/>
      <c r="U168" s="73"/>
      <c r="V168" s="73"/>
      <c r="W168" s="74"/>
      <c r="X168" s="46"/>
      <c r="Y168" s="46"/>
      <c r="Z168" s="44"/>
      <c r="AA168" s="44"/>
      <c r="AB168" s="47"/>
    </row>
    <row r="169" spans="3:28" ht="20.100000000000001" customHeight="1" x14ac:dyDescent="0.25">
      <c r="C169" s="60"/>
      <c r="D169" s="60"/>
      <c r="E169" s="44"/>
      <c r="F169" s="44"/>
      <c r="G169" s="44"/>
      <c r="H169" s="44"/>
      <c r="I169" s="44"/>
      <c r="J169" s="44"/>
      <c r="K169" s="44"/>
      <c r="L169" s="44"/>
      <c r="M169" s="63"/>
      <c r="N169" s="44"/>
      <c r="O169" s="63"/>
      <c r="P169" s="44"/>
      <c r="Q169" s="72"/>
      <c r="R169" s="72"/>
      <c r="S169" s="72"/>
      <c r="T169" s="72"/>
      <c r="U169" s="73"/>
      <c r="V169" s="73"/>
      <c r="W169" s="74"/>
      <c r="X169" s="46"/>
      <c r="Y169" s="46"/>
      <c r="Z169" s="44"/>
      <c r="AA169" s="44"/>
      <c r="AB169" s="47"/>
    </row>
    <row r="170" spans="3:28" ht="20.100000000000001" customHeight="1" x14ac:dyDescent="0.25">
      <c r="C170" s="60"/>
      <c r="D170" s="60"/>
      <c r="E170" s="44"/>
      <c r="F170" s="44"/>
      <c r="G170" s="44"/>
      <c r="H170" s="44"/>
      <c r="I170" s="44"/>
      <c r="J170" s="44"/>
      <c r="K170" s="44"/>
      <c r="L170" s="44"/>
      <c r="M170" s="63"/>
      <c r="N170" s="44"/>
      <c r="O170" s="63"/>
      <c r="P170" s="44"/>
      <c r="Q170" s="72"/>
      <c r="R170" s="72"/>
      <c r="S170" s="72"/>
      <c r="T170" s="72"/>
      <c r="U170" s="73"/>
      <c r="V170" s="73"/>
      <c r="W170" s="74"/>
      <c r="X170" s="46"/>
      <c r="Y170" s="46"/>
      <c r="Z170" s="44"/>
      <c r="AA170" s="44"/>
      <c r="AB170" s="47"/>
    </row>
    <row r="171" spans="3:28" ht="20.100000000000001" customHeight="1" x14ac:dyDescent="0.25">
      <c r="C171" s="60"/>
      <c r="D171" s="60"/>
      <c r="E171" s="44"/>
      <c r="F171" s="44"/>
      <c r="G171" s="44"/>
      <c r="H171" s="44"/>
      <c r="I171" s="44"/>
      <c r="J171" s="44"/>
      <c r="K171" s="44"/>
      <c r="L171" s="44"/>
      <c r="M171" s="63"/>
      <c r="N171" s="44"/>
      <c r="O171" s="63"/>
      <c r="P171" s="44"/>
      <c r="Q171" s="72"/>
      <c r="R171" s="72"/>
      <c r="S171" s="72"/>
      <c r="T171" s="72"/>
      <c r="U171" s="73"/>
      <c r="V171" s="73"/>
      <c r="W171" s="74"/>
      <c r="X171" s="46"/>
      <c r="Y171" s="46"/>
      <c r="Z171" s="44"/>
      <c r="AA171" s="44"/>
      <c r="AB171" s="47"/>
    </row>
    <row r="172" spans="3:28" ht="20.100000000000001" customHeight="1" x14ac:dyDescent="0.25">
      <c r="C172" s="60"/>
      <c r="D172" s="60"/>
      <c r="E172" s="44"/>
      <c r="F172" s="44"/>
      <c r="G172" s="44"/>
      <c r="H172" s="44"/>
      <c r="I172" s="44"/>
      <c r="J172" s="44"/>
      <c r="K172" s="44"/>
      <c r="L172" s="44"/>
      <c r="M172" s="63"/>
      <c r="N172" s="44"/>
      <c r="O172" s="63"/>
      <c r="P172" s="44"/>
      <c r="Q172" s="72"/>
      <c r="R172" s="72"/>
      <c r="S172" s="72"/>
      <c r="T172" s="72"/>
      <c r="U172" s="73"/>
      <c r="V172" s="73"/>
      <c r="W172" s="74"/>
      <c r="X172" s="46"/>
      <c r="Y172" s="46"/>
      <c r="Z172" s="44"/>
      <c r="AA172" s="44"/>
      <c r="AB172" s="47"/>
    </row>
    <row r="173" spans="3:28" ht="20.100000000000001" customHeight="1" x14ac:dyDescent="0.25">
      <c r="C173" s="60"/>
      <c r="D173" s="60"/>
      <c r="E173" s="44"/>
      <c r="F173" s="44"/>
      <c r="G173" s="44"/>
      <c r="H173" s="44"/>
      <c r="I173" s="44"/>
      <c r="J173" s="44"/>
      <c r="K173" s="44"/>
      <c r="L173" s="44"/>
      <c r="M173" s="63"/>
      <c r="N173" s="44"/>
      <c r="O173" s="63"/>
      <c r="P173" s="44"/>
      <c r="Q173" s="72"/>
      <c r="R173" s="72"/>
      <c r="S173" s="72"/>
      <c r="T173" s="72"/>
      <c r="U173" s="73"/>
      <c r="V173" s="73"/>
      <c r="W173" s="74"/>
      <c r="X173" s="46"/>
      <c r="Y173" s="46"/>
      <c r="Z173" s="44"/>
      <c r="AA173" s="44"/>
      <c r="AB173" s="47"/>
    </row>
    <row r="174" spans="3:28" ht="20.100000000000001" customHeight="1" x14ac:dyDescent="0.25">
      <c r="C174" s="60"/>
      <c r="D174" s="60"/>
      <c r="E174" s="44"/>
      <c r="F174" s="44"/>
      <c r="G174" s="44"/>
      <c r="H174" s="44"/>
      <c r="I174" s="44"/>
      <c r="J174" s="44"/>
      <c r="K174" s="44"/>
      <c r="L174" s="44"/>
      <c r="M174" s="63"/>
      <c r="N174" s="44"/>
      <c r="O174" s="63"/>
      <c r="P174" s="44"/>
      <c r="Q174" s="72"/>
      <c r="R174" s="72"/>
      <c r="S174" s="72"/>
      <c r="T174" s="72"/>
      <c r="U174" s="73"/>
      <c r="V174" s="73"/>
      <c r="W174" s="74"/>
      <c r="X174" s="46"/>
      <c r="Y174" s="46"/>
      <c r="Z174" s="44"/>
      <c r="AA174" s="44"/>
      <c r="AB174" s="47"/>
    </row>
    <row r="175" spans="3:28" ht="20.100000000000001" customHeight="1" x14ac:dyDescent="0.25">
      <c r="C175" s="60"/>
      <c r="D175" s="60"/>
      <c r="E175" s="44"/>
      <c r="F175" s="44"/>
      <c r="G175" s="44"/>
      <c r="H175" s="44"/>
      <c r="I175" s="44"/>
      <c r="J175" s="44"/>
      <c r="K175" s="44"/>
      <c r="L175" s="44"/>
      <c r="M175" s="63"/>
      <c r="N175" s="44"/>
      <c r="O175" s="63"/>
      <c r="P175" s="44"/>
      <c r="Q175" s="72"/>
      <c r="R175" s="72"/>
      <c r="S175" s="72"/>
      <c r="T175" s="72"/>
      <c r="U175" s="73"/>
      <c r="V175" s="73"/>
      <c r="W175" s="74"/>
      <c r="X175" s="46"/>
      <c r="Y175" s="46"/>
      <c r="Z175" s="44"/>
      <c r="AA175" s="44"/>
      <c r="AB175" s="47"/>
    </row>
    <row r="176" spans="3:28" ht="20.100000000000001" customHeight="1" x14ac:dyDescent="0.25">
      <c r="C176" s="60"/>
      <c r="D176" s="60"/>
      <c r="E176" s="44"/>
      <c r="F176" s="44"/>
      <c r="G176" s="44"/>
      <c r="H176" s="44"/>
      <c r="I176" s="44"/>
      <c r="J176" s="44"/>
      <c r="K176" s="44"/>
      <c r="L176" s="44"/>
      <c r="M176" s="63"/>
      <c r="N176" s="44"/>
      <c r="O176" s="63"/>
      <c r="P176" s="44"/>
      <c r="Q176" s="72"/>
      <c r="R176" s="72"/>
      <c r="S176" s="72"/>
      <c r="T176" s="72"/>
      <c r="U176" s="73"/>
      <c r="V176" s="73"/>
      <c r="W176" s="74"/>
      <c r="X176" s="46"/>
      <c r="Y176" s="46"/>
      <c r="Z176" s="44"/>
      <c r="AA176" s="44"/>
      <c r="AB176" s="47"/>
    </row>
    <row r="177" spans="3:28" ht="20.100000000000001" customHeight="1" x14ac:dyDescent="0.25">
      <c r="C177" s="60"/>
      <c r="D177" s="60"/>
      <c r="E177" s="44"/>
      <c r="F177" s="44"/>
      <c r="G177" s="44"/>
      <c r="H177" s="44"/>
      <c r="I177" s="44"/>
      <c r="J177" s="44"/>
      <c r="K177" s="44"/>
      <c r="L177" s="44"/>
      <c r="M177" s="63"/>
      <c r="N177" s="44"/>
      <c r="O177" s="63"/>
      <c r="P177" s="44"/>
      <c r="Q177" s="72"/>
      <c r="R177" s="72"/>
      <c r="S177" s="72"/>
      <c r="T177" s="72"/>
      <c r="U177" s="73"/>
      <c r="V177" s="73"/>
      <c r="W177" s="74"/>
      <c r="X177" s="46"/>
      <c r="Y177" s="46"/>
      <c r="Z177" s="44"/>
      <c r="AA177" s="44"/>
      <c r="AB177" s="47"/>
    </row>
    <row r="178" spans="3:28" ht="20.100000000000001" customHeight="1" x14ac:dyDescent="0.25">
      <c r="C178" s="60"/>
      <c r="D178" s="60"/>
      <c r="E178" s="44"/>
      <c r="F178" s="44"/>
      <c r="G178" s="44"/>
      <c r="H178" s="44"/>
      <c r="I178" s="44"/>
      <c r="J178" s="44"/>
      <c r="K178" s="44"/>
      <c r="L178" s="44"/>
      <c r="M178" s="63"/>
      <c r="N178" s="44"/>
      <c r="O178" s="63"/>
      <c r="P178" s="44"/>
      <c r="Q178" s="72"/>
      <c r="R178" s="72"/>
      <c r="S178" s="72"/>
      <c r="T178" s="72"/>
      <c r="U178" s="73"/>
      <c r="V178" s="73"/>
      <c r="W178" s="74"/>
      <c r="X178" s="46"/>
      <c r="Y178" s="46"/>
      <c r="Z178" s="44"/>
      <c r="AA178" s="44"/>
      <c r="AB178" s="47"/>
    </row>
    <row r="179" spans="3:28" ht="20.100000000000001" customHeight="1" x14ac:dyDescent="0.25">
      <c r="C179" s="60"/>
      <c r="D179" s="60"/>
      <c r="E179" s="44"/>
      <c r="F179" s="44"/>
      <c r="G179" s="44"/>
      <c r="H179" s="44"/>
      <c r="I179" s="44"/>
      <c r="J179" s="44"/>
      <c r="K179" s="44"/>
      <c r="L179" s="44"/>
      <c r="M179" s="63"/>
      <c r="N179" s="44"/>
      <c r="O179" s="63"/>
      <c r="P179" s="44"/>
      <c r="Q179" s="72"/>
      <c r="R179" s="72"/>
      <c r="S179" s="72"/>
      <c r="T179" s="72"/>
      <c r="U179" s="73"/>
      <c r="V179" s="73"/>
      <c r="W179" s="74"/>
      <c r="X179" s="46"/>
      <c r="Y179" s="46"/>
      <c r="Z179" s="44"/>
      <c r="AA179" s="44"/>
      <c r="AB179" s="47"/>
    </row>
    <row r="180" spans="3:28" ht="20.100000000000001" customHeight="1" x14ac:dyDescent="0.25">
      <c r="C180" s="60"/>
      <c r="D180" s="60"/>
      <c r="E180" s="44"/>
      <c r="F180" s="44"/>
      <c r="G180" s="44"/>
      <c r="H180" s="44"/>
      <c r="I180" s="44"/>
      <c r="J180" s="44"/>
      <c r="K180" s="44"/>
      <c r="L180" s="44"/>
      <c r="M180" s="63"/>
      <c r="N180" s="44"/>
      <c r="O180" s="63"/>
      <c r="P180" s="44"/>
      <c r="Q180" s="72"/>
      <c r="R180" s="72"/>
      <c r="S180" s="72"/>
      <c r="T180" s="72"/>
      <c r="U180" s="73"/>
      <c r="V180" s="73"/>
      <c r="W180" s="74"/>
      <c r="X180" s="46"/>
      <c r="Y180" s="46"/>
      <c r="Z180" s="44"/>
      <c r="AA180" s="44"/>
      <c r="AB180" s="47"/>
    </row>
    <row r="181" spans="3:28" ht="20.100000000000001" customHeight="1" x14ac:dyDescent="0.25">
      <c r="C181" s="60"/>
      <c r="D181" s="60"/>
      <c r="E181" s="44"/>
      <c r="F181" s="44"/>
      <c r="G181" s="44"/>
      <c r="H181" s="44"/>
      <c r="I181" s="44"/>
      <c r="J181" s="44"/>
      <c r="K181" s="44"/>
      <c r="L181" s="44"/>
      <c r="M181" s="63"/>
      <c r="N181" s="44"/>
      <c r="O181" s="63"/>
      <c r="P181" s="44"/>
      <c r="Q181" s="72"/>
      <c r="R181" s="72"/>
      <c r="S181" s="72"/>
      <c r="T181" s="72"/>
      <c r="U181" s="73"/>
      <c r="V181" s="73"/>
      <c r="W181" s="74"/>
      <c r="X181" s="46"/>
      <c r="Y181" s="46"/>
      <c r="Z181" s="44"/>
      <c r="AA181" s="44"/>
      <c r="AB181" s="47"/>
    </row>
    <row r="182" spans="3:28" ht="20.100000000000001" customHeight="1" x14ac:dyDescent="0.25">
      <c r="C182" s="60"/>
      <c r="D182" s="60"/>
      <c r="E182" s="44"/>
      <c r="F182" s="44"/>
      <c r="G182" s="44"/>
      <c r="H182" s="44"/>
      <c r="I182" s="44"/>
      <c r="J182" s="44"/>
      <c r="K182" s="44"/>
      <c r="L182" s="44"/>
      <c r="M182" s="63"/>
      <c r="N182" s="44"/>
      <c r="O182" s="63"/>
      <c r="P182" s="44"/>
      <c r="Q182" s="72"/>
      <c r="R182" s="72"/>
      <c r="S182" s="72"/>
      <c r="T182" s="72"/>
      <c r="U182" s="73"/>
      <c r="V182" s="73"/>
      <c r="W182" s="74"/>
      <c r="X182" s="46"/>
      <c r="Y182" s="46"/>
      <c r="Z182" s="44"/>
      <c r="AA182" s="44"/>
      <c r="AB182" s="47"/>
    </row>
    <row r="183" spans="3:28" ht="20.100000000000001" customHeight="1" x14ac:dyDescent="0.25">
      <c r="C183" s="60"/>
      <c r="D183" s="60"/>
      <c r="E183" s="44"/>
      <c r="F183" s="44"/>
      <c r="G183" s="44"/>
      <c r="H183" s="44"/>
      <c r="I183" s="44"/>
      <c r="J183" s="44"/>
      <c r="K183" s="44"/>
      <c r="L183" s="44"/>
      <c r="M183" s="63"/>
      <c r="N183" s="44"/>
      <c r="O183" s="63"/>
      <c r="P183" s="44"/>
      <c r="Q183" s="72"/>
      <c r="R183" s="72"/>
      <c r="S183" s="72"/>
      <c r="T183" s="72"/>
      <c r="U183" s="73"/>
      <c r="V183" s="73"/>
      <c r="W183" s="74"/>
      <c r="X183" s="46"/>
      <c r="Y183" s="46"/>
      <c r="Z183" s="44"/>
      <c r="AA183" s="44"/>
      <c r="AB183" s="47"/>
    </row>
    <row r="184" spans="3:28" ht="20.100000000000001" customHeight="1" x14ac:dyDescent="0.25">
      <c r="C184" s="60"/>
      <c r="D184" s="60"/>
      <c r="E184" s="44"/>
      <c r="F184" s="44"/>
      <c r="G184" s="44"/>
      <c r="H184" s="44"/>
      <c r="I184" s="44"/>
      <c r="J184" s="44"/>
      <c r="K184" s="44"/>
      <c r="L184" s="44"/>
      <c r="M184" s="63"/>
      <c r="N184" s="44"/>
      <c r="O184" s="63"/>
      <c r="P184" s="44"/>
      <c r="Q184" s="72"/>
      <c r="R184" s="72"/>
      <c r="S184" s="72"/>
      <c r="T184" s="72"/>
      <c r="U184" s="73"/>
      <c r="V184" s="73"/>
      <c r="W184" s="74"/>
      <c r="X184" s="46"/>
      <c r="Y184" s="46"/>
      <c r="Z184" s="44"/>
      <c r="AA184" s="44"/>
      <c r="AB184" s="47"/>
    </row>
    <row r="185" spans="3:28" ht="20.100000000000001" customHeight="1" x14ac:dyDescent="0.25">
      <c r="C185" s="60"/>
      <c r="D185" s="60"/>
      <c r="E185" s="44"/>
      <c r="F185" s="44"/>
      <c r="G185" s="44"/>
      <c r="H185" s="44"/>
      <c r="I185" s="44"/>
      <c r="J185" s="44"/>
      <c r="K185" s="44"/>
      <c r="L185" s="44"/>
      <c r="M185" s="63"/>
      <c r="N185" s="44"/>
      <c r="O185" s="63"/>
      <c r="P185" s="44"/>
      <c r="Q185" s="72"/>
      <c r="R185" s="72"/>
      <c r="S185" s="72"/>
      <c r="T185" s="72"/>
      <c r="U185" s="73"/>
      <c r="V185" s="73"/>
      <c r="W185" s="74"/>
      <c r="X185" s="46"/>
      <c r="Y185" s="46"/>
      <c r="Z185" s="44"/>
      <c r="AA185" s="44"/>
      <c r="AB185" s="47"/>
    </row>
    <row r="186" spans="3:28" ht="20.100000000000001" customHeight="1" x14ac:dyDescent="0.25">
      <c r="C186" s="60"/>
      <c r="D186" s="60"/>
      <c r="E186" s="44"/>
      <c r="F186" s="44"/>
      <c r="G186" s="44"/>
      <c r="H186" s="44"/>
      <c r="I186" s="44"/>
      <c r="J186" s="44"/>
      <c r="K186" s="44"/>
      <c r="L186" s="44"/>
      <c r="M186" s="63"/>
      <c r="N186" s="44"/>
      <c r="O186" s="63"/>
      <c r="P186" s="44"/>
      <c r="Q186" s="72"/>
      <c r="R186" s="72"/>
      <c r="S186" s="72"/>
      <c r="T186" s="72"/>
      <c r="U186" s="73"/>
      <c r="V186" s="73"/>
      <c r="W186" s="74"/>
      <c r="X186" s="46"/>
      <c r="Y186" s="46"/>
      <c r="Z186" s="44"/>
      <c r="AA186" s="44"/>
      <c r="AB186" s="47"/>
    </row>
    <row r="187" spans="3:28" ht="20.100000000000001" customHeight="1" x14ac:dyDescent="0.25">
      <c r="C187" s="60"/>
      <c r="D187" s="60"/>
      <c r="E187" s="44"/>
      <c r="F187" s="44"/>
      <c r="G187" s="44"/>
      <c r="H187" s="44"/>
      <c r="I187" s="44"/>
      <c r="J187" s="44"/>
      <c r="K187" s="44"/>
      <c r="L187" s="44"/>
      <c r="M187" s="63"/>
      <c r="N187" s="44"/>
      <c r="O187" s="63"/>
      <c r="P187" s="44"/>
      <c r="Q187" s="72"/>
      <c r="R187" s="72"/>
      <c r="S187" s="72"/>
      <c r="T187" s="72"/>
      <c r="U187" s="73"/>
      <c r="V187" s="73"/>
      <c r="W187" s="74"/>
      <c r="X187" s="46"/>
      <c r="Y187" s="46"/>
      <c r="Z187" s="44"/>
      <c r="AA187" s="44"/>
      <c r="AB187" s="47"/>
    </row>
    <row r="188" spans="3:28" ht="20.100000000000001" customHeight="1" x14ac:dyDescent="0.25">
      <c r="C188" s="60"/>
      <c r="D188" s="60"/>
      <c r="E188" s="44"/>
      <c r="F188" s="44"/>
      <c r="G188" s="44"/>
      <c r="H188" s="44"/>
      <c r="I188" s="44"/>
      <c r="J188" s="44"/>
      <c r="K188" s="44"/>
      <c r="L188" s="44"/>
      <c r="M188" s="63"/>
      <c r="N188" s="44"/>
      <c r="O188" s="63"/>
      <c r="P188" s="44"/>
      <c r="Q188" s="72"/>
      <c r="R188" s="72"/>
      <c r="S188" s="72"/>
      <c r="T188" s="72"/>
      <c r="U188" s="73"/>
      <c r="V188" s="73"/>
      <c r="W188" s="74"/>
      <c r="X188" s="46"/>
      <c r="Y188" s="46"/>
      <c r="Z188" s="44"/>
      <c r="AA188" s="44"/>
      <c r="AB188" s="47"/>
    </row>
    <row r="189" spans="3:28" ht="20.100000000000001" customHeight="1" x14ac:dyDescent="0.25">
      <c r="C189" s="60"/>
      <c r="D189" s="60"/>
      <c r="E189" s="44"/>
      <c r="F189" s="44"/>
      <c r="G189" s="44"/>
      <c r="H189" s="44"/>
      <c r="I189" s="44"/>
      <c r="J189" s="44"/>
      <c r="K189" s="44"/>
      <c r="L189" s="44"/>
      <c r="M189" s="63"/>
      <c r="N189" s="44"/>
      <c r="O189" s="63"/>
      <c r="P189" s="44"/>
      <c r="Q189" s="72"/>
      <c r="R189" s="72"/>
      <c r="S189" s="72"/>
      <c r="T189" s="72"/>
      <c r="U189" s="73"/>
      <c r="V189" s="73"/>
      <c r="W189" s="74"/>
      <c r="X189" s="46"/>
      <c r="Y189" s="46"/>
      <c r="Z189" s="44"/>
      <c r="AA189" s="44"/>
      <c r="AB189" s="47"/>
    </row>
    <row r="190" spans="3:28" ht="20.100000000000001" customHeight="1" x14ac:dyDescent="0.25">
      <c r="C190" s="60"/>
      <c r="D190" s="60"/>
      <c r="E190" s="44"/>
      <c r="F190" s="44"/>
      <c r="G190" s="44"/>
      <c r="H190" s="44"/>
      <c r="I190" s="44"/>
      <c r="J190" s="44"/>
      <c r="K190" s="44"/>
      <c r="L190" s="44"/>
      <c r="M190" s="63"/>
      <c r="N190" s="44"/>
      <c r="O190" s="63"/>
      <c r="P190" s="44"/>
      <c r="Q190" s="72"/>
      <c r="R190" s="72"/>
      <c r="S190" s="72"/>
      <c r="T190" s="72"/>
      <c r="U190" s="73"/>
      <c r="V190" s="73"/>
      <c r="W190" s="74"/>
      <c r="X190" s="46"/>
      <c r="Y190" s="46"/>
      <c r="Z190" s="44"/>
      <c r="AA190" s="44"/>
      <c r="AB190" s="47"/>
    </row>
    <row r="191" spans="3:28" ht="20.100000000000001" customHeight="1" x14ac:dyDescent="0.25">
      <c r="C191" s="60"/>
      <c r="D191" s="60"/>
      <c r="E191" s="44"/>
      <c r="F191" s="44"/>
      <c r="G191" s="44"/>
      <c r="H191" s="44"/>
      <c r="I191" s="44"/>
      <c r="J191" s="44"/>
      <c r="K191" s="44"/>
      <c r="L191" s="44"/>
      <c r="M191" s="63"/>
      <c r="N191" s="44"/>
      <c r="O191" s="63"/>
      <c r="P191" s="44"/>
      <c r="Q191" s="72"/>
      <c r="R191" s="72"/>
      <c r="S191" s="72"/>
      <c r="T191" s="72"/>
      <c r="U191" s="73"/>
      <c r="V191" s="73"/>
      <c r="W191" s="74"/>
      <c r="X191" s="46"/>
      <c r="Y191" s="46"/>
      <c r="Z191" s="44"/>
      <c r="AA191" s="44"/>
      <c r="AB191" s="47"/>
    </row>
    <row r="192" spans="3:28" ht="20.100000000000001" customHeight="1" x14ac:dyDescent="0.25">
      <c r="C192" s="60"/>
      <c r="D192" s="60"/>
      <c r="E192" s="44"/>
      <c r="F192" s="44"/>
      <c r="G192" s="44"/>
      <c r="H192" s="44"/>
      <c r="I192" s="44"/>
      <c r="J192" s="44"/>
      <c r="K192" s="44"/>
      <c r="L192" s="44"/>
      <c r="M192" s="63"/>
      <c r="N192" s="44"/>
      <c r="O192" s="63"/>
      <c r="P192" s="44"/>
      <c r="Q192" s="72"/>
      <c r="R192" s="72"/>
      <c r="S192" s="72"/>
      <c r="T192" s="72"/>
      <c r="U192" s="73"/>
      <c r="V192" s="73"/>
      <c r="W192" s="74"/>
      <c r="X192" s="46"/>
      <c r="Y192" s="46"/>
      <c r="Z192" s="44"/>
      <c r="AA192" s="44"/>
      <c r="AB192" s="47"/>
    </row>
    <row r="193" spans="3:28" ht="20.100000000000001" customHeight="1" x14ac:dyDescent="0.25">
      <c r="C193" s="60"/>
      <c r="D193" s="60"/>
      <c r="E193" s="44"/>
      <c r="F193" s="44"/>
      <c r="G193" s="44"/>
      <c r="H193" s="44"/>
      <c r="I193" s="44"/>
      <c r="J193" s="44"/>
      <c r="K193" s="44"/>
      <c r="L193" s="44"/>
      <c r="M193" s="63"/>
      <c r="N193" s="44"/>
      <c r="O193" s="63"/>
      <c r="P193" s="44"/>
      <c r="Q193" s="72"/>
      <c r="R193" s="72"/>
      <c r="S193" s="72"/>
      <c r="T193" s="72"/>
      <c r="U193" s="73"/>
      <c r="V193" s="73"/>
      <c r="W193" s="74"/>
      <c r="X193" s="46"/>
      <c r="Y193" s="46"/>
      <c r="Z193" s="44"/>
      <c r="AA193" s="44"/>
      <c r="AB193" s="47"/>
    </row>
    <row r="194" spans="3:28" ht="20.100000000000001" customHeight="1" x14ac:dyDescent="0.25">
      <c r="C194" s="60"/>
      <c r="D194" s="60"/>
      <c r="E194" s="44"/>
      <c r="F194" s="44"/>
      <c r="G194" s="44"/>
      <c r="H194" s="44"/>
      <c r="I194" s="44"/>
      <c r="J194" s="44"/>
      <c r="K194" s="44"/>
      <c r="L194" s="44"/>
      <c r="M194" s="63"/>
      <c r="N194" s="44"/>
      <c r="O194" s="63"/>
      <c r="P194" s="44"/>
      <c r="Q194" s="72"/>
      <c r="R194" s="72"/>
      <c r="S194" s="72"/>
      <c r="T194" s="72"/>
      <c r="U194" s="73"/>
      <c r="V194" s="73"/>
      <c r="W194" s="74"/>
      <c r="X194" s="46"/>
      <c r="Y194" s="46"/>
      <c r="Z194" s="44"/>
      <c r="AA194" s="44"/>
      <c r="AB194" s="47"/>
    </row>
    <row r="195" spans="3:28" ht="20.100000000000001" customHeight="1" x14ac:dyDescent="0.25">
      <c r="C195" s="60"/>
      <c r="D195" s="60"/>
      <c r="E195" s="44"/>
      <c r="F195" s="44"/>
      <c r="G195" s="44"/>
      <c r="H195" s="44"/>
      <c r="I195" s="44"/>
      <c r="J195" s="44"/>
      <c r="K195" s="44"/>
      <c r="L195" s="44"/>
      <c r="M195" s="63"/>
      <c r="N195" s="44"/>
      <c r="O195" s="63"/>
      <c r="P195" s="44"/>
      <c r="Q195" s="72"/>
      <c r="R195" s="72"/>
      <c r="S195" s="72"/>
      <c r="T195" s="72"/>
      <c r="U195" s="73"/>
      <c r="V195" s="73"/>
      <c r="W195" s="74"/>
      <c r="X195" s="46"/>
      <c r="Y195" s="46"/>
      <c r="Z195" s="44"/>
      <c r="AA195" s="44"/>
      <c r="AB195" s="47"/>
    </row>
    <row r="196" spans="3:28" ht="20.100000000000001" customHeight="1" x14ac:dyDescent="0.25">
      <c r="C196" s="60"/>
      <c r="D196" s="60"/>
      <c r="E196" s="44"/>
      <c r="F196" s="44"/>
      <c r="G196" s="44"/>
      <c r="H196" s="44"/>
      <c r="I196" s="44"/>
      <c r="J196" s="44"/>
      <c r="K196" s="44"/>
      <c r="L196" s="44"/>
      <c r="M196" s="63"/>
      <c r="N196" s="44"/>
      <c r="O196" s="63"/>
      <c r="P196" s="44"/>
      <c r="Q196" s="72"/>
      <c r="R196" s="72"/>
      <c r="S196" s="72"/>
      <c r="T196" s="72"/>
      <c r="U196" s="73"/>
      <c r="V196" s="73"/>
      <c r="W196" s="74"/>
      <c r="X196" s="46"/>
      <c r="Y196" s="46"/>
      <c r="Z196" s="44"/>
      <c r="AA196" s="44"/>
      <c r="AB196" s="47"/>
    </row>
    <row r="197" spans="3:28" ht="20.100000000000001" customHeight="1" x14ac:dyDescent="0.25">
      <c r="C197" s="60"/>
      <c r="D197" s="60"/>
      <c r="E197" s="44"/>
      <c r="F197" s="44"/>
      <c r="G197" s="44"/>
      <c r="H197" s="44"/>
      <c r="I197" s="44"/>
      <c r="J197" s="44"/>
      <c r="K197" s="44"/>
      <c r="L197" s="44"/>
      <c r="M197" s="63"/>
      <c r="N197" s="44"/>
      <c r="O197" s="63"/>
      <c r="P197" s="44"/>
      <c r="Q197" s="72"/>
      <c r="R197" s="72"/>
      <c r="S197" s="72"/>
      <c r="T197" s="72"/>
      <c r="U197" s="73"/>
      <c r="V197" s="73"/>
      <c r="W197" s="74"/>
      <c r="X197" s="46"/>
      <c r="Y197" s="46"/>
      <c r="Z197" s="44"/>
      <c r="AA197" s="44"/>
      <c r="AB197" s="47"/>
    </row>
    <row r="198" spans="3:28" ht="20.100000000000001" customHeight="1" x14ac:dyDescent="0.25">
      <c r="C198" s="60"/>
      <c r="D198" s="60"/>
      <c r="E198" s="44"/>
      <c r="F198" s="44"/>
      <c r="G198" s="44"/>
      <c r="H198" s="44"/>
      <c r="I198" s="44"/>
      <c r="J198" s="44"/>
      <c r="K198" s="44"/>
      <c r="L198" s="44"/>
      <c r="M198" s="63"/>
      <c r="N198" s="44"/>
      <c r="O198" s="63"/>
      <c r="P198" s="44"/>
      <c r="Q198" s="72"/>
      <c r="R198" s="72"/>
      <c r="S198" s="72"/>
      <c r="T198" s="72"/>
      <c r="U198" s="73"/>
      <c r="V198" s="73"/>
      <c r="W198" s="74"/>
      <c r="X198" s="46"/>
      <c r="Y198" s="46"/>
      <c r="Z198" s="44"/>
      <c r="AA198" s="44"/>
      <c r="AB198" s="47"/>
    </row>
    <row r="199" spans="3:28" ht="20.100000000000001" customHeight="1" x14ac:dyDescent="0.25">
      <c r="C199" s="60"/>
      <c r="D199" s="60"/>
      <c r="E199" s="44"/>
      <c r="F199" s="44"/>
      <c r="G199" s="44"/>
      <c r="H199" s="44"/>
      <c r="I199" s="44"/>
      <c r="J199" s="44"/>
      <c r="K199" s="44"/>
      <c r="L199" s="44"/>
      <c r="M199" s="63"/>
      <c r="N199" s="44"/>
      <c r="O199" s="63"/>
      <c r="P199" s="44"/>
      <c r="Q199" s="72"/>
      <c r="R199" s="72"/>
      <c r="S199" s="72"/>
      <c r="T199" s="72"/>
      <c r="U199" s="73"/>
      <c r="V199" s="73"/>
      <c r="W199" s="74"/>
      <c r="X199" s="46"/>
      <c r="Y199" s="46"/>
      <c r="Z199" s="44"/>
      <c r="AA199" s="44"/>
      <c r="AB199" s="47"/>
    </row>
    <row r="200" spans="3:28" ht="20.100000000000001" customHeight="1" x14ac:dyDescent="0.25">
      <c r="C200" s="60"/>
      <c r="D200" s="60"/>
      <c r="E200" s="44"/>
      <c r="F200" s="44"/>
      <c r="G200" s="44"/>
      <c r="H200" s="44"/>
      <c r="I200" s="44"/>
      <c r="J200" s="44"/>
      <c r="K200" s="44"/>
      <c r="L200" s="44"/>
      <c r="M200" s="63"/>
      <c r="N200" s="44"/>
      <c r="O200" s="63"/>
      <c r="P200" s="44"/>
      <c r="Q200" s="72"/>
      <c r="R200" s="72"/>
      <c r="S200" s="72"/>
      <c r="T200" s="72"/>
      <c r="U200" s="73"/>
      <c r="V200" s="73"/>
      <c r="W200" s="74"/>
      <c r="X200" s="46"/>
      <c r="Y200" s="46"/>
      <c r="Z200" s="44"/>
      <c r="AA200" s="44"/>
      <c r="AB200" s="47"/>
    </row>
    <row r="201" spans="3:28" ht="20.100000000000001" customHeight="1" x14ac:dyDescent="0.25">
      <c r="C201" s="60"/>
      <c r="D201" s="60"/>
      <c r="E201" s="44"/>
      <c r="F201" s="44"/>
      <c r="G201" s="44"/>
      <c r="H201" s="44"/>
      <c r="I201" s="44"/>
      <c r="J201" s="44"/>
      <c r="K201" s="44"/>
      <c r="L201" s="44"/>
      <c r="M201" s="63"/>
      <c r="N201" s="44"/>
      <c r="O201" s="63"/>
      <c r="P201" s="44"/>
      <c r="Q201" s="72"/>
      <c r="R201" s="72"/>
      <c r="S201" s="72"/>
      <c r="T201" s="72"/>
      <c r="U201" s="73"/>
      <c r="V201" s="73"/>
      <c r="W201" s="74"/>
      <c r="X201" s="46"/>
      <c r="Y201" s="46"/>
      <c r="Z201" s="44"/>
      <c r="AA201" s="44"/>
      <c r="AB201" s="47"/>
    </row>
    <row r="202" spans="3:28" ht="20.100000000000001" customHeight="1" x14ac:dyDescent="0.25">
      <c r="C202" s="60"/>
      <c r="D202" s="60"/>
      <c r="E202" s="44"/>
      <c r="F202" s="44"/>
      <c r="G202" s="44"/>
      <c r="H202" s="44"/>
      <c r="I202" s="44"/>
      <c r="J202" s="44"/>
      <c r="K202" s="44"/>
      <c r="L202" s="44"/>
      <c r="M202" s="63"/>
      <c r="N202" s="44"/>
      <c r="O202" s="63"/>
      <c r="P202" s="44"/>
      <c r="Q202" s="72"/>
      <c r="R202" s="72"/>
      <c r="S202" s="72"/>
      <c r="T202" s="72"/>
      <c r="U202" s="73"/>
      <c r="V202" s="73"/>
      <c r="W202" s="74"/>
      <c r="X202" s="46"/>
      <c r="Y202" s="46"/>
      <c r="Z202" s="44"/>
      <c r="AA202" s="44"/>
      <c r="AB202" s="47"/>
    </row>
    <row r="203" spans="3:28" ht="20.100000000000001" customHeight="1" x14ac:dyDescent="0.25">
      <c r="C203" s="60"/>
      <c r="D203" s="60"/>
      <c r="E203" s="44"/>
      <c r="F203" s="44"/>
      <c r="G203" s="44"/>
      <c r="H203" s="44"/>
      <c r="I203" s="44"/>
      <c r="J203" s="44"/>
      <c r="K203" s="44"/>
      <c r="L203" s="44"/>
      <c r="M203" s="63"/>
      <c r="N203" s="44"/>
      <c r="O203" s="63"/>
      <c r="P203" s="44"/>
      <c r="Q203" s="72"/>
      <c r="R203" s="72"/>
      <c r="S203" s="72"/>
      <c r="T203" s="72"/>
      <c r="U203" s="73"/>
      <c r="V203" s="73"/>
      <c r="W203" s="74"/>
      <c r="X203" s="46"/>
      <c r="Y203" s="46"/>
      <c r="Z203" s="44"/>
      <c r="AA203" s="44"/>
      <c r="AB203" s="47"/>
    </row>
    <row r="204" spans="3:28" ht="20.100000000000001" customHeight="1" x14ac:dyDescent="0.25">
      <c r="C204" s="60"/>
      <c r="D204" s="60"/>
      <c r="E204" s="44"/>
      <c r="F204" s="44"/>
      <c r="G204" s="44"/>
      <c r="H204" s="44"/>
      <c r="I204" s="44"/>
      <c r="J204" s="44"/>
      <c r="K204" s="44"/>
      <c r="L204" s="44"/>
      <c r="M204" s="63"/>
      <c r="N204" s="44"/>
      <c r="O204" s="63"/>
      <c r="P204" s="44"/>
      <c r="Q204" s="72"/>
      <c r="R204" s="72"/>
      <c r="S204" s="72"/>
      <c r="T204" s="72"/>
      <c r="U204" s="73"/>
      <c r="V204" s="73"/>
      <c r="W204" s="74"/>
      <c r="X204" s="46"/>
      <c r="Y204" s="46"/>
      <c r="Z204" s="44"/>
      <c r="AA204" s="44"/>
      <c r="AB204" s="47"/>
    </row>
    <row r="205" spans="3:28" ht="20.100000000000001" customHeight="1" x14ac:dyDescent="0.25">
      <c r="C205" s="60"/>
      <c r="D205" s="60"/>
      <c r="E205" s="44"/>
      <c r="F205" s="44"/>
      <c r="G205" s="44"/>
      <c r="H205" s="44"/>
      <c r="I205" s="44"/>
      <c r="J205" s="44"/>
      <c r="K205" s="44"/>
      <c r="L205" s="44"/>
      <c r="M205" s="63"/>
      <c r="N205" s="44"/>
      <c r="O205" s="63"/>
      <c r="P205" s="44"/>
      <c r="Q205" s="72"/>
      <c r="R205" s="72"/>
      <c r="S205" s="72"/>
      <c r="T205" s="72"/>
      <c r="U205" s="73"/>
      <c r="V205" s="73"/>
      <c r="W205" s="74"/>
      <c r="X205" s="46"/>
      <c r="Y205" s="46"/>
      <c r="Z205" s="44"/>
      <c r="AA205" s="44"/>
      <c r="AB205" s="47"/>
    </row>
    <row r="206" spans="3:28" ht="20.100000000000001" customHeight="1" x14ac:dyDescent="0.25">
      <c r="C206" s="60"/>
      <c r="D206" s="60"/>
      <c r="E206" s="44"/>
      <c r="F206" s="44"/>
      <c r="G206" s="44"/>
      <c r="H206" s="44"/>
      <c r="I206" s="44"/>
      <c r="J206" s="44"/>
      <c r="K206" s="44"/>
      <c r="L206" s="44"/>
      <c r="M206" s="63"/>
      <c r="N206" s="44"/>
      <c r="O206" s="63"/>
      <c r="P206" s="44"/>
      <c r="Q206" s="72"/>
      <c r="R206" s="72"/>
      <c r="S206" s="72"/>
      <c r="T206" s="72"/>
      <c r="U206" s="73"/>
      <c r="V206" s="73"/>
      <c r="W206" s="74"/>
      <c r="X206" s="46"/>
      <c r="Y206" s="46"/>
      <c r="Z206" s="44"/>
      <c r="AA206" s="44"/>
      <c r="AB206" s="47"/>
    </row>
    <row r="207" spans="3:28" ht="20.100000000000001" customHeight="1" x14ac:dyDescent="0.25">
      <c r="C207" s="60"/>
      <c r="D207" s="60"/>
      <c r="E207" s="44"/>
      <c r="F207" s="44"/>
      <c r="G207" s="44"/>
      <c r="H207" s="44"/>
      <c r="I207" s="44"/>
      <c r="J207" s="44"/>
      <c r="K207" s="44"/>
      <c r="L207" s="44"/>
      <c r="M207" s="63"/>
      <c r="N207" s="44"/>
      <c r="O207" s="63"/>
      <c r="P207" s="44"/>
      <c r="Q207" s="72"/>
      <c r="R207" s="72"/>
      <c r="S207" s="72"/>
      <c r="T207" s="72"/>
      <c r="U207" s="73"/>
      <c r="V207" s="73"/>
      <c r="W207" s="74"/>
      <c r="X207" s="46"/>
      <c r="Y207" s="46"/>
      <c r="Z207" s="44"/>
      <c r="AA207" s="44"/>
      <c r="AB207" s="47"/>
    </row>
    <row r="208" spans="3:28" ht="20.100000000000001" customHeight="1" x14ac:dyDescent="0.25">
      <c r="C208" s="60"/>
      <c r="D208" s="60"/>
      <c r="E208" s="44"/>
      <c r="F208" s="44"/>
      <c r="G208" s="44"/>
      <c r="H208" s="44"/>
      <c r="I208" s="44"/>
      <c r="J208" s="44"/>
      <c r="K208" s="44"/>
      <c r="L208" s="44"/>
      <c r="M208" s="63"/>
      <c r="N208" s="44"/>
      <c r="O208" s="63"/>
      <c r="P208" s="44"/>
      <c r="Q208" s="72"/>
      <c r="R208" s="72"/>
      <c r="S208" s="72"/>
      <c r="T208" s="72"/>
      <c r="U208" s="73"/>
      <c r="V208" s="73"/>
      <c r="W208" s="74"/>
      <c r="X208" s="46"/>
      <c r="Y208" s="46"/>
      <c r="Z208" s="44"/>
      <c r="AA208" s="44"/>
      <c r="AB208" s="47"/>
    </row>
    <row r="209" spans="3:28" ht="20.100000000000001" customHeight="1" x14ac:dyDescent="0.25">
      <c r="C209" s="60"/>
      <c r="D209" s="60"/>
      <c r="E209" s="44"/>
      <c r="F209" s="44"/>
      <c r="G209" s="44"/>
      <c r="H209" s="44"/>
      <c r="I209" s="44"/>
      <c r="J209" s="44"/>
      <c r="K209" s="44"/>
      <c r="L209" s="44"/>
      <c r="M209" s="63"/>
      <c r="N209" s="44"/>
      <c r="O209" s="63"/>
      <c r="P209" s="44"/>
      <c r="Q209" s="72"/>
      <c r="R209" s="72"/>
      <c r="S209" s="72"/>
      <c r="T209" s="72"/>
      <c r="U209" s="73"/>
      <c r="V209" s="73"/>
      <c r="W209" s="74"/>
      <c r="X209" s="46"/>
      <c r="Y209" s="46"/>
      <c r="Z209" s="44"/>
      <c r="AA209" s="44"/>
      <c r="AB209" s="47"/>
    </row>
    <row r="210" spans="3:28" ht="20.100000000000001" customHeight="1" x14ac:dyDescent="0.25">
      <c r="C210" s="60"/>
      <c r="D210" s="60"/>
      <c r="E210" s="44"/>
      <c r="F210" s="44"/>
      <c r="G210" s="44"/>
      <c r="H210" s="44"/>
      <c r="I210" s="44"/>
      <c r="J210" s="44"/>
      <c r="K210" s="44"/>
      <c r="L210" s="44"/>
      <c r="M210" s="63"/>
      <c r="N210" s="44"/>
      <c r="O210" s="63"/>
      <c r="P210" s="44"/>
      <c r="Q210" s="72"/>
      <c r="R210" s="72"/>
      <c r="S210" s="72"/>
      <c r="T210" s="72"/>
      <c r="U210" s="73"/>
      <c r="V210" s="73"/>
      <c r="W210" s="74"/>
      <c r="X210" s="46"/>
      <c r="Y210" s="46"/>
      <c r="Z210" s="44"/>
      <c r="AA210" s="44"/>
      <c r="AB210" s="47"/>
    </row>
    <row r="211" spans="3:28" ht="20.100000000000001" customHeight="1" x14ac:dyDescent="0.25">
      <c r="C211" s="60"/>
      <c r="D211" s="60"/>
      <c r="E211" s="44"/>
      <c r="F211" s="44"/>
      <c r="G211" s="44"/>
      <c r="H211" s="44"/>
      <c r="I211" s="44"/>
      <c r="J211" s="44"/>
      <c r="K211" s="44"/>
      <c r="L211" s="44"/>
      <c r="M211" s="63"/>
      <c r="N211" s="44"/>
      <c r="O211" s="63"/>
      <c r="P211" s="44"/>
      <c r="Q211" s="72"/>
      <c r="R211" s="72"/>
      <c r="S211" s="72"/>
      <c r="T211" s="72"/>
      <c r="U211" s="73"/>
      <c r="V211" s="73"/>
      <c r="W211" s="74"/>
      <c r="X211" s="46"/>
      <c r="Y211" s="46"/>
      <c r="Z211" s="44"/>
      <c r="AA211" s="44"/>
      <c r="AB211" s="47"/>
    </row>
    <row r="212" spans="3:28" ht="20.100000000000001" customHeight="1" x14ac:dyDescent="0.25">
      <c r="C212" s="60"/>
      <c r="D212" s="60"/>
      <c r="E212" s="44"/>
      <c r="F212" s="44"/>
      <c r="G212" s="44"/>
      <c r="H212" s="44"/>
      <c r="I212" s="44"/>
      <c r="J212" s="44"/>
      <c r="K212" s="44"/>
      <c r="L212" s="44"/>
      <c r="M212" s="63"/>
      <c r="N212" s="44"/>
      <c r="O212" s="63"/>
      <c r="P212" s="44"/>
      <c r="Q212" s="72"/>
      <c r="R212" s="72"/>
      <c r="S212" s="72"/>
      <c r="T212" s="72"/>
      <c r="U212" s="73"/>
      <c r="V212" s="73"/>
      <c r="W212" s="74"/>
      <c r="X212" s="46"/>
      <c r="Y212" s="46"/>
      <c r="Z212" s="44"/>
      <c r="AA212" s="44"/>
      <c r="AB212" s="47"/>
    </row>
    <row r="213" spans="3:28" ht="20.100000000000001" customHeight="1" x14ac:dyDescent="0.25">
      <c r="C213" s="60"/>
      <c r="D213" s="60"/>
      <c r="E213" s="44"/>
      <c r="F213" s="44"/>
      <c r="G213" s="44"/>
      <c r="H213" s="44"/>
      <c r="I213" s="44"/>
      <c r="J213" s="44"/>
      <c r="K213" s="44"/>
      <c r="L213" s="44"/>
      <c r="M213" s="63"/>
      <c r="N213" s="44"/>
      <c r="O213" s="63"/>
      <c r="P213" s="44"/>
      <c r="Q213" s="72"/>
      <c r="R213" s="72"/>
      <c r="S213" s="72"/>
      <c r="T213" s="72"/>
      <c r="U213" s="73"/>
      <c r="V213" s="73"/>
      <c r="W213" s="74"/>
      <c r="X213" s="46"/>
      <c r="Y213" s="46"/>
      <c r="Z213" s="44"/>
      <c r="AA213" s="44"/>
      <c r="AB213" s="47"/>
    </row>
    <row r="214" spans="3:28" ht="20.100000000000001" customHeight="1" x14ac:dyDescent="0.25">
      <c r="C214" s="60"/>
      <c r="D214" s="60"/>
      <c r="E214" s="44"/>
      <c r="F214" s="44"/>
      <c r="G214" s="44"/>
      <c r="H214" s="44"/>
      <c r="I214" s="44"/>
      <c r="J214" s="44"/>
      <c r="K214" s="44"/>
      <c r="L214" s="44"/>
      <c r="M214" s="63"/>
      <c r="N214" s="44"/>
      <c r="O214" s="63"/>
      <c r="P214" s="44"/>
      <c r="Q214" s="72"/>
      <c r="R214" s="72"/>
      <c r="S214" s="72"/>
      <c r="T214" s="72"/>
      <c r="U214" s="73"/>
      <c r="V214" s="73"/>
      <c r="W214" s="74"/>
      <c r="X214" s="46"/>
      <c r="Y214" s="46"/>
      <c r="Z214" s="44"/>
      <c r="AA214" s="44"/>
      <c r="AB214" s="47"/>
    </row>
    <row r="215" spans="3:28" ht="20.100000000000001" customHeight="1" x14ac:dyDescent="0.25">
      <c r="C215" s="60"/>
      <c r="D215" s="60"/>
      <c r="E215" s="44"/>
      <c r="F215" s="44"/>
      <c r="G215" s="44"/>
      <c r="H215" s="44"/>
      <c r="I215" s="44"/>
      <c r="J215" s="44"/>
      <c r="K215" s="44"/>
      <c r="L215" s="44"/>
      <c r="M215" s="63"/>
      <c r="N215" s="44"/>
      <c r="O215" s="63"/>
      <c r="P215" s="44"/>
      <c r="Q215" s="72"/>
      <c r="R215" s="72"/>
      <c r="S215" s="72"/>
      <c r="T215" s="72"/>
      <c r="U215" s="73"/>
      <c r="V215" s="73"/>
      <c r="W215" s="74"/>
      <c r="X215" s="46"/>
      <c r="Y215" s="46"/>
      <c r="Z215" s="44"/>
      <c r="AA215" s="44"/>
      <c r="AB215" s="47"/>
    </row>
    <row r="216" spans="3:28" ht="20.100000000000001" customHeight="1" x14ac:dyDescent="0.25">
      <c r="C216" s="60"/>
      <c r="D216" s="60"/>
      <c r="E216" s="44"/>
      <c r="F216" s="44"/>
      <c r="G216" s="44"/>
      <c r="H216" s="44"/>
      <c r="I216" s="44"/>
      <c r="J216" s="44"/>
      <c r="K216" s="44"/>
      <c r="L216" s="44"/>
      <c r="M216" s="63"/>
      <c r="N216" s="44"/>
      <c r="O216" s="63"/>
      <c r="P216" s="44"/>
      <c r="Q216" s="72"/>
      <c r="R216" s="72"/>
      <c r="S216" s="72"/>
      <c r="T216" s="72"/>
      <c r="U216" s="73"/>
      <c r="V216" s="73"/>
      <c r="W216" s="74"/>
      <c r="X216" s="46"/>
      <c r="Y216" s="46"/>
      <c r="Z216" s="44"/>
      <c r="AA216" s="44"/>
      <c r="AB216" s="47"/>
    </row>
    <row r="217" spans="3:28" ht="20.100000000000001" customHeight="1" x14ac:dyDescent="0.25">
      <c r="C217" s="60"/>
      <c r="D217" s="60"/>
      <c r="E217" s="44"/>
      <c r="F217" s="44"/>
      <c r="G217" s="44"/>
      <c r="H217" s="44"/>
      <c r="I217" s="44"/>
      <c r="J217" s="44"/>
      <c r="K217" s="44"/>
      <c r="L217" s="44"/>
      <c r="M217" s="63"/>
      <c r="N217" s="44"/>
      <c r="O217" s="63"/>
      <c r="P217" s="44"/>
      <c r="Q217" s="72"/>
      <c r="R217" s="72"/>
      <c r="S217" s="72"/>
      <c r="T217" s="72"/>
      <c r="U217" s="73"/>
      <c r="V217" s="73"/>
      <c r="W217" s="74"/>
      <c r="X217" s="46"/>
      <c r="Y217" s="46"/>
      <c r="Z217" s="44"/>
      <c r="AA217" s="44"/>
      <c r="AB217" s="47"/>
    </row>
    <row r="218" spans="3:28" ht="20.100000000000001" customHeight="1" x14ac:dyDescent="0.25">
      <c r="C218" s="60"/>
      <c r="D218" s="60"/>
      <c r="E218" s="44"/>
      <c r="F218" s="44"/>
      <c r="G218" s="44"/>
      <c r="H218" s="44"/>
      <c r="I218" s="44"/>
      <c r="J218" s="44"/>
      <c r="K218" s="44"/>
      <c r="L218" s="44"/>
      <c r="M218" s="63"/>
      <c r="N218" s="44"/>
      <c r="O218" s="63"/>
      <c r="P218" s="44"/>
      <c r="Q218" s="72"/>
      <c r="R218" s="72"/>
      <c r="S218" s="72"/>
      <c r="T218" s="72"/>
      <c r="U218" s="73"/>
      <c r="V218" s="73"/>
      <c r="W218" s="74"/>
      <c r="X218" s="46"/>
      <c r="Y218" s="46"/>
      <c r="Z218" s="44"/>
      <c r="AA218" s="44"/>
      <c r="AB218" s="47"/>
    </row>
    <row r="219" spans="3:28" ht="20.100000000000001" customHeight="1" x14ac:dyDescent="0.25">
      <c r="C219" s="60"/>
      <c r="D219" s="60"/>
      <c r="E219" s="44"/>
      <c r="F219" s="44"/>
      <c r="G219" s="44"/>
      <c r="H219" s="44"/>
      <c r="I219" s="44"/>
      <c r="J219" s="44"/>
      <c r="K219" s="44"/>
      <c r="L219" s="44"/>
      <c r="M219" s="63"/>
      <c r="N219" s="44"/>
      <c r="O219" s="63"/>
      <c r="P219" s="44"/>
      <c r="Q219" s="72"/>
      <c r="R219" s="72"/>
      <c r="S219" s="72"/>
      <c r="T219" s="72"/>
      <c r="U219" s="73"/>
      <c r="V219" s="73"/>
      <c r="W219" s="74"/>
      <c r="X219" s="46"/>
      <c r="Y219" s="46"/>
      <c r="Z219" s="44"/>
      <c r="AA219" s="44"/>
      <c r="AB219" s="47"/>
    </row>
    <row r="220" spans="3:28" ht="20.100000000000001" customHeight="1" x14ac:dyDescent="0.25">
      <c r="C220" s="60"/>
      <c r="D220" s="60"/>
      <c r="E220" s="44"/>
      <c r="F220" s="44"/>
      <c r="G220" s="44"/>
      <c r="H220" s="44"/>
      <c r="I220" s="44"/>
      <c r="J220" s="44"/>
      <c r="K220" s="44"/>
      <c r="L220" s="44"/>
      <c r="M220" s="63"/>
      <c r="N220" s="44"/>
      <c r="O220" s="63"/>
      <c r="P220" s="44"/>
      <c r="Q220" s="72"/>
      <c r="R220" s="72"/>
      <c r="S220" s="72"/>
      <c r="T220" s="72"/>
      <c r="U220" s="73"/>
      <c r="V220" s="73"/>
      <c r="W220" s="74"/>
      <c r="X220" s="46"/>
      <c r="Y220" s="46"/>
      <c r="Z220" s="44"/>
      <c r="AA220" s="44"/>
      <c r="AB220" s="47"/>
    </row>
    <row r="221" spans="3:28" ht="20.100000000000001" customHeight="1" x14ac:dyDescent="0.25">
      <c r="C221" s="60"/>
      <c r="D221" s="60"/>
      <c r="E221" s="44"/>
      <c r="F221" s="44"/>
      <c r="G221" s="44"/>
      <c r="H221" s="44"/>
      <c r="I221" s="44"/>
      <c r="J221" s="44"/>
      <c r="K221" s="44"/>
      <c r="L221" s="44"/>
      <c r="M221" s="63"/>
      <c r="N221" s="44"/>
      <c r="O221" s="63"/>
      <c r="P221" s="44"/>
      <c r="Q221" s="72"/>
      <c r="R221" s="72"/>
      <c r="S221" s="72"/>
      <c r="T221" s="72"/>
      <c r="U221" s="73"/>
      <c r="V221" s="73"/>
      <c r="W221" s="74"/>
      <c r="X221" s="46"/>
      <c r="Y221" s="46"/>
      <c r="Z221" s="44"/>
      <c r="AA221" s="44"/>
      <c r="AB221" s="47"/>
    </row>
    <row r="222" spans="3:28" ht="20.100000000000001" customHeight="1" x14ac:dyDescent="0.25">
      <c r="C222" s="60"/>
      <c r="D222" s="60"/>
      <c r="E222" s="44"/>
      <c r="F222" s="44"/>
      <c r="G222" s="44"/>
      <c r="H222" s="44"/>
      <c r="I222" s="44"/>
      <c r="J222" s="44"/>
      <c r="K222" s="44"/>
      <c r="L222" s="44"/>
      <c r="M222" s="63"/>
      <c r="N222" s="44"/>
      <c r="O222" s="63"/>
      <c r="P222" s="44"/>
      <c r="Q222" s="72"/>
      <c r="R222" s="72"/>
      <c r="S222" s="72"/>
      <c r="T222" s="72"/>
      <c r="U222" s="73"/>
      <c r="V222" s="73"/>
      <c r="W222" s="74"/>
      <c r="X222" s="46"/>
      <c r="Y222" s="46"/>
      <c r="Z222" s="44"/>
      <c r="AA222" s="44"/>
      <c r="AB222" s="47"/>
    </row>
    <row r="223" spans="3:28" ht="20.100000000000001" customHeight="1" x14ac:dyDescent="0.25">
      <c r="C223" s="60"/>
      <c r="D223" s="60"/>
      <c r="E223" s="44"/>
      <c r="F223" s="44"/>
      <c r="G223" s="44"/>
      <c r="H223" s="44"/>
      <c r="I223" s="44"/>
      <c r="J223" s="44"/>
      <c r="K223" s="44"/>
      <c r="L223" s="44"/>
      <c r="M223" s="63"/>
      <c r="N223" s="44"/>
      <c r="O223" s="63"/>
      <c r="P223" s="44"/>
      <c r="Q223" s="72"/>
      <c r="R223" s="72"/>
      <c r="S223" s="72"/>
      <c r="T223" s="72"/>
      <c r="U223" s="73"/>
      <c r="V223" s="73"/>
      <c r="W223" s="74"/>
      <c r="X223" s="46"/>
      <c r="Y223" s="46"/>
      <c r="Z223" s="44"/>
      <c r="AA223" s="44"/>
      <c r="AB223" s="47"/>
    </row>
    <row r="224" spans="3:28" ht="20.100000000000001" customHeight="1" x14ac:dyDescent="0.25">
      <c r="C224" s="60"/>
      <c r="D224" s="60"/>
      <c r="E224" s="44"/>
      <c r="F224" s="44"/>
      <c r="G224" s="44"/>
      <c r="H224" s="44"/>
      <c r="I224" s="44"/>
      <c r="J224" s="44"/>
      <c r="K224" s="44"/>
      <c r="L224" s="44"/>
      <c r="M224" s="63"/>
      <c r="N224" s="44"/>
      <c r="O224" s="63"/>
      <c r="P224" s="44"/>
      <c r="Q224" s="72"/>
      <c r="R224" s="72"/>
      <c r="S224" s="72"/>
      <c r="T224" s="72"/>
      <c r="U224" s="73"/>
      <c r="V224" s="73"/>
      <c r="W224" s="74"/>
      <c r="X224" s="46"/>
      <c r="Y224" s="46"/>
      <c r="Z224" s="44"/>
      <c r="AA224" s="44"/>
      <c r="AB224" s="47"/>
    </row>
    <row r="225" spans="3:28" ht="20.100000000000001" customHeight="1" x14ac:dyDescent="0.25">
      <c r="C225" s="60"/>
      <c r="D225" s="60"/>
      <c r="E225" s="44"/>
      <c r="F225" s="44"/>
      <c r="G225" s="44"/>
      <c r="H225" s="44"/>
      <c r="I225" s="44"/>
      <c r="J225" s="44"/>
      <c r="K225" s="44"/>
      <c r="L225" s="44"/>
      <c r="M225" s="63"/>
      <c r="N225" s="44"/>
      <c r="O225" s="63"/>
      <c r="P225" s="44"/>
      <c r="Q225" s="72"/>
      <c r="R225" s="72"/>
      <c r="S225" s="72"/>
      <c r="T225" s="72"/>
      <c r="U225" s="73"/>
      <c r="V225" s="73"/>
      <c r="W225" s="74"/>
      <c r="X225" s="46"/>
      <c r="Y225" s="46"/>
      <c r="Z225" s="44"/>
      <c r="AA225" s="44"/>
      <c r="AB225" s="47"/>
    </row>
    <row r="226" spans="3:28" ht="20.100000000000001" customHeight="1" x14ac:dyDescent="0.25">
      <c r="C226" s="60"/>
      <c r="D226" s="60"/>
      <c r="E226" s="44"/>
      <c r="F226" s="44"/>
      <c r="G226" s="44"/>
      <c r="H226" s="44"/>
      <c r="I226" s="44"/>
      <c r="J226" s="44"/>
      <c r="K226" s="44"/>
      <c r="L226" s="44"/>
      <c r="M226" s="63"/>
      <c r="N226" s="44"/>
      <c r="O226" s="63"/>
      <c r="P226" s="44"/>
      <c r="Q226" s="72"/>
      <c r="R226" s="72"/>
      <c r="S226" s="72"/>
      <c r="T226" s="72"/>
      <c r="U226" s="73"/>
      <c r="V226" s="73"/>
      <c r="W226" s="74"/>
      <c r="X226" s="46"/>
      <c r="Y226" s="46"/>
      <c r="Z226" s="44"/>
      <c r="AA226" s="44"/>
      <c r="AB226" s="47"/>
    </row>
    <row r="227" spans="3:28" ht="20.100000000000001" customHeight="1" x14ac:dyDescent="0.25">
      <c r="C227" s="60"/>
      <c r="D227" s="60"/>
      <c r="E227" s="44"/>
      <c r="F227" s="44"/>
      <c r="G227" s="44"/>
      <c r="H227" s="44"/>
      <c r="I227" s="44"/>
      <c r="J227" s="44"/>
      <c r="K227" s="44"/>
      <c r="L227" s="44"/>
      <c r="M227" s="63"/>
      <c r="N227" s="44"/>
      <c r="O227" s="63"/>
      <c r="P227" s="44"/>
      <c r="Q227" s="72"/>
      <c r="R227" s="72"/>
      <c r="S227" s="72"/>
      <c r="T227" s="72"/>
      <c r="U227" s="73"/>
      <c r="V227" s="73"/>
      <c r="W227" s="74"/>
      <c r="X227" s="46"/>
      <c r="Y227" s="46"/>
      <c r="Z227" s="44"/>
      <c r="AA227" s="44"/>
      <c r="AB227" s="47"/>
    </row>
    <row r="228" spans="3:28" ht="20.100000000000001" customHeight="1" x14ac:dyDescent="0.25">
      <c r="C228" s="60"/>
      <c r="D228" s="60"/>
      <c r="E228" s="44"/>
      <c r="F228" s="44"/>
      <c r="G228" s="44"/>
      <c r="H228" s="44"/>
      <c r="I228" s="44"/>
      <c r="J228" s="44"/>
      <c r="K228" s="44"/>
      <c r="L228" s="44"/>
      <c r="M228" s="63"/>
      <c r="N228" s="44"/>
      <c r="O228" s="63"/>
      <c r="P228" s="44"/>
      <c r="Q228" s="72"/>
      <c r="R228" s="72"/>
      <c r="S228" s="72"/>
      <c r="T228" s="72"/>
      <c r="U228" s="73"/>
      <c r="V228" s="73"/>
      <c r="W228" s="74"/>
      <c r="X228" s="46"/>
      <c r="Y228" s="46"/>
      <c r="Z228" s="44"/>
      <c r="AA228" s="44"/>
      <c r="AB228" s="47"/>
    </row>
    <row r="229" spans="3:28" ht="20.100000000000001" customHeight="1" x14ac:dyDescent="0.25">
      <c r="C229" s="60"/>
      <c r="D229" s="60"/>
      <c r="E229" s="44"/>
      <c r="F229" s="44"/>
      <c r="G229" s="44"/>
      <c r="H229" s="44"/>
      <c r="I229" s="44"/>
      <c r="J229" s="44"/>
      <c r="K229" s="44"/>
      <c r="L229" s="44"/>
      <c r="M229" s="63"/>
      <c r="N229" s="44"/>
      <c r="O229" s="63"/>
      <c r="P229" s="44"/>
      <c r="Q229" s="72"/>
      <c r="R229" s="72"/>
      <c r="S229" s="72"/>
      <c r="T229" s="72"/>
      <c r="U229" s="73"/>
      <c r="V229" s="73"/>
      <c r="W229" s="74"/>
      <c r="X229" s="46"/>
      <c r="Y229" s="46"/>
      <c r="Z229" s="44"/>
      <c r="AA229" s="44"/>
      <c r="AB229" s="47"/>
    </row>
    <row r="230" spans="3:28" ht="20.100000000000001" customHeight="1" x14ac:dyDescent="0.25">
      <c r="C230" s="60"/>
      <c r="D230" s="60"/>
      <c r="E230" s="44"/>
      <c r="F230" s="44"/>
      <c r="G230" s="44"/>
      <c r="H230" s="44"/>
      <c r="I230" s="44"/>
      <c r="J230" s="44"/>
      <c r="K230" s="44"/>
      <c r="L230" s="44"/>
      <c r="M230" s="63"/>
      <c r="N230" s="44"/>
      <c r="O230" s="63"/>
      <c r="P230" s="44"/>
      <c r="Q230" s="72"/>
      <c r="R230" s="72"/>
      <c r="S230" s="72"/>
      <c r="T230" s="72"/>
      <c r="U230" s="73"/>
      <c r="V230" s="73"/>
      <c r="W230" s="74"/>
      <c r="X230" s="46"/>
      <c r="Y230" s="46"/>
      <c r="Z230" s="44"/>
      <c r="AA230" s="44"/>
      <c r="AB230" s="47"/>
    </row>
    <row r="231" spans="3:28" ht="20.100000000000001" customHeight="1" x14ac:dyDescent="0.25">
      <c r="C231" s="60"/>
      <c r="D231" s="60"/>
      <c r="E231" s="44"/>
      <c r="F231" s="44"/>
      <c r="G231" s="44"/>
      <c r="H231" s="44"/>
      <c r="I231" s="44"/>
      <c r="J231" s="44"/>
      <c r="K231" s="44"/>
      <c r="L231" s="44"/>
      <c r="M231" s="63"/>
      <c r="N231" s="44"/>
      <c r="O231" s="63"/>
      <c r="P231" s="44"/>
      <c r="Q231" s="72"/>
      <c r="R231" s="72"/>
      <c r="S231" s="72"/>
      <c r="T231" s="72"/>
      <c r="U231" s="73"/>
      <c r="V231" s="73"/>
      <c r="W231" s="74"/>
      <c r="X231" s="46"/>
      <c r="Y231" s="46"/>
      <c r="Z231" s="44"/>
      <c r="AA231" s="44"/>
      <c r="AB231" s="47"/>
    </row>
    <row r="232" spans="3:28" ht="20.100000000000001" customHeight="1" x14ac:dyDescent="0.25">
      <c r="C232" s="60"/>
      <c r="D232" s="60"/>
      <c r="E232" s="44"/>
      <c r="F232" s="44"/>
      <c r="G232" s="44"/>
      <c r="H232" s="44"/>
      <c r="I232" s="44"/>
      <c r="J232" s="44"/>
      <c r="K232" s="44"/>
      <c r="L232" s="44"/>
      <c r="M232" s="63"/>
      <c r="N232" s="44"/>
      <c r="O232" s="63"/>
      <c r="P232" s="44"/>
      <c r="Q232" s="72"/>
      <c r="R232" s="72"/>
      <c r="S232" s="72"/>
      <c r="T232" s="72"/>
      <c r="U232" s="73"/>
      <c r="V232" s="73"/>
      <c r="W232" s="74"/>
      <c r="X232" s="46"/>
      <c r="Y232" s="46"/>
      <c r="Z232" s="44"/>
      <c r="AA232" s="44"/>
      <c r="AB232" s="47"/>
    </row>
    <row r="233" spans="3:28" ht="20.100000000000001" customHeight="1" x14ac:dyDescent="0.25">
      <c r="C233" s="60"/>
      <c r="D233" s="60"/>
      <c r="E233" s="44"/>
      <c r="F233" s="44"/>
      <c r="G233" s="44"/>
      <c r="H233" s="44"/>
      <c r="I233" s="44"/>
      <c r="J233" s="44"/>
      <c r="K233" s="44"/>
      <c r="L233" s="44"/>
      <c r="M233" s="63"/>
      <c r="N233" s="44"/>
      <c r="O233" s="63"/>
      <c r="P233" s="44"/>
      <c r="Q233" s="72"/>
      <c r="R233" s="72"/>
      <c r="S233" s="72"/>
      <c r="T233" s="72"/>
      <c r="U233" s="73"/>
      <c r="V233" s="73"/>
      <c r="W233" s="74"/>
      <c r="X233" s="46"/>
      <c r="Y233" s="46"/>
      <c r="Z233" s="44"/>
      <c r="AA233" s="44"/>
      <c r="AB233" s="47"/>
    </row>
    <row r="234" spans="3:28" ht="20.100000000000001" customHeight="1" x14ac:dyDescent="0.25">
      <c r="C234" s="60"/>
      <c r="D234" s="60"/>
      <c r="E234" s="44"/>
      <c r="F234" s="44"/>
      <c r="G234" s="44"/>
      <c r="H234" s="44"/>
      <c r="I234" s="44"/>
      <c r="J234" s="44"/>
      <c r="K234" s="44"/>
      <c r="L234" s="44"/>
      <c r="M234" s="63"/>
      <c r="N234" s="44"/>
      <c r="O234" s="63"/>
      <c r="P234" s="44"/>
      <c r="Q234" s="72"/>
      <c r="R234" s="72"/>
      <c r="S234" s="72"/>
      <c r="T234" s="72"/>
      <c r="U234" s="73"/>
      <c r="V234" s="73"/>
      <c r="W234" s="74"/>
      <c r="X234" s="46"/>
      <c r="Y234" s="46"/>
      <c r="Z234" s="44"/>
      <c r="AA234" s="44"/>
      <c r="AB234" s="47"/>
    </row>
    <row r="235" spans="3:28" ht="20.100000000000001" customHeight="1" x14ac:dyDescent="0.25">
      <c r="C235" s="60"/>
      <c r="D235" s="60"/>
      <c r="E235" s="44"/>
      <c r="F235" s="44"/>
      <c r="G235" s="44"/>
      <c r="H235" s="44"/>
      <c r="I235" s="44"/>
      <c r="J235" s="44"/>
      <c r="K235" s="44"/>
      <c r="L235" s="44"/>
      <c r="M235" s="63"/>
      <c r="N235" s="44"/>
      <c r="O235" s="63"/>
      <c r="P235" s="44"/>
      <c r="Q235" s="72"/>
      <c r="R235" s="72"/>
      <c r="S235" s="72"/>
      <c r="T235" s="72"/>
      <c r="U235" s="73"/>
      <c r="V235" s="73"/>
      <c r="W235" s="74"/>
      <c r="X235" s="46"/>
      <c r="Y235" s="46"/>
      <c r="Z235" s="44"/>
      <c r="AA235" s="44"/>
      <c r="AB235" s="47"/>
    </row>
    <row r="236" spans="3:28" ht="20.100000000000001" customHeight="1" x14ac:dyDescent="0.25">
      <c r="C236" s="60"/>
      <c r="D236" s="60"/>
      <c r="E236" s="44"/>
      <c r="F236" s="44"/>
      <c r="G236" s="44"/>
      <c r="H236" s="44"/>
      <c r="I236" s="44"/>
      <c r="J236" s="44"/>
      <c r="K236" s="44"/>
      <c r="L236" s="44"/>
      <c r="M236" s="63"/>
      <c r="N236" s="44"/>
      <c r="O236" s="63"/>
      <c r="P236" s="44"/>
      <c r="Q236" s="72"/>
      <c r="R236" s="72"/>
      <c r="S236" s="72"/>
      <c r="T236" s="72"/>
      <c r="U236" s="73"/>
      <c r="V236" s="73"/>
      <c r="W236" s="74"/>
      <c r="X236" s="46"/>
      <c r="Y236" s="46"/>
      <c r="Z236" s="44"/>
      <c r="AA236" s="44"/>
      <c r="AB236" s="47"/>
    </row>
    <row r="237" spans="3:28" ht="20.100000000000001" customHeight="1" x14ac:dyDescent="0.25">
      <c r="C237" s="60"/>
      <c r="D237" s="60"/>
      <c r="E237" s="44"/>
      <c r="F237" s="44"/>
      <c r="G237" s="44"/>
      <c r="H237" s="44"/>
      <c r="I237" s="44"/>
      <c r="J237" s="44"/>
      <c r="K237" s="44"/>
      <c r="L237" s="44"/>
      <c r="M237" s="63"/>
      <c r="N237" s="44"/>
      <c r="O237" s="63"/>
      <c r="P237" s="44"/>
      <c r="Q237" s="72"/>
      <c r="R237" s="72"/>
      <c r="S237" s="72"/>
      <c r="T237" s="72"/>
      <c r="U237" s="73"/>
      <c r="V237" s="73"/>
      <c r="W237" s="74"/>
      <c r="X237" s="46"/>
      <c r="Y237" s="46"/>
      <c r="Z237" s="44"/>
      <c r="AA237" s="44"/>
      <c r="AB237" s="47"/>
    </row>
    <row r="238" spans="3:28" ht="20.100000000000001" customHeight="1" x14ac:dyDescent="0.25">
      <c r="C238" s="60"/>
      <c r="D238" s="60"/>
      <c r="E238" s="44"/>
      <c r="F238" s="44"/>
      <c r="G238" s="44"/>
      <c r="H238" s="44"/>
      <c r="I238" s="44"/>
      <c r="J238" s="44"/>
      <c r="K238" s="44"/>
      <c r="L238" s="44"/>
      <c r="M238" s="63"/>
      <c r="N238" s="44"/>
      <c r="O238" s="63"/>
      <c r="P238" s="44"/>
      <c r="Q238" s="72"/>
      <c r="R238" s="72"/>
      <c r="S238" s="72"/>
      <c r="T238" s="72"/>
      <c r="U238" s="73"/>
      <c r="V238" s="73"/>
      <c r="W238" s="74"/>
      <c r="X238" s="46"/>
      <c r="Y238" s="46"/>
      <c r="Z238" s="44"/>
      <c r="AA238" s="44"/>
      <c r="AB238" s="47"/>
    </row>
    <row r="239" spans="3:28" ht="20.100000000000001" customHeight="1" x14ac:dyDescent="0.25">
      <c r="C239" s="60"/>
      <c r="D239" s="60"/>
      <c r="E239" s="44"/>
      <c r="F239" s="44"/>
      <c r="G239" s="44"/>
      <c r="H239" s="44"/>
      <c r="I239" s="44"/>
      <c r="J239" s="44"/>
      <c r="K239" s="44"/>
      <c r="L239" s="44"/>
      <c r="M239" s="63"/>
      <c r="N239" s="44"/>
      <c r="O239" s="63"/>
      <c r="P239" s="44"/>
      <c r="Q239" s="72"/>
      <c r="R239" s="72"/>
      <c r="S239" s="72"/>
      <c r="T239" s="72"/>
      <c r="U239" s="73"/>
      <c r="V239" s="73"/>
      <c r="W239" s="74"/>
      <c r="X239" s="46"/>
      <c r="Y239" s="46"/>
      <c r="Z239" s="44"/>
      <c r="AA239" s="44"/>
      <c r="AB239" s="47"/>
    </row>
    <row r="240" spans="3:28" ht="20.100000000000001" customHeight="1" x14ac:dyDescent="0.25">
      <c r="C240" s="60"/>
      <c r="D240" s="60"/>
      <c r="E240" s="44"/>
      <c r="F240" s="44"/>
      <c r="G240" s="44"/>
      <c r="H240" s="44"/>
      <c r="I240" s="44"/>
      <c r="J240" s="44"/>
      <c r="K240" s="44"/>
      <c r="L240" s="44"/>
      <c r="M240" s="63"/>
      <c r="N240" s="44"/>
      <c r="O240" s="63"/>
      <c r="P240" s="44"/>
      <c r="Q240" s="72"/>
      <c r="R240" s="72"/>
      <c r="S240" s="72"/>
      <c r="T240" s="72"/>
      <c r="U240" s="73"/>
      <c r="V240" s="73"/>
      <c r="W240" s="74"/>
      <c r="X240" s="46"/>
      <c r="Y240" s="46"/>
      <c r="Z240" s="44"/>
      <c r="AA240" s="44"/>
      <c r="AB240" s="47"/>
    </row>
    <row r="241" spans="3:28" ht="20.100000000000001" customHeight="1" x14ac:dyDescent="0.25">
      <c r="C241" s="60"/>
      <c r="D241" s="60"/>
      <c r="E241" s="44"/>
      <c r="F241" s="44"/>
      <c r="G241" s="44"/>
      <c r="H241" s="44"/>
      <c r="I241" s="44"/>
      <c r="J241" s="44"/>
      <c r="K241" s="44"/>
      <c r="L241" s="44"/>
      <c r="M241" s="63"/>
      <c r="N241" s="44"/>
      <c r="O241" s="63"/>
      <c r="P241" s="44"/>
      <c r="Q241" s="72"/>
      <c r="R241" s="72"/>
      <c r="S241" s="72"/>
      <c r="T241" s="72"/>
      <c r="U241" s="73"/>
      <c r="V241" s="73"/>
      <c r="W241" s="74"/>
      <c r="X241" s="46"/>
      <c r="Y241" s="46"/>
      <c r="Z241" s="44"/>
      <c r="AA241" s="44"/>
      <c r="AB241" s="47"/>
    </row>
    <row r="242" spans="3:28" ht="20.100000000000001" customHeight="1" x14ac:dyDescent="0.25">
      <c r="C242" s="60"/>
      <c r="D242" s="60"/>
      <c r="E242" s="44"/>
      <c r="F242" s="44"/>
      <c r="G242" s="44"/>
      <c r="H242" s="44"/>
      <c r="I242" s="44"/>
      <c r="J242" s="44"/>
      <c r="K242" s="44"/>
      <c r="L242" s="44"/>
      <c r="M242" s="63"/>
      <c r="N242" s="44"/>
      <c r="O242" s="63"/>
      <c r="P242" s="44"/>
      <c r="Q242" s="72"/>
      <c r="R242" s="72"/>
      <c r="S242" s="72"/>
      <c r="T242" s="72"/>
      <c r="U242" s="73"/>
      <c r="V242" s="73"/>
      <c r="W242" s="74"/>
      <c r="X242" s="46"/>
      <c r="Y242" s="46"/>
      <c r="Z242" s="44"/>
      <c r="AA242" s="44"/>
      <c r="AB242" s="47"/>
    </row>
    <row r="243" spans="3:28" ht="20.100000000000001" customHeight="1" x14ac:dyDescent="0.25">
      <c r="C243" s="60"/>
      <c r="D243" s="60"/>
      <c r="E243" s="44"/>
      <c r="F243" s="44"/>
      <c r="G243" s="44"/>
      <c r="H243" s="44"/>
      <c r="I243" s="44"/>
      <c r="J243" s="44"/>
      <c r="K243" s="44"/>
      <c r="L243" s="44"/>
      <c r="M243" s="63"/>
      <c r="N243" s="44"/>
      <c r="O243" s="63"/>
      <c r="P243" s="44"/>
      <c r="Q243" s="72"/>
      <c r="R243" s="72"/>
      <c r="S243" s="72"/>
      <c r="T243" s="72"/>
      <c r="U243" s="73"/>
      <c r="V243" s="73"/>
      <c r="W243" s="74"/>
      <c r="X243" s="46"/>
      <c r="Y243" s="46"/>
      <c r="Z243" s="44"/>
      <c r="AA243" s="44"/>
      <c r="AB243" s="47"/>
    </row>
    <row r="244" spans="3:28" ht="20.100000000000001" customHeight="1" x14ac:dyDescent="0.25">
      <c r="C244" s="60"/>
      <c r="D244" s="60"/>
      <c r="E244" s="44"/>
      <c r="F244" s="44"/>
      <c r="G244" s="44"/>
      <c r="H244" s="44"/>
      <c r="I244" s="44"/>
      <c r="J244" s="44"/>
      <c r="K244" s="44"/>
      <c r="L244" s="44"/>
      <c r="M244" s="63"/>
      <c r="N244" s="44"/>
      <c r="O244" s="63"/>
      <c r="P244" s="44"/>
      <c r="Q244" s="72"/>
      <c r="R244" s="72"/>
      <c r="S244" s="72"/>
      <c r="T244" s="72"/>
      <c r="U244" s="73"/>
      <c r="V244" s="73"/>
      <c r="W244" s="74"/>
      <c r="X244" s="46"/>
      <c r="Y244" s="46"/>
      <c r="Z244" s="44"/>
      <c r="AA244" s="44"/>
      <c r="AB244" s="47"/>
    </row>
    <row r="245" spans="3:28" ht="20.100000000000001" customHeight="1" x14ac:dyDescent="0.25">
      <c r="C245" s="60"/>
      <c r="D245" s="60"/>
      <c r="E245" s="44"/>
      <c r="F245" s="44"/>
      <c r="G245" s="44"/>
      <c r="H245" s="44"/>
      <c r="I245" s="44"/>
      <c r="J245" s="44"/>
      <c r="K245" s="44"/>
      <c r="L245" s="44"/>
      <c r="M245" s="63"/>
      <c r="N245" s="44"/>
      <c r="O245" s="63"/>
      <c r="P245" s="44"/>
      <c r="Q245" s="72"/>
      <c r="R245" s="72"/>
      <c r="S245" s="72"/>
      <c r="T245" s="72"/>
      <c r="U245" s="73"/>
      <c r="V245" s="73"/>
      <c r="W245" s="74"/>
      <c r="X245" s="46"/>
      <c r="Y245" s="46"/>
      <c r="Z245" s="44"/>
      <c r="AA245" s="44"/>
      <c r="AB245" s="47"/>
    </row>
    <row r="246" spans="3:28" ht="20.100000000000001" customHeight="1" x14ac:dyDescent="0.25">
      <c r="C246" s="60"/>
      <c r="D246" s="60"/>
      <c r="E246" s="44"/>
      <c r="F246" s="44"/>
      <c r="G246" s="44"/>
      <c r="H246" s="44"/>
      <c r="I246" s="44"/>
      <c r="J246" s="44"/>
      <c r="K246" s="44"/>
      <c r="L246" s="44"/>
      <c r="M246" s="63"/>
      <c r="N246" s="44"/>
      <c r="O246" s="63"/>
      <c r="P246" s="44"/>
      <c r="Q246" s="72"/>
      <c r="R246" s="72"/>
      <c r="S246" s="72"/>
      <c r="T246" s="72"/>
      <c r="U246" s="73"/>
      <c r="V246" s="73"/>
      <c r="W246" s="74"/>
      <c r="X246" s="46"/>
      <c r="Y246" s="46"/>
      <c r="Z246" s="44"/>
      <c r="AA246" s="44"/>
      <c r="AB246" s="47"/>
    </row>
    <row r="247" spans="3:28" ht="20.100000000000001" customHeight="1" x14ac:dyDescent="0.25">
      <c r="C247" s="60"/>
      <c r="D247" s="60"/>
      <c r="E247" s="44"/>
      <c r="F247" s="44"/>
      <c r="G247" s="44"/>
      <c r="H247" s="44"/>
      <c r="I247" s="44"/>
      <c r="J247" s="44"/>
      <c r="K247" s="44"/>
      <c r="L247" s="44"/>
      <c r="M247" s="63"/>
      <c r="N247" s="44"/>
      <c r="O247" s="63"/>
      <c r="P247" s="44"/>
      <c r="Q247" s="72"/>
      <c r="R247" s="72"/>
      <c r="S247" s="72"/>
      <c r="T247" s="72"/>
      <c r="U247" s="73"/>
      <c r="V247" s="73"/>
      <c r="W247" s="74"/>
      <c r="X247" s="46"/>
      <c r="Y247" s="46"/>
      <c r="Z247" s="44"/>
      <c r="AA247" s="44"/>
      <c r="AB247" s="47"/>
    </row>
    <row r="248" spans="3:28" ht="20.100000000000001" customHeight="1" x14ac:dyDescent="0.25">
      <c r="C248" s="60"/>
      <c r="D248" s="60"/>
      <c r="E248" s="44"/>
      <c r="F248" s="44"/>
      <c r="G248" s="44"/>
      <c r="H248" s="44"/>
      <c r="I248" s="44"/>
      <c r="J248" s="44"/>
      <c r="K248" s="44"/>
      <c r="L248" s="44"/>
      <c r="M248" s="63"/>
      <c r="N248" s="44"/>
      <c r="O248" s="63"/>
      <c r="P248" s="44"/>
      <c r="Q248" s="72"/>
      <c r="R248" s="72"/>
      <c r="S248" s="72"/>
      <c r="T248" s="72"/>
      <c r="U248" s="73"/>
      <c r="V248" s="73"/>
      <c r="W248" s="74"/>
      <c r="X248" s="46"/>
      <c r="Y248" s="46"/>
      <c r="Z248" s="44"/>
      <c r="AA248" s="44"/>
      <c r="AB248" s="47"/>
    </row>
    <row r="249" spans="3:28" ht="20.100000000000001" customHeight="1" x14ac:dyDescent="0.25">
      <c r="C249" s="60"/>
      <c r="D249" s="60"/>
      <c r="E249" s="44"/>
      <c r="F249" s="44"/>
      <c r="G249" s="44"/>
      <c r="H249" s="44"/>
      <c r="I249" s="44"/>
      <c r="J249" s="44"/>
      <c r="K249" s="44"/>
      <c r="L249" s="44"/>
      <c r="M249" s="63"/>
      <c r="N249" s="44"/>
      <c r="O249" s="63"/>
      <c r="P249" s="44"/>
      <c r="Q249" s="72"/>
      <c r="R249" s="72"/>
      <c r="S249" s="72"/>
      <c r="T249" s="72"/>
      <c r="U249" s="73"/>
      <c r="V249" s="73"/>
      <c r="W249" s="74"/>
      <c r="X249" s="46"/>
      <c r="Y249" s="46"/>
      <c r="Z249" s="44"/>
      <c r="AA249" s="44"/>
      <c r="AB249" s="47"/>
    </row>
    <row r="250" spans="3:28" ht="20.100000000000001" customHeight="1" x14ac:dyDescent="0.25">
      <c r="C250" s="60"/>
      <c r="D250" s="60"/>
      <c r="E250" s="44"/>
      <c r="F250" s="44"/>
      <c r="G250" s="44"/>
      <c r="H250" s="44"/>
      <c r="I250" s="44"/>
      <c r="J250" s="44"/>
      <c r="K250" s="44"/>
      <c r="L250" s="44"/>
      <c r="M250" s="63"/>
      <c r="N250" s="44"/>
      <c r="O250" s="63"/>
      <c r="P250" s="44"/>
      <c r="Q250" s="72"/>
      <c r="R250" s="72"/>
      <c r="S250" s="72"/>
      <c r="T250" s="72"/>
      <c r="U250" s="73"/>
      <c r="V250" s="73"/>
      <c r="W250" s="74"/>
      <c r="X250" s="46"/>
      <c r="Y250" s="46"/>
      <c r="Z250" s="44"/>
      <c r="AA250" s="44"/>
      <c r="AB250" s="47"/>
    </row>
    <row r="251" spans="3:28" ht="20.100000000000001" customHeight="1" x14ac:dyDescent="0.25">
      <c r="C251" s="60"/>
      <c r="D251" s="60"/>
      <c r="E251" s="44"/>
      <c r="F251" s="44"/>
      <c r="G251" s="44"/>
      <c r="H251" s="44"/>
      <c r="I251" s="44"/>
      <c r="J251" s="44"/>
      <c r="K251" s="44"/>
      <c r="L251" s="44"/>
      <c r="M251" s="63"/>
      <c r="N251" s="44"/>
      <c r="O251" s="63"/>
      <c r="P251" s="44"/>
      <c r="Q251" s="72"/>
      <c r="R251" s="72"/>
      <c r="S251" s="72"/>
      <c r="T251" s="72"/>
      <c r="U251" s="73"/>
      <c r="V251" s="73"/>
      <c r="W251" s="74"/>
      <c r="X251" s="46"/>
      <c r="Y251" s="46"/>
      <c r="Z251" s="44"/>
      <c r="AA251" s="44"/>
      <c r="AB251" s="47"/>
    </row>
    <row r="252" spans="3:28" ht="20.100000000000001" customHeight="1" x14ac:dyDescent="0.25">
      <c r="C252" s="60"/>
      <c r="D252" s="60"/>
      <c r="E252" s="44"/>
      <c r="F252" s="44"/>
      <c r="G252" s="44"/>
      <c r="H252" s="44"/>
      <c r="I252" s="44"/>
      <c r="J252" s="44"/>
      <c r="K252" s="44"/>
      <c r="L252" s="44"/>
      <c r="M252" s="63"/>
      <c r="N252" s="44"/>
      <c r="O252" s="63"/>
      <c r="P252" s="44"/>
      <c r="Q252" s="72"/>
      <c r="R252" s="72"/>
      <c r="S252" s="72"/>
      <c r="T252" s="72"/>
      <c r="U252" s="73"/>
      <c r="V252" s="73"/>
      <c r="W252" s="74"/>
      <c r="X252" s="46"/>
      <c r="Y252" s="46"/>
      <c r="Z252" s="44"/>
      <c r="AA252" s="44"/>
      <c r="AB252" s="47"/>
    </row>
    <row r="253" spans="3:28" ht="20.100000000000001" customHeight="1" x14ac:dyDescent="0.25">
      <c r="C253" s="60"/>
      <c r="D253" s="60"/>
      <c r="E253" s="44"/>
      <c r="F253" s="44"/>
      <c r="G253" s="44"/>
      <c r="H253" s="44"/>
      <c r="I253" s="44"/>
      <c r="J253" s="44"/>
      <c r="K253" s="44"/>
      <c r="L253" s="44"/>
      <c r="M253" s="63"/>
      <c r="N253" s="44"/>
      <c r="O253" s="63"/>
      <c r="P253" s="44"/>
      <c r="Q253" s="72"/>
      <c r="R253" s="72"/>
      <c r="S253" s="72"/>
      <c r="T253" s="72"/>
      <c r="U253" s="73"/>
      <c r="V253" s="73"/>
      <c r="W253" s="74"/>
      <c r="X253" s="46"/>
      <c r="Y253" s="46"/>
      <c r="Z253" s="44"/>
      <c r="AA253" s="44"/>
      <c r="AB253" s="47"/>
    </row>
    <row r="254" spans="3:28" ht="20.100000000000001" customHeight="1" x14ac:dyDescent="0.25">
      <c r="C254" s="60"/>
      <c r="D254" s="60"/>
      <c r="E254" s="44"/>
      <c r="F254" s="44"/>
      <c r="G254" s="44"/>
      <c r="H254" s="44"/>
      <c r="I254" s="44"/>
      <c r="J254" s="44"/>
      <c r="K254" s="44"/>
      <c r="L254" s="44"/>
      <c r="M254" s="63"/>
      <c r="N254" s="44"/>
      <c r="O254" s="63"/>
      <c r="P254" s="44"/>
      <c r="Q254" s="72"/>
      <c r="R254" s="72"/>
      <c r="S254" s="72"/>
      <c r="T254" s="72"/>
      <c r="U254" s="73"/>
      <c r="V254" s="73"/>
      <c r="W254" s="74"/>
      <c r="X254" s="46"/>
      <c r="Y254" s="46"/>
      <c r="Z254" s="44"/>
      <c r="AA254" s="44"/>
      <c r="AB254" s="47"/>
    </row>
    <row r="255" spans="3:28" ht="20.100000000000001" customHeight="1" x14ac:dyDescent="0.25">
      <c r="C255" s="60"/>
      <c r="D255" s="60"/>
      <c r="E255" s="44"/>
      <c r="F255" s="44"/>
      <c r="G255" s="44"/>
      <c r="H255" s="44"/>
      <c r="I255" s="44"/>
      <c r="J255" s="44"/>
      <c r="K255" s="44"/>
      <c r="L255" s="44"/>
      <c r="M255" s="63"/>
      <c r="N255" s="44"/>
      <c r="O255" s="63"/>
      <c r="P255" s="44"/>
      <c r="Q255" s="72"/>
      <c r="R255" s="72"/>
      <c r="S255" s="72"/>
      <c r="T255" s="72"/>
      <c r="U255" s="73"/>
      <c r="V255" s="73"/>
      <c r="W255" s="74"/>
      <c r="X255" s="46"/>
      <c r="Y255" s="46"/>
      <c r="Z255" s="44"/>
      <c r="AA255" s="44"/>
      <c r="AB255" s="47"/>
    </row>
    <row r="256" spans="3:28" ht="20.100000000000001" customHeight="1" x14ac:dyDescent="0.25">
      <c r="C256" s="60"/>
      <c r="D256" s="60"/>
      <c r="E256" s="44"/>
      <c r="F256" s="44"/>
      <c r="G256" s="44"/>
      <c r="H256" s="44"/>
      <c r="I256" s="44"/>
      <c r="J256" s="44"/>
      <c r="K256" s="44"/>
      <c r="L256" s="44"/>
      <c r="M256" s="63"/>
      <c r="N256" s="44"/>
      <c r="O256" s="63"/>
      <c r="P256" s="44"/>
      <c r="Q256" s="72"/>
      <c r="R256" s="72"/>
      <c r="S256" s="72"/>
      <c r="T256" s="72"/>
      <c r="U256" s="73"/>
      <c r="V256" s="73"/>
      <c r="W256" s="74"/>
      <c r="X256" s="46"/>
      <c r="Y256" s="46"/>
      <c r="Z256" s="44"/>
      <c r="AA256" s="44"/>
      <c r="AB256" s="47"/>
    </row>
    <row r="257" spans="3:28" ht="20.100000000000001" customHeight="1" x14ac:dyDescent="0.25">
      <c r="C257" s="60"/>
      <c r="D257" s="60"/>
      <c r="E257" s="44"/>
      <c r="F257" s="44"/>
      <c r="G257" s="44"/>
      <c r="H257" s="44"/>
      <c r="I257" s="44"/>
      <c r="J257" s="44"/>
      <c r="K257" s="44"/>
      <c r="L257" s="44"/>
      <c r="M257" s="63"/>
      <c r="N257" s="44"/>
      <c r="O257" s="63"/>
      <c r="P257" s="44"/>
      <c r="Q257" s="72"/>
      <c r="R257" s="72"/>
      <c r="S257" s="72"/>
      <c r="T257" s="72"/>
      <c r="U257" s="73"/>
      <c r="V257" s="73"/>
      <c r="W257" s="74"/>
      <c r="X257" s="46"/>
      <c r="Y257" s="46"/>
      <c r="Z257" s="44"/>
      <c r="AA257" s="44"/>
      <c r="AB257" s="47"/>
    </row>
    <row r="258" spans="3:28" ht="20.100000000000001" customHeight="1" x14ac:dyDescent="0.25">
      <c r="C258" s="60"/>
      <c r="D258" s="60"/>
      <c r="E258" s="44"/>
      <c r="F258" s="44"/>
      <c r="G258" s="44"/>
      <c r="H258" s="44"/>
      <c r="I258" s="44"/>
      <c r="J258" s="44"/>
      <c r="K258" s="44"/>
      <c r="L258" s="44"/>
      <c r="M258" s="63"/>
      <c r="N258" s="44"/>
      <c r="O258" s="63"/>
      <c r="P258" s="44"/>
      <c r="Q258" s="72"/>
      <c r="R258" s="72"/>
      <c r="S258" s="72"/>
      <c r="T258" s="72"/>
      <c r="U258" s="73"/>
      <c r="V258" s="73"/>
      <c r="W258" s="74"/>
      <c r="X258" s="46"/>
      <c r="Y258" s="46"/>
      <c r="Z258" s="44"/>
      <c r="AA258" s="44"/>
      <c r="AB258" s="47"/>
    </row>
    <row r="259" spans="3:28" ht="20.100000000000001" customHeight="1" x14ac:dyDescent="0.25">
      <c r="C259" s="60"/>
      <c r="D259" s="60"/>
      <c r="E259" s="44"/>
      <c r="F259" s="44"/>
      <c r="G259" s="44"/>
      <c r="H259" s="44"/>
      <c r="I259" s="44"/>
      <c r="J259" s="44"/>
      <c r="K259" s="44"/>
      <c r="L259" s="44"/>
      <c r="M259" s="63"/>
      <c r="N259" s="44"/>
      <c r="O259" s="63"/>
      <c r="P259" s="44"/>
      <c r="Q259" s="72"/>
      <c r="R259" s="72"/>
      <c r="S259" s="72"/>
      <c r="T259" s="72"/>
      <c r="U259" s="73"/>
      <c r="V259" s="73"/>
      <c r="W259" s="74"/>
      <c r="X259" s="46"/>
      <c r="Y259" s="46"/>
      <c r="Z259" s="44"/>
      <c r="AA259" s="44"/>
      <c r="AB259" s="47"/>
    </row>
    <row r="260" spans="3:28" ht="20.100000000000001" customHeight="1" x14ac:dyDescent="0.25">
      <c r="C260" s="60"/>
      <c r="D260" s="60"/>
      <c r="E260" s="44"/>
      <c r="F260" s="44"/>
      <c r="G260" s="44"/>
      <c r="H260" s="44"/>
      <c r="I260" s="44"/>
      <c r="J260" s="44"/>
      <c r="K260" s="44"/>
      <c r="L260" s="44"/>
      <c r="M260" s="63"/>
      <c r="N260" s="44"/>
      <c r="O260" s="63"/>
      <c r="P260" s="44"/>
      <c r="Q260" s="72"/>
      <c r="R260" s="72"/>
      <c r="S260" s="72"/>
      <c r="T260" s="72"/>
      <c r="U260" s="73"/>
      <c r="V260" s="73"/>
      <c r="W260" s="74"/>
      <c r="X260" s="46"/>
      <c r="Y260" s="46"/>
      <c r="Z260" s="44"/>
      <c r="AA260" s="44"/>
      <c r="AB260" s="47"/>
    </row>
    <row r="261" spans="3:28" ht="20.100000000000001" customHeight="1" x14ac:dyDescent="0.25">
      <c r="C261" s="60"/>
      <c r="D261" s="60"/>
      <c r="E261" s="44"/>
      <c r="F261" s="44"/>
      <c r="G261" s="44"/>
      <c r="H261" s="44"/>
      <c r="I261" s="44"/>
      <c r="J261" s="44"/>
      <c r="K261" s="44"/>
      <c r="L261" s="44"/>
      <c r="M261" s="63"/>
      <c r="N261" s="44"/>
      <c r="O261" s="63"/>
      <c r="P261" s="44"/>
      <c r="Q261" s="72"/>
      <c r="R261" s="72"/>
      <c r="S261" s="72"/>
      <c r="T261" s="72"/>
      <c r="U261" s="73"/>
      <c r="V261" s="73"/>
      <c r="W261" s="74"/>
      <c r="X261" s="46"/>
      <c r="Y261" s="46"/>
      <c r="Z261" s="44"/>
      <c r="AA261" s="44"/>
      <c r="AB261" s="47"/>
    </row>
    <row r="262" spans="3:28" ht="20.100000000000001" customHeight="1" x14ac:dyDescent="0.25">
      <c r="C262" s="60"/>
      <c r="D262" s="60"/>
      <c r="E262" s="44"/>
      <c r="F262" s="44"/>
      <c r="G262" s="44"/>
      <c r="H262" s="44"/>
      <c r="I262" s="44"/>
      <c r="J262" s="44"/>
      <c r="K262" s="44"/>
      <c r="L262" s="44"/>
      <c r="M262" s="63"/>
      <c r="N262" s="44"/>
      <c r="O262" s="63"/>
      <c r="P262" s="44"/>
      <c r="Q262" s="72"/>
      <c r="R262" s="72"/>
      <c r="S262" s="72"/>
      <c r="T262" s="72"/>
      <c r="U262" s="73"/>
      <c r="V262" s="73"/>
      <c r="W262" s="74"/>
      <c r="X262" s="46"/>
      <c r="Y262" s="46"/>
      <c r="Z262" s="44"/>
      <c r="AA262" s="44"/>
      <c r="AB262" s="47"/>
    </row>
    <row r="263" spans="3:28" ht="20.100000000000001" customHeight="1" x14ac:dyDescent="0.25">
      <c r="C263" s="60"/>
      <c r="D263" s="60"/>
      <c r="E263" s="44"/>
      <c r="F263" s="44"/>
      <c r="G263" s="44"/>
      <c r="H263" s="44"/>
      <c r="I263" s="44"/>
      <c r="J263" s="44"/>
      <c r="K263" s="44"/>
      <c r="L263" s="44"/>
      <c r="M263" s="63"/>
      <c r="N263" s="44"/>
      <c r="O263" s="63"/>
      <c r="P263" s="44"/>
      <c r="Q263" s="72"/>
      <c r="R263" s="72"/>
      <c r="S263" s="72"/>
      <c r="T263" s="72"/>
      <c r="U263" s="73"/>
      <c r="V263" s="73"/>
      <c r="W263" s="74"/>
      <c r="X263" s="46"/>
      <c r="Y263" s="46"/>
      <c r="Z263" s="44"/>
      <c r="AA263" s="44"/>
      <c r="AB263" s="47"/>
    </row>
    <row r="264" spans="3:28" ht="20.100000000000001" customHeight="1" x14ac:dyDescent="0.25">
      <c r="C264" s="60"/>
      <c r="D264" s="60"/>
      <c r="E264" s="44"/>
      <c r="F264" s="44"/>
      <c r="G264" s="44"/>
      <c r="H264" s="44"/>
      <c r="I264" s="44"/>
      <c r="J264" s="44"/>
      <c r="K264" s="44"/>
      <c r="L264" s="44"/>
      <c r="M264" s="63"/>
      <c r="N264" s="44"/>
      <c r="O264" s="63"/>
      <c r="P264" s="44"/>
      <c r="Q264" s="72"/>
      <c r="R264" s="72"/>
      <c r="S264" s="72"/>
      <c r="T264" s="72"/>
      <c r="U264" s="73"/>
      <c r="V264" s="73"/>
      <c r="W264" s="74"/>
      <c r="X264" s="46"/>
      <c r="Y264" s="46"/>
      <c r="Z264" s="44"/>
      <c r="AA264" s="44"/>
      <c r="AB264" s="47"/>
    </row>
    <row r="265" spans="3:28" ht="20.100000000000001" customHeight="1" x14ac:dyDescent="0.25">
      <c r="C265" s="60"/>
      <c r="D265" s="60"/>
      <c r="E265" s="44"/>
      <c r="F265" s="44"/>
      <c r="G265" s="44"/>
      <c r="H265" s="44"/>
      <c r="I265" s="44"/>
      <c r="J265" s="44"/>
      <c r="K265" s="44"/>
      <c r="L265" s="44"/>
      <c r="M265" s="63"/>
      <c r="N265" s="44"/>
      <c r="O265" s="63"/>
      <c r="P265" s="44"/>
      <c r="Q265" s="72"/>
      <c r="R265" s="72"/>
      <c r="S265" s="72"/>
      <c r="T265" s="72"/>
      <c r="U265" s="73"/>
      <c r="V265" s="73"/>
      <c r="W265" s="74"/>
      <c r="X265" s="46"/>
      <c r="Y265" s="46"/>
      <c r="Z265" s="44"/>
      <c r="AA265" s="44"/>
      <c r="AB265" s="47"/>
    </row>
    <row r="266" spans="3:28" ht="20.100000000000001" customHeight="1" x14ac:dyDescent="0.25">
      <c r="C266" s="60"/>
      <c r="D266" s="60"/>
      <c r="E266" s="44"/>
      <c r="F266" s="44"/>
      <c r="G266" s="44"/>
      <c r="H266" s="44"/>
      <c r="I266" s="44"/>
      <c r="J266" s="44"/>
      <c r="K266" s="44"/>
      <c r="L266" s="44"/>
      <c r="M266" s="63"/>
      <c r="N266" s="44"/>
      <c r="O266" s="63"/>
      <c r="P266" s="44"/>
      <c r="Q266" s="72"/>
      <c r="R266" s="72"/>
      <c r="S266" s="72"/>
      <c r="T266" s="72"/>
      <c r="U266" s="73"/>
      <c r="V266" s="73"/>
      <c r="W266" s="74"/>
      <c r="X266" s="46"/>
      <c r="Y266" s="46"/>
      <c r="Z266" s="44"/>
      <c r="AA266" s="44"/>
      <c r="AB266" s="47"/>
    </row>
    <row r="267" spans="3:28" ht="20.100000000000001" customHeight="1" x14ac:dyDescent="0.25">
      <c r="C267" s="60"/>
      <c r="D267" s="60"/>
      <c r="E267" s="44"/>
      <c r="F267" s="44"/>
      <c r="G267" s="44"/>
      <c r="H267" s="44"/>
      <c r="I267" s="44"/>
      <c r="J267" s="44"/>
      <c r="K267" s="44"/>
      <c r="L267" s="44"/>
      <c r="M267" s="63"/>
      <c r="N267" s="44"/>
      <c r="O267" s="63"/>
      <c r="P267" s="44"/>
      <c r="Q267" s="72"/>
      <c r="R267" s="72"/>
      <c r="S267" s="72"/>
      <c r="T267" s="72"/>
      <c r="U267" s="73"/>
      <c r="V267" s="73"/>
      <c r="W267" s="74"/>
      <c r="X267" s="46"/>
      <c r="Y267" s="46"/>
      <c r="Z267" s="44"/>
      <c r="AA267" s="44"/>
      <c r="AB267" s="47"/>
    </row>
    <row r="268" spans="3:28" ht="20.100000000000001" customHeight="1" x14ac:dyDescent="0.25">
      <c r="C268" s="60"/>
      <c r="D268" s="60"/>
      <c r="E268" s="44"/>
      <c r="F268" s="44"/>
      <c r="G268" s="44"/>
      <c r="H268" s="44"/>
      <c r="I268" s="44"/>
      <c r="J268" s="44"/>
      <c r="K268" s="44"/>
      <c r="L268" s="44"/>
      <c r="M268" s="63"/>
      <c r="N268" s="44"/>
      <c r="O268" s="63"/>
      <c r="P268" s="44"/>
      <c r="Q268" s="72"/>
      <c r="R268" s="72"/>
      <c r="S268" s="72"/>
      <c r="T268" s="72"/>
      <c r="U268" s="73"/>
      <c r="V268" s="73"/>
      <c r="W268" s="74"/>
      <c r="X268" s="46"/>
      <c r="Y268" s="46"/>
      <c r="Z268" s="44"/>
      <c r="AA268" s="44"/>
      <c r="AB268" s="47"/>
    </row>
    <row r="269" spans="3:28" ht="20.100000000000001" customHeight="1" x14ac:dyDescent="0.25">
      <c r="C269" s="60"/>
      <c r="D269" s="60"/>
      <c r="E269" s="44"/>
      <c r="F269" s="44"/>
      <c r="G269" s="44"/>
      <c r="H269" s="44"/>
      <c r="I269" s="44"/>
      <c r="J269" s="44"/>
      <c r="K269" s="44"/>
      <c r="L269" s="44"/>
      <c r="M269" s="63"/>
      <c r="N269" s="44"/>
      <c r="O269" s="63"/>
      <c r="P269" s="44"/>
      <c r="Q269" s="72"/>
      <c r="R269" s="72"/>
      <c r="S269" s="72"/>
      <c r="T269" s="72"/>
      <c r="U269" s="73"/>
      <c r="V269" s="73"/>
      <c r="W269" s="74"/>
      <c r="X269" s="46"/>
      <c r="Y269" s="46"/>
      <c r="Z269" s="44"/>
      <c r="AA269" s="44"/>
      <c r="AB269" s="47"/>
    </row>
    <row r="270" spans="3:28" ht="20.100000000000001" customHeight="1" x14ac:dyDescent="0.25">
      <c r="C270" s="60"/>
      <c r="D270" s="60"/>
      <c r="E270" s="44"/>
      <c r="F270" s="44"/>
      <c r="G270" s="44"/>
      <c r="H270" s="44"/>
      <c r="I270" s="44"/>
      <c r="J270" s="44"/>
      <c r="K270" s="44"/>
      <c r="L270" s="44"/>
      <c r="M270" s="63"/>
      <c r="N270" s="44"/>
      <c r="O270" s="63"/>
      <c r="P270" s="44"/>
      <c r="Q270" s="72"/>
      <c r="R270" s="72"/>
      <c r="S270" s="72"/>
      <c r="T270" s="72"/>
      <c r="U270" s="73"/>
      <c r="V270" s="73"/>
      <c r="W270" s="74"/>
      <c r="X270" s="46"/>
      <c r="Y270" s="46"/>
      <c r="Z270" s="44"/>
      <c r="AA270" s="44"/>
      <c r="AB270" s="47"/>
    </row>
    <row r="271" spans="3:28" ht="20.100000000000001" customHeight="1" x14ac:dyDescent="0.25">
      <c r="C271" s="60"/>
      <c r="D271" s="60"/>
      <c r="E271" s="44"/>
      <c r="F271" s="44"/>
      <c r="G271" s="44"/>
      <c r="H271" s="44"/>
      <c r="I271" s="44"/>
      <c r="J271" s="44"/>
      <c r="K271" s="44"/>
      <c r="L271" s="44"/>
      <c r="M271" s="63"/>
      <c r="N271" s="44"/>
      <c r="O271" s="63"/>
      <c r="P271" s="44"/>
      <c r="Q271" s="72"/>
      <c r="R271" s="72"/>
      <c r="S271" s="72"/>
      <c r="T271" s="72"/>
      <c r="U271" s="73"/>
      <c r="V271" s="73"/>
      <c r="W271" s="74"/>
      <c r="X271" s="46"/>
      <c r="Y271" s="46"/>
      <c r="Z271" s="44"/>
      <c r="AA271" s="44"/>
      <c r="AB271" s="47"/>
    </row>
    <row r="272" spans="3:28" ht="20.100000000000001" customHeight="1" x14ac:dyDescent="0.25">
      <c r="C272" s="60"/>
      <c r="D272" s="60"/>
      <c r="E272" s="44"/>
      <c r="F272" s="44"/>
      <c r="G272" s="44"/>
      <c r="H272" s="44"/>
      <c r="I272" s="44"/>
      <c r="J272" s="44"/>
      <c r="K272" s="44"/>
      <c r="L272" s="44"/>
      <c r="M272" s="63"/>
      <c r="N272" s="44"/>
      <c r="O272" s="63"/>
      <c r="P272" s="44"/>
      <c r="Q272" s="72"/>
      <c r="R272" s="72"/>
      <c r="S272" s="72"/>
      <c r="T272" s="72"/>
      <c r="U272" s="73"/>
      <c r="V272" s="73"/>
      <c r="W272" s="74"/>
      <c r="X272" s="46"/>
      <c r="Y272" s="46"/>
      <c r="Z272" s="44"/>
      <c r="AA272" s="44"/>
      <c r="AB272" s="47"/>
    </row>
    <row r="273" spans="3:28" ht="20.100000000000001" customHeight="1" x14ac:dyDescent="0.25">
      <c r="C273" s="60"/>
      <c r="D273" s="60"/>
      <c r="E273" s="44"/>
      <c r="F273" s="44"/>
      <c r="G273" s="44"/>
      <c r="H273" s="44"/>
      <c r="I273" s="44"/>
      <c r="J273" s="44"/>
      <c r="K273" s="44"/>
      <c r="L273" s="44"/>
      <c r="M273" s="63"/>
      <c r="N273" s="44"/>
      <c r="O273" s="63"/>
      <c r="P273" s="44"/>
      <c r="Q273" s="72"/>
      <c r="R273" s="72"/>
      <c r="S273" s="72"/>
      <c r="T273" s="72"/>
      <c r="U273" s="73"/>
      <c r="V273" s="73"/>
      <c r="W273" s="74"/>
      <c r="X273" s="46"/>
      <c r="Y273" s="46"/>
      <c r="Z273" s="44"/>
      <c r="AA273" s="44"/>
      <c r="AB273" s="47"/>
    </row>
    <row r="274" spans="3:28" ht="20.100000000000001" customHeight="1" x14ac:dyDescent="0.25">
      <c r="C274" s="60"/>
      <c r="D274" s="60"/>
      <c r="E274" s="44"/>
      <c r="F274" s="44"/>
      <c r="G274" s="44"/>
      <c r="H274" s="44"/>
      <c r="I274" s="44"/>
      <c r="J274" s="44"/>
      <c r="K274" s="44"/>
      <c r="L274" s="44"/>
      <c r="M274" s="63"/>
      <c r="N274" s="44"/>
      <c r="O274" s="63"/>
      <c r="P274" s="44"/>
      <c r="Q274" s="72"/>
      <c r="R274" s="72"/>
      <c r="S274" s="72"/>
      <c r="T274" s="72"/>
      <c r="U274" s="73"/>
      <c r="V274" s="73"/>
      <c r="W274" s="74"/>
      <c r="X274" s="46"/>
      <c r="Y274" s="46"/>
      <c r="Z274" s="44"/>
      <c r="AA274" s="44"/>
      <c r="AB274" s="47"/>
    </row>
    <row r="275" spans="3:28" ht="20.100000000000001" customHeight="1" x14ac:dyDescent="0.25">
      <c r="C275" s="60"/>
      <c r="D275" s="60"/>
      <c r="E275" s="44"/>
      <c r="F275" s="44"/>
      <c r="G275" s="44"/>
      <c r="H275" s="44"/>
      <c r="I275" s="44"/>
      <c r="J275" s="44"/>
      <c r="K275" s="44"/>
      <c r="L275" s="44"/>
      <c r="M275" s="63"/>
      <c r="N275" s="44"/>
      <c r="O275" s="63"/>
      <c r="P275" s="44"/>
      <c r="Q275" s="72"/>
      <c r="R275" s="72"/>
      <c r="S275" s="72"/>
      <c r="T275" s="72"/>
      <c r="U275" s="73"/>
      <c r="V275" s="73"/>
      <c r="W275" s="74"/>
      <c r="X275" s="46"/>
      <c r="Y275" s="46"/>
      <c r="Z275" s="44"/>
      <c r="AA275" s="44"/>
      <c r="AB275" s="47"/>
    </row>
    <row r="276" spans="3:28" ht="20.100000000000001" customHeight="1" x14ac:dyDescent="0.25">
      <c r="C276" s="60"/>
      <c r="D276" s="60"/>
      <c r="E276" s="44"/>
      <c r="F276" s="44"/>
      <c r="G276" s="44"/>
      <c r="H276" s="44"/>
      <c r="I276" s="44"/>
      <c r="J276" s="44"/>
      <c r="K276" s="44"/>
      <c r="L276" s="44"/>
      <c r="M276" s="63"/>
      <c r="N276" s="44"/>
      <c r="O276" s="63"/>
      <c r="P276" s="44"/>
      <c r="Q276" s="72"/>
      <c r="R276" s="72"/>
      <c r="S276" s="72"/>
      <c r="T276" s="72"/>
      <c r="U276" s="73"/>
      <c r="V276" s="73"/>
      <c r="W276" s="74"/>
      <c r="X276" s="46"/>
      <c r="Y276" s="46"/>
      <c r="Z276" s="44"/>
      <c r="AA276" s="44"/>
      <c r="AB276" s="47"/>
    </row>
    <row r="277" spans="3:28" ht="20.100000000000001" customHeight="1" x14ac:dyDescent="0.25">
      <c r="C277" s="60"/>
      <c r="D277" s="60"/>
      <c r="E277" s="44"/>
      <c r="F277" s="44"/>
      <c r="G277" s="44"/>
      <c r="H277" s="44"/>
      <c r="I277" s="44"/>
      <c r="J277" s="44"/>
      <c r="K277" s="44"/>
      <c r="L277" s="44"/>
      <c r="M277" s="63"/>
      <c r="N277" s="44"/>
      <c r="O277" s="63"/>
      <c r="P277" s="44"/>
      <c r="Q277" s="72"/>
      <c r="R277" s="72"/>
      <c r="S277" s="72"/>
      <c r="T277" s="72"/>
      <c r="U277" s="73"/>
      <c r="V277" s="73"/>
      <c r="W277" s="74"/>
      <c r="X277" s="46"/>
      <c r="Y277" s="46"/>
      <c r="Z277" s="44"/>
      <c r="AA277" s="44"/>
      <c r="AB277" s="47"/>
    </row>
    <row r="278" spans="3:28" ht="20.100000000000001" customHeight="1" x14ac:dyDescent="0.25">
      <c r="C278" s="60"/>
      <c r="D278" s="60"/>
      <c r="E278" s="44"/>
      <c r="F278" s="44"/>
      <c r="G278" s="44"/>
      <c r="H278" s="44"/>
      <c r="I278" s="44"/>
      <c r="J278" s="44"/>
      <c r="K278" s="44"/>
      <c r="L278" s="44"/>
      <c r="M278" s="63"/>
      <c r="N278" s="44"/>
      <c r="O278" s="63"/>
      <c r="P278" s="44"/>
      <c r="Q278" s="72"/>
      <c r="R278" s="72"/>
      <c r="S278" s="72"/>
      <c r="T278" s="72"/>
      <c r="U278" s="73"/>
      <c r="V278" s="73"/>
      <c r="W278" s="74"/>
      <c r="X278" s="46"/>
      <c r="Y278" s="46"/>
      <c r="Z278" s="44"/>
      <c r="AA278" s="44"/>
      <c r="AB278" s="47"/>
    </row>
    <row r="279" spans="3:28" ht="20.100000000000001" customHeight="1" x14ac:dyDescent="0.25">
      <c r="C279" s="60"/>
      <c r="D279" s="60"/>
      <c r="E279" s="44"/>
      <c r="F279" s="44"/>
      <c r="G279" s="44"/>
      <c r="H279" s="44"/>
      <c r="I279" s="44"/>
      <c r="J279" s="44"/>
      <c r="K279" s="44"/>
      <c r="L279" s="44"/>
      <c r="M279" s="63"/>
      <c r="N279" s="44"/>
      <c r="O279" s="63"/>
      <c r="P279" s="44"/>
      <c r="Q279" s="72"/>
      <c r="R279" s="72"/>
      <c r="S279" s="72"/>
      <c r="T279" s="72"/>
      <c r="U279" s="73"/>
      <c r="V279" s="73"/>
      <c r="W279" s="74"/>
      <c r="X279" s="46"/>
      <c r="Y279" s="46"/>
      <c r="Z279" s="44"/>
      <c r="AA279" s="44"/>
      <c r="AB279" s="47"/>
    </row>
    <row r="280" spans="3:28" ht="20.100000000000001" customHeight="1" x14ac:dyDescent="0.25">
      <c r="C280" s="60"/>
      <c r="D280" s="60"/>
      <c r="E280" s="44"/>
      <c r="F280" s="44"/>
      <c r="G280" s="44"/>
      <c r="H280" s="44"/>
      <c r="I280" s="44"/>
      <c r="J280" s="44"/>
      <c r="K280" s="44"/>
      <c r="L280" s="44"/>
      <c r="M280" s="63"/>
      <c r="N280" s="44"/>
      <c r="O280" s="63"/>
      <c r="P280" s="44"/>
      <c r="Q280" s="72"/>
      <c r="R280" s="72"/>
      <c r="S280" s="72"/>
      <c r="T280" s="72"/>
      <c r="U280" s="73"/>
      <c r="V280" s="73"/>
      <c r="W280" s="74"/>
      <c r="X280" s="46"/>
      <c r="Y280" s="46"/>
      <c r="Z280" s="44"/>
      <c r="AA280" s="44"/>
      <c r="AB280" s="47"/>
    </row>
    <row r="281" spans="3:28" ht="20.100000000000001" customHeight="1" x14ac:dyDescent="0.25">
      <c r="C281" s="60"/>
      <c r="D281" s="60"/>
      <c r="E281" s="44"/>
      <c r="F281" s="44"/>
      <c r="G281" s="44"/>
      <c r="H281" s="44"/>
      <c r="I281" s="44"/>
      <c r="J281" s="44"/>
      <c r="K281" s="44"/>
      <c r="L281" s="44"/>
      <c r="M281" s="63"/>
      <c r="N281" s="44"/>
      <c r="O281" s="63"/>
      <c r="P281" s="44"/>
      <c r="Q281" s="72"/>
      <c r="R281" s="72"/>
      <c r="S281" s="72"/>
      <c r="T281" s="72"/>
      <c r="U281" s="73"/>
      <c r="V281" s="73"/>
      <c r="W281" s="74"/>
      <c r="X281" s="46"/>
      <c r="Y281" s="46"/>
      <c r="Z281" s="44"/>
      <c r="AA281" s="44"/>
      <c r="AB281" s="47"/>
    </row>
    <row r="282" spans="3:28" ht="20.100000000000001" customHeight="1" x14ac:dyDescent="0.25">
      <c r="C282" s="60"/>
      <c r="D282" s="60"/>
      <c r="E282" s="44"/>
      <c r="F282" s="44"/>
      <c r="G282" s="44"/>
      <c r="H282" s="44"/>
      <c r="I282" s="44"/>
      <c r="J282" s="44"/>
      <c r="K282" s="44"/>
      <c r="L282" s="44"/>
      <c r="M282" s="63"/>
      <c r="N282" s="44"/>
      <c r="O282" s="63"/>
      <c r="P282" s="44"/>
      <c r="Q282" s="72"/>
      <c r="R282" s="72"/>
      <c r="S282" s="72"/>
      <c r="T282" s="72"/>
      <c r="U282" s="73"/>
      <c r="V282" s="73"/>
      <c r="W282" s="74"/>
      <c r="X282" s="46"/>
      <c r="Y282" s="46"/>
      <c r="Z282" s="44"/>
      <c r="AA282" s="44"/>
      <c r="AB282" s="47"/>
    </row>
    <row r="283" spans="3:28" ht="20.100000000000001" customHeight="1" x14ac:dyDescent="0.25">
      <c r="C283" s="60"/>
      <c r="D283" s="60"/>
      <c r="E283" s="44"/>
      <c r="F283" s="44"/>
      <c r="G283" s="44"/>
      <c r="H283" s="44"/>
      <c r="I283" s="44"/>
      <c r="J283" s="44"/>
      <c r="K283" s="44"/>
      <c r="L283" s="44"/>
      <c r="M283" s="63"/>
      <c r="N283" s="44"/>
      <c r="O283" s="63"/>
      <c r="P283" s="44"/>
      <c r="Q283" s="72"/>
      <c r="R283" s="72"/>
      <c r="S283" s="72"/>
      <c r="T283" s="72"/>
      <c r="U283" s="73"/>
      <c r="V283" s="73"/>
      <c r="W283" s="74"/>
      <c r="X283" s="46"/>
      <c r="Y283" s="46"/>
      <c r="Z283" s="44"/>
      <c r="AA283" s="44"/>
      <c r="AB283" s="47"/>
    </row>
    <row r="284" spans="3:28" ht="20.100000000000001" customHeight="1" x14ac:dyDescent="0.25">
      <c r="C284" s="60"/>
      <c r="D284" s="60"/>
      <c r="E284" s="44"/>
      <c r="F284" s="44"/>
      <c r="G284" s="44"/>
      <c r="H284" s="44"/>
      <c r="I284" s="44"/>
      <c r="J284" s="44"/>
      <c r="K284" s="44"/>
      <c r="L284" s="44"/>
      <c r="M284" s="63"/>
      <c r="N284" s="44"/>
      <c r="O284" s="63"/>
      <c r="P284" s="44"/>
      <c r="Q284" s="72"/>
      <c r="R284" s="72"/>
      <c r="S284" s="72"/>
      <c r="T284" s="72"/>
      <c r="U284" s="73"/>
      <c r="V284" s="73"/>
      <c r="W284" s="74"/>
      <c r="X284" s="46"/>
      <c r="Y284" s="46"/>
      <c r="Z284" s="44"/>
      <c r="AA284" s="44"/>
      <c r="AB284" s="47"/>
    </row>
    <row r="285" spans="3:28" ht="20.100000000000001" customHeight="1" x14ac:dyDescent="0.25">
      <c r="C285" s="60"/>
      <c r="D285" s="60"/>
      <c r="E285" s="44"/>
      <c r="F285" s="44"/>
      <c r="G285" s="44"/>
      <c r="H285" s="44"/>
      <c r="I285" s="44"/>
      <c r="J285" s="44"/>
      <c r="K285" s="44"/>
      <c r="L285" s="44"/>
      <c r="M285" s="63"/>
      <c r="N285" s="44"/>
      <c r="O285" s="63"/>
      <c r="P285" s="44"/>
      <c r="Q285" s="72"/>
      <c r="R285" s="72"/>
      <c r="S285" s="72"/>
      <c r="T285" s="72"/>
      <c r="U285" s="73"/>
      <c r="V285" s="73"/>
      <c r="W285" s="74"/>
      <c r="X285" s="46"/>
      <c r="Y285" s="46"/>
      <c r="Z285" s="44"/>
      <c r="AA285" s="44"/>
      <c r="AB285" s="47"/>
    </row>
    <row r="286" spans="3:28" ht="20.100000000000001" customHeight="1" x14ac:dyDescent="0.25">
      <c r="C286" s="60"/>
      <c r="D286" s="60"/>
      <c r="E286" s="44"/>
      <c r="F286" s="44"/>
      <c r="G286" s="44"/>
      <c r="H286" s="44"/>
      <c r="I286" s="44"/>
      <c r="J286" s="44"/>
      <c r="K286" s="44"/>
      <c r="L286" s="44"/>
      <c r="M286" s="63"/>
      <c r="N286" s="44"/>
      <c r="O286" s="63"/>
      <c r="P286" s="44"/>
      <c r="Q286" s="72"/>
      <c r="R286" s="72"/>
      <c r="S286" s="72"/>
      <c r="T286" s="72"/>
      <c r="U286" s="73"/>
      <c r="V286" s="73"/>
      <c r="W286" s="74"/>
      <c r="X286" s="46"/>
      <c r="Y286" s="46"/>
      <c r="Z286" s="44"/>
      <c r="AA286" s="44"/>
      <c r="AB286" s="47"/>
    </row>
    <row r="287" spans="3:28" ht="20.100000000000001" customHeight="1" x14ac:dyDescent="0.25">
      <c r="C287" s="60"/>
      <c r="D287" s="60"/>
      <c r="E287" s="44"/>
      <c r="F287" s="44"/>
      <c r="G287" s="44"/>
      <c r="H287" s="44"/>
      <c r="I287" s="44"/>
      <c r="J287" s="44"/>
      <c r="K287" s="44"/>
      <c r="L287" s="44"/>
      <c r="M287" s="63"/>
      <c r="N287" s="44"/>
      <c r="O287" s="63"/>
      <c r="P287" s="44"/>
      <c r="Q287" s="72"/>
      <c r="R287" s="72"/>
      <c r="S287" s="72"/>
      <c r="T287" s="72"/>
      <c r="U287" s="73"/>
      <c r="V287" s="73"/>
      <c r="W287" s="74"/>
      <c r="X287" s="46"/>
      <c r="Y287" s="46"/>
      <c r="Z287" s="44"/>
      <c r="AA287" s="44"/>
      <c r="AB287" s="47"/>
    </row>
    <row r="288" spans="3:28" ht="20.100000000000001" customHeight="1" x14ac:dyDescent="0.25">
      <c r="C288" s="60"/>
      <c r="D288" s="60"/>
      <c r="E288" s="44"/>
      <c r="F288" s="44"/>
      <c r="G288" s="44"/>
      <c r="H288" s="44"/>
      <c r="I288" s="44"/>
      <c r="J288" s="44"/>
      <c r="K288" s="44"/>
      <c r="L288" s="44"/>
      <c r="M288" s="63"/>
      <c r="N288" s="44"/>
      <c r="O288" s="63"/>
      <c r="P288" s="44"/>
      <c r="Q288" s="72"/>
      <c r="R288" s="72"/>
      <c r="S288" s="72"/>
      <c r="T288" s="72"/>
      <c r="U288" s="73"/>
      <c r="V288" s="73"/>
      <c r="W288" s="74"/>
      <c r="X288" s="46"/>
      <c r="Y288" s="46"/>
      <c r="Z288" s="44"/>
      <c r="AA288" s="44"/>
      <c r="AB288" s="47"/>
    </row>
    <row r="289" spans="3:28" ht="20.100000000000001" customHeight="1" x14ac:dyDescent="0.25">
      <c r="C289" s="60"/>
      <c r="D289" s="60"/>
      <c r="E289" s="44"/>
      <c r="F289" s="44"/>
      <c r="G289" s="44"/>
      <c r="H289" s="44"/>
      <c r="I289" s="44"/>
      <c r="J289" s="44"/>
      <c r="K289" s="44"/>
      <c r="L289" s="44"/>
      <c r="M289" s="63"/>
      <c r="N289" s="44"/>
      <c r="O289" s="63"/>
      <c r="P289" s="44"/>
      <c r="Q289" s="72"/>
      <c r="R289" s="72"/>
      <c r="S289" s="72"/>
      <c r="T289" s="72"/>
      <c r="U289" s="73"/>
      <c r="V289" s="73"/>
      <c r="W289" s="74"/>
      <c r="X289" s="46"/>
      <c r="Y289" s="46"/>
      <c r="Z289" s="44"/>
      <c r="AA289" s="44"/>
      <c r="AB289" s="47"/>
    </row>
    <row r="290" spans="3:28" ht="20.100000000000001" customHeight="1" x14ac:dyDescent="0.25">
      <c r="C290" s="60"/>
      <c r="D290" s="60"/>
      <c r="E290" s="44"/>
      <c r="F290" s="44"/>
      <c r="G290" s="44"/>
      <c r="H290" s="44"/>
      <c r="I290" s="44"/>
      <c r="J290" s="44"/>
      <c r="K290" s="44"/>
      <c r="L290" s="44"/>
      <c r="M290" s="63"/>
      <c r="N290" s="44"/>
      <c r="O290" s="63"/>
      <c r="P290" s="44"/>
      <c r="Q290" s="72"/>
      <c r="R290" s="72"/>
      <c r="S290" s="72"/>
      <c r="T290" s="72"/>
      <c r="U290" s="73"/>
      <c r="V290" s="73"/>
      <c r="W290" s="74"/>
      <c r="X290" s="46"/>
      <c r="Y290" s="46"/>
      <c r="Z290" s="44"/>
      <c r="AA290" s="44"/>
      <c r="AB290" s="47"/>
    </row>
    <row r="291" spans="3:28" ht="20.100000000000001" customHeight="1" x14ac:dyDescent="0.25">
      <c r="C291" s="60"/>
      <c r="D291" s="60"/>
      <c r="E291" s="44"/>
      <c r="F291" s="44"/>
      <c r="G291" s="44"/>
      <c r="H291" s="44"/>
      <c r="I291" s="44"/>
      <c r="J291" s="44"/>
      <c r="K291" s="44"/>
      <c r="L291" s="44"/>
      <c r="M291" s="63"/>
      <c r="N291" s="44"/>
      <c r="O291" s="63"/>
      <c r="P291" s="44"/>
      <c r="Q291" s="72"/>
      <c r="R291" s="72"/>
      <c r="S291" s="72"/>
      <c r="T291" s="72"/>
      <c r="U291" s="73"/>
      <c r="V291" s="73"/>
      <c r="W291" s="74"/>
      <c r="X291" s="46"/>
      <c r="Y291" s="46"/>
      <c r="Z291" s="44"/>
      <c r="AA291" s="44"/>
      <c r="AB291" s="47"/>
    </row>
    <row r="292" spans="3:28" ht="20.100000000000001" customHeight="1" x14ac:dyDescent="0.25">
      <c r="C292" s="60"/>
      <c r="D292" s="60"/>
      <c r="E292" s="44"/>
      <c r="F292" s="44"/>
      <c r="G292" s="44"/>
      <c r="H292" s="44"/>
      <c r="I292" s="44"/>
      <c r="J292" s="44"/>
      <c r="K292" s="44"/>
      <c r="L292" s="44"/>
      <c r="M292" s="63"/>
      <c r="N292" s="44"/>
      <c r="O292" s="63"/>
      <c r="P292" s="44"/>
      <c r="Q292" s="72"/>
      <c r="R292" s="72"/>
      <c r="S292" s="72"/>
      <c r="T292" s="72"/>
      <c r="U292" s="73"/>
      <c r="V292" s="73"/>
      <c r="W292" s="74"/>
      <c r="X292" s="46"/>
      <c r="Y292" s="46"/>
      <c r="Z292" s="44"/>
      <c r="AA292" s="44"/>
      <c r="AB292" s="47"/>
    </row>
    <row r="293" spans="3:28" ht="20.100000000000001" customHeight="1" x14ac:dyDescent="0.25">
      <c r="C293" s="60"/>
      <c r="D293" s="60"/>
      <c r="E293" s="44"/>
      <c r="F293" s="44"/>
      <c r="G293" s="44"/>
      <c r="H293" s="44"/>
      <c r="I293" s="44"/>
      <c r="J293" s="44"/>
      <c r="K293" s="44"/>
      <c r="L293" s="44"/>
      <c r="M293" s="63"/>
      <c r="N293" s="44"/>
      <c r="O293" s="63"/>
      <c r="P293" s="44"/>
      <c r="Q293" s="72"/>
      <c r="R293" s="72"/>
      <c r="S293" s="72"/>
      <c r="T293" s="72"/>
      <c r="U293" s="73"/>
      <c r="V293" s="73"/>
      <c r="W293" s="74"/>
      <c r="X293" s="46"/>
      <c r="Y293" s="46"/>
      <c r="Z293" s="44"/>
      <c r="AA293" s="44"/>
      <c r="AB293" s="47"/>
    </row>
    <row r="294" spans="3:28" ht="20.100000000000001" customHeight="1" x14ac:dyDescent="0.25">
      <c r="C294" s="60"/>
      <c r="D294" s="60"/>
      <c r="E294" s="44"/>
      <c r="F294" s="44"/>
      <c r="G294" s="44"/>
      <c r="H294" s="44"/>
      <c r="I294" s="44"/>
      <c r="J294" s="44"/>
      <c r="K294" s="44"/>
      <c r="L294" s="44"/>
      <c r="M294" s="63"/>
      <c r="N294" s="44"/>
      <c r="O294" s="63"/>
      <c r="P294" s="44"/>
      <c r="Q294" s="72"/>
      <c r="R294" s="72"/>
      <c r="S294" s="72"/>
      <c r="T294" s="72"/>
      <c r="U294" s="73"/>
      <c r="V294" s="73"/>
      <c r="W294" s="74"/>
      <c r="X294" s="46"/>
      <c r="Y294" s="46"/>
      <c r="Z294" s="44"/>
      <c r="AA294" s="44"/>
      <c r="AB294" s="47"/>
    </row>
    <row r="295" spans="3:28" ht="20.100000000000001" customHeight="1" x14ac:dyDescent="0.25">
      <c r="C295" s="60"/>
      <c r="D295" s="60"/>
      <c r="E295" s="44"/>
      <c r="F295" s="44"/>
      <c r="G295" s="44"/>
      <c r="H295" s="44"/>
      <c r="I295" s="44"/>
      <c r="J295" s="44"/>
      <c r="K295" s="44"/>
      <c r="L295" s="44"/>
      <c r="M295" s="63"/>
      <c r="N295" s="44"/>
      <c r="O295" s="63"/>
      <c r="P295" s="44"/>
      <c r="Q295" s="72"/>
      <c r="R295" s="72"/>
      <c r="S295" s="72"/>
      <c r="T295" s="72"/>
      <c r="U295" s="73"/>
      <c r="V295" s="73"/>
      <c r="W295" s="74"/>
      <c r="X295" s="46"/>
      <c r="Y295" s="46"/>
      <c r="Z295" s="44"/>
      <c r="AA295" s="44"/>
      <c r="AB295" s="47"/>
    </row>
    <row r="296" spans="3:28" ht="20.100000000000001" customHeight="1" x14ac:dyDescent="0.25">
      <c r="C296" s="60"/>
      <c r="D296" s="60"/>
      <c r="E296" s="44"/>
      <c r="F296" s="44"/>
      <c r="G296" s="44"/>
      <c r="H296" s="44"/>
      <c r="I296" s="44"/>
      <c r="J296" s="44"/>
      <c r="K296" s="44"/>
      <c r="L296" s="44"/>
      <c r="M296" s="63"/>
      <c r="N296" s="44"/>
      <c r="O296" s="63"/>
      <c r="P296" s="44"/>
      <c r="Q296" s="72"/>
      <c r="R296" s="72"/>
      <c r="S296" s="72"/>
      <c r="T296" s="72"/>
      <c r="U296" s="73"/>
      <c r="V296" s="73"/>
      <c r="W296" s="74"/>
      <c r="X296" s="46"/>
      <c r="Y296" s="46"/>
      <c r="Z296" s="44"/>
      <c r="AA296" s="44"/>
      <c r="AB296" s="47"/>
    </row>
    <row r="297" spans="3:28" ht="20.100000000000001" customHeight="1" x14ac:dyDescent="0.25">
      <c r="C297" s="60"/>
      <c r="D297" s="60"/>
      <c r="E297" s="44"/>
      <c r="F297" s="44"/>
      <c r="G297" s="44"/>
      <c r="H297" s="44"/>
      <c r="I297" s="44"/>
      <c r="J297" s="44"/>
      <c r="K297" s="44"/>
      <c r="L297" s="44"/>
      <c r="M297" s="63"/>
      <c r="N297" s="44"/>
      <c r="O297" s="63"/>
      <c r="P297" s="44"/>
      <c r="Q297" s="72"/>
      <c r="R297" s="72"/>
      <c r="S297" s="72"/>
      <c r="T297" s="72"/>
      <c r="U297" s="73"/>
      <c r="V297" s="73"/>
      <c r="W297" s="74"/>
      <c r="X297" s="46"/>
      <c r="Y297" s="46"/>
      <c r="Z297" s="44"/>
      <c r="AA297" s="44"/>
      <c r="AB297" s="47"/>
    </row>
    <row r="298" spans="3:28" ht="20.100000000000001" customHeight="1" x14ac:dyDescent="0.25">
      <c r="C298" s="60"/>
      <c r="D298" s="60"/>
      <c r="E298" s="44"/>
      <c r="F298" s="44"/>
      <c r="G298" s="44"/>
      <c r="H298" s="44"/>
      <c r="I298" s="44"/>
      <c r="J298" s="44"/>
      <c r="K298" s="44"/>
      <c r="L298" s="44"/>
      <c r="M298" s="63"/>
      <c r="N298" s="44"/>
      <c r="O298" s="63"/>
      <c r="P298" s="44"/>
      <c r="Q298" s="72"/>
      <c r="R298" s="72"/>
      <c r="S298" s="72"/>
      <c r="T298" s="72"/>
      <c r="U298" s="73"/>
      <c r="V298" s="73"/>
      <c r="W298" s="74"/>
      <c r="X298" s="46"/>
      <c r="Y298" s="46"/>
      <c r="Z298" s="44"/>
      <c r="AA298" s="44"/>
      <c r="AB298" s="47"/>
    </row>
    <row r="299" spans="3:28" ht="20.100000000000001" customHeight="1" x14ac:dyDescent="0.25">
      <c r="C299" s="60"/>
      <c r="D299" s="60"/>
      <c r="E299" s="44"/>
      <c r="F299" s="44"/>
      <c r="G299" s="44"/>
      <c r="H299" s="44"/>
      <c r="I299" s="44"/>
      <c r="J299" s="44"/>
      <c r="K299" s="44"/>
      <c r="L299" s="44"/>
      <c r="M299" s="63"/>
      <c r="N299" s="44"/>
      <c r="O299" s="63"/>
      <c r="P299" s="44"/>
      <c r="Q299" s="72"/>
      <c r="R299" s="72"/>
      <c r="S299" s="72"/>
      <c r="T299" s="72"/>
      <c r="U299" s="73"/>
      <c r="V299" s="73"/>
      <c r="W299" s="74"/>
      <c r="X299" s="46"/>
      <c r="Y299" s="46"/>
      <c r="Z299" s="44"/>
      <c r="AA299" s="44"/>
      <c r="AB299" s="47"/>
    </row>
    <row r="300" spans="3:28" ht="20.100000000000001" customHeight="1" x14ac:dyDescent="0.25">
      <c r="C300" s="60"/>
      <c r="D300" s="60"/>
      <c r="E300" s="44"/>
      <c r="F300" s="44"/>
      <c r="G300" s="44"/>
      <c r="H300" s="44"/>
      <c r="I300" s="44"/>
      <c r="J300" s="44"/>
      <c r="K300" s="44"/>
      <c r="L300" s="44"/>
      <c r="M300" s="63"/>
      <c r="N300" s="44"/>
      <c r="O300" s="63"/>
      <c r="P300" s="44"/>
      <c r="Q300" s="72"/>
      <c r="R300" s="72"/>
      <c r="S300" s="72"/>
      <c r="T300" s="72"/>
      <c r="U300" s="73"/>
      <c r="V300" s="73"/>
      <c r="W300" s="74"/>
      <c r="X300" s="46"/>
      <c r="Y300" s="46"/>
      <c r="Z300" s="44"/>
      <c r="AA300" s="44"/>
      <c r="AB300" s="47"/>
    </row>
    <row r="301" spans="3:28" ht="20.100000000000001" customHeight="1" x14ac:dyDescent="0.25">
      <c r="C301" s="60"/>
      <c r="D301" s="60"/>
      <c r="E301" s="44"/>
      <c r="F301" s="44"/>
      <c r="G301" s="44"/>
      <c r="H301" s="44"/>
      <c r="I301" s="44"/>
      <c r="J301" s="44"/>
      <c r="K301" s="44"/>
      <c r="L301" s="44"/>
      <c r="M301" s="63"/>
      <c r="N301" s="44"/>
      <c r="O301" s="63"/>
      <c r="P301" s="44"/>
      <c r="Q301" s="72"/>
      <c r="R301" s="72"/>
      <c r="S301" s="72"/>
      <c r="T301" s="72"/>
      <c r="U301" s="73"/>
      <c r="V301" s="73"/>
      <c r="W301" s="74"/>
      <c r="X301" s="46"/>
      <c r="Y301" s="46"/>
      <c r="Z301" s="44"/>
      <c r="AA301" s="44"/>
      <c r="AB301" s="47"/>
    </row>
    <row r="302" spans="3:28" ht="20.100000000000001" customHeight="1" x14ac:dyDescent="0.25">
      <c r="C302" s="60"/>
      <c r="D302" s="60"/>
      <c r="E302" s="44"/>
      <c r="F302" s="44"/>
      <c r="G302" s="44"/>
      <c r="H302" s="44"/>
      <c r="I302" s="44"/>
      <c r="J302" s="44"/>
      <c r="K302" s="44"/>
      <c r="L302" s="44"/>
      <c r="M302" s="63"/>
      <c r="N302" s="44"/>
      <c r="O302" s="63"/>
      <c r="P302" s="44"/>
      <c r="Q302" s="72"/>
      <c r="R302" s="72"/>
      <c r="S302" s="72"/>
      <c r="T302" s="72"/>
      <c r="U302" s="73"/>
      <c r="V302" s="73"/>
      <c r="W302" s="74"/>
      <c r="X302" s="46"/>
      <c r="Y302" s="46"/>
      <c r="Z302" s="44"/>
      <c r="AA302" s="44"/>
      <c r="AB302" s="47"/>
    </row>
    <row r="303" spans="3:28" ht="20.100000000000001" customHeight="1" x14ac:dyDescent="0.25">
      <c r="C303" s="60"/>
      <c r="D303" s="60"/>
      <c r="E303" s="44"/>
      <c r="F303" s="44"/>
      <c r="G303" s="44"/>
      <c r="H303" s="44"/>
      <c r="I303" s="44"/>
      <c r="J303" s="44"/>
      <c r="K303" s="44"/>
      <c r="L303" s="44"/>
      <c r="M303" s="63"/>
      <c r="N303" s="44"/>
      <c r="O303" s="63"/>
      <c r="P303" s="44"/>
      <c r="Q303" s="72"/>
      <c r="R303" s="72"/>
      <c r="S303" s="72"/>
      <c r="T303" s="72"/>
      <c r="U303" s="73"/>
      <c r="V303" s="73"/>
      <c r="W303" s="74"/>
      <c r="X303" s="46"/>
      <c r="Y303" s="46"/>
      <c r="Z303" s="44"/>
      <c r="AA303" s="44"/>
      <c r="AB303" s="47"/>
    </row>
    <row r="304" spans="3:28" ht="20.100000000000001" customHeight="1" x14ac:dyDescent="0.25">
      <c r="C304" s="60"/>
      <c r="D304" s="60"/>
      <c r="E304" s="44"/>
      <c r="F304" s="44"/>
      <c r="G304" s="44"/>
      <c r="H304" s="44"/>
      <c r="I304" s="44"/>
      <c r="J304" s="44"/>
      <c r="K304" s="44"/>
      <c r="L304" s="44"/>
      <c r="M304" s="63"/>
      <c r="N304" s="44"/>
      <c r="O304" s="63"/>
      <c r="P304" s="44"/>
      <c r="Q304" s="72"/>
      <c r="R304" s="72"/>
      <c r="S304" s="72"/>
      <c r="T304" s="72"/>
      <c r="U304" s="73"/>
      <c r="V304" s="73"/>
      <c r="W304" s="74"/>
      <c r="X304" s="46"/>
      <c r="Y304" s="46"/>
      <c r="Z304" s="44"/>
      <c r="AA304" s="44"/>
      <c r="AB304" s="47"/>
    </row>
    <row r="305" spans="3:28" ht="20.100000000000001" customHeight="1" x14ac:dyDescent="0.25">
      <c r="C305" s="60"/>
      <c r="D305" s="60"/>
      <c r="E305" s="44"/>
      <c r="F305" s="44"/>
      <c r="G305" s="44"/>
      <c r="H305" s="44"/>
      <c r="I305" s="44"/>
      <c r="J305" s="44"/>
      <c r="K305" s="44"/>
      <c r="L305" s="44"/>
      <c r="M305" s="63"/>
      <c r="N305" s="44"/>
      <c r="O305" s="63"/>
      <c r="P305" s="44"/>
      <c r="Q305" s="72"/>
      <c r="R305" s="72"/>
      <c r="S305" s="72"/>
      <c r="T305" s="72"/>
      <c r="U305" s="73"/>
      <c r="V305" s="73"/>
      <c r="W305" s="74"/>
      <c r="X305" s="46"/>
      <c r="Y305" s="46"/>
      <c r="Z305" s="44"/>
      <c r="AA305" s="44"/>
      <c r="AB305" s="47"/>
    </row>
    <row r="306" spans="3:28" ht="20.100000000000001" customHeight="1" x14ac:dyDescent="0.25">
      <c r="C306" s="60"/>
      <c r="D306" s="60"/>
      <c r="E306" s="44"/>
      <c r="F306" s="44"/>
      <c r="G306" s="44"/>
      <c r="H306" s="44"/>
      <c r="I306" s="44"/>
      <c r="J306" s="44"/>
      <c r="K306" s="44"/>
      <c r="L306" s="44"/>
      <c r="M306" s="63"/>
      <c r="N306" s="44"/>
      <c r="O306" s="63"/>
      <c r="P306" s="44"/>
      <c r="Q306" s="72"/>
      <c r="R306" s="72"/>
      <c r="S306" s="72"/>
      <c r="T306" s="72"/>
      <c r="U306" s="73"/>
      <c r="V306" s="73"/>
      <c r="W306" s="74"/>
      <c r="X306" s="46"/>
      <c r="Y306" s="46"/>
      <c r="Z306" s="44"/>
      <c r="AA306" s="44"/>
      <c r="AB306" s="47"/>
    </row>
    <row r="307" spans="3:28" ht="20.100000000000001" customHeight="1" x14ac:dyDescent="0.25">
      <c r="C307" s="60"/>
      <c r="D307" s="60"/>
      <c r="E307" s="44"/>
      <c r="F307" s="44"/>
      <c r="G307" s="44"/>
      <c r="H307" s="44"/>
      <c r="I307" s="44"/>
      <c r="J307" s="44"/>
      <c r="K307" s="44"/>
      <c r="L307" s="44"/>
      <c r="M307" s="63"/>
      <c r="N307" s="44"/>
      <c r="O307" s="63"/>
      <c r="P307" s="44"/>
      <c r="Q307" s="72"/>
      <c r="R307" s="72"/>
      <c r="S307" s="72"/>
      <c r="T307" s="72"/>
      <c r="U307" s="73"/>
      <c r="V307" s="73"/>
      <c r="W307" s="74"/>
      <c r="X307" s="46"/>
      <c r="Y307" s="46"/>
      <c r="Z307" s="44"/>
      <c r="AA307" s="44"/>
      <c r="AB307" s="47"/>
    </row>
    <row r="308" spans="3:28" ht="20.100000000000001" customHeight="1" x14ac:dyDescent="0.25">
      <c r="C308" s="60"/>
      <c r="D308" s="60"/>
      <c r="E308" s="44"/>
      <c r="F308" s="44"/>
      <c r="G308" s="44"/>
      <c r="H308" s="44"/>
      <c r="I308" s="44"/>
      <c r="J308" s="44"/>
      <c r="K308" s="44"/>
      <c r="L308" s="44"/>
      <c r="M308" s="63"/>
      <c r="N308" s="44"/>
      <c r="O308" s="63"/>
      <c r="P308" s="44"/>
      <c r="Q308" s="72"/>
      <c r="R308" s="72"/>
      <c r="S308" s="72"/>
      <c r="T308" s="72"/>
      <c r="U308" s="73"/>
      <c r="V308" s="73"/>
      <c r="W308" s="74"/>
      <c r="X308" s="46"/>
      <c r="Y308" s="46"/>
      <c r="Z308" s="44"/>
      <c r="AA308" s="44"/>
      <c r="AB308" s="47"/>
    </row>
    <row r="309" spans="3:28" ht="20.100000000000001" customHeight="1" x14ac:dyDescent="0.25">
      <c r="C309" s="60"/>
      <c r="D309" s="60"/>
      <c r="E309" s="44"/>
      <c r="F309" s="44"/>
      <c r="G309" s="44"/>
      <c r="H309" s="44"/>
      <c r="I309" s="44"/>
      <c r="J309" s="44"/>
      <c r="K309" s="44"/>
      <c r="L309" s="44"/>
      <c r="M309" s="63"/>
      <c r="N309" s="44"/>
      <c r="O309" s="63"/>
      <c r="P309" s="44"/>
      <c r="Q309" s="72"/>
      <c r="R309" s="72"/>
      <c r="S309" s="72"/>
      <c r="T309" s="72"/>
      <c r="U309" s="73"/>
      <c r="V309" s="73"/>
      <c r="W309" s="74"/>
      <c r="X309" s="46"/>
      <c r="Y309" s="46"/>
      <c r="Z309" s="44"/>
      <c r="AA309" s="44"/>
      <c r="AB309" s="47"/>
    </row>
    <row r="310" spans="3:28" ht="20.100000000000001" customHeight="1" x14ac:dyDescent="0.25">
      <c r="C310" s="60"/>
      <c r="D310" s="60"/>
      <c r="E310" s="44"/>
      <c r="F310" s="44"/>
      <c r="G310" s="44"/>
      <c r="H310" s="44"/>
      <c r="I310" s="44"/>
      <c r="J310" s="44"/>
      <c r="K310" s="44"/>
      <c r="L310" s="44"/>
      <c r="M310" s="63"/>
      <c r="N310" s="44"/>
      <c r="O310" s="63"/>
      <c r="P310" s="44"/>
      <c r="Q310" s="72"/>
      <c r="R310" s="72"/>
      <c r="S310" s="72"/>
      <c r="T310" s="72"/>
      <c r="U310" s="73"/>
      <c r="V310" s="73"/>
      <c r="W310" s="74"/>
      <c r="X310" s="46"/>
      <c r="Y310" s="46"/>
      <c r="Z310" s="44"/>
      <c r="AA310" s="44"/>
      <c r="AB310" s="47"/>
    </row>
    <row r="311" spans="3:28" ht="20.100000000000001" customHeight="1" x14ac:dyDescent="0.25">
      <c r="C311" s="60"/>
      <c r="D311" s="60"/>
      <c r="E311" s="44"/>
      <c r="F311" s="44"/>
      <c r="G311" s="44"/>
      <c r="H311" s="44"/>
      <c r="I311" s="44"/>
      <c r="J311" s="44"/>
      <c r="K311" s="44"/>
      <c r="L311" s="44"/>
      <c r="M311" s="63"/>
      <c r="N311" s="44"/>
      <c r="O311" s="63"/>
      <c r="P311" s="44"/>
      <c r="Q311" s="72"/>
      <c r="R311" s="72"/>
      <c r="S311" s="72"/>
      <c r="T311" s="72"/>
      <c r="U311" s="73"/>
      <c r="V311" s="73"/>
      <c r="W311" s="74"/>
      <c r="X311" s="46"/>
      <c r="Y311" s="46"/>
      <c r="Z311" s="44"/>
      <c r="AA311" s="44"/>
      <c r="AB311" s="47"/>
    </row>
    <row r="312" spans="3:28" ht="20.100000000000001" customHeight="1" x14ac:dyDescent="0.25">
      <c r="C312" s="60"/>
      <c r="D312" s="60"/>
      <c r="E312" s="44"/>
      <c r="F312" s="44"/>
      <c r="G312" s="44"/>
      <c r="H312" s="44"/>
      <c r="I312" s="44"/>
      <c r="J312" s="44"/>
      <c r="K312" s="44"/>
      <c r="L312" s="44"/>
      <c r="M312" s="63"/>
      <c r="N312" s="44"/>
      <c r="O312" s="63"/>
      <c r="P312" s="44"/>
      <c r="Q312" s="72"/>
      <c r="R312" s="72"/>
      <c r="S312" s="72"/>
      <c r="T312" s="72"/>
      <c r="U312" s="73"/>
      <c r="V312" s="73"/>
      <c r="W312" s="74"/>
      <c r="X312" s="46"/>
      <c r="Y312" s="46"/>
      <c r="Z312" s="44"/>
      <c r="AA312" s="44"/>
      <c r="AB312" s="47"/>
    </row>
    <row r="313" spans="3:28" ht="20.100000000000001" customHeight="1" x14ac:dyDescent="0.25">
      <c r="C313" s="60"/>
      <c r="D313" s="60"/>
      <c r="E313" s="44"/>
      <c r="F313" s="44"/>
      <c r="G313" s="44"/>
      <c r="H313" s="44"/>
      <c r="I313" s="44"/>
      <c r="J313" s="44"/>
      <c r="K313" s="44"/>
      <c r="L313" s="44"/>
      <c r="M313" s="63"/>
      <c r="N313" s="44"/>
      <c r="O313" s="63"/>
      <c r="P313" s="44"/>
      <c r="Q313" s="72"/>
      <c r="R313" s="72"/>
      <c r="S313" s="72"/>
      <c r="T313" s="72"/>
      <c r="U313" s="73"/>
      <c r="V313" s="73"/>
      <c r="W313" s="74"/>
      <c r="X313" s="46"/>
      <c r="Y313" s="46"/>
      <c r="Z313" s="44"/>
      <c r="AA313" s="44"/>
      <c r="AB313" s="47"/>
    </row>
    <row r="314" spans="3:28" ht="20.100000000000001" customHeight="1" x14ac:dyDescent="0.25">
      <c r="C314" s="60"/>
      <c r="D314" s="60"/>
      <c r="E314" s="44"/>
      <c r="F314" s="44"/>
      <c r="G314" s="44"/>
      <c r="H314" s="44"/>
      <c r="I314" s="44"/>
      <c r="J314" s="44"/>
      <c r="K314" s="44"/>
      <c r="L314" s="44"/>
      <c r="M314" s="63"/>
      <c r="N314" s="44"/>
      <c r="O314" s="63"/>
      <c r="P314" s="44"/>
      <c r="Q314" s="72"/>
      <c r="R314" s="72"/>
      <c r="S314" s="72"/>
      <c r="T314" s="72"/>
      <c r="U314" s="73"/>
      <c r="V314" s="73"/>
      <c r="W314" s="74"/>
      <c r="X314" s="46"/>
      <c r="Y314" s="46"/>
      <c r="Z314" s="44"/>
      <c r="AA314" s="44"/>
      <c r="AB314" s="47"/>
    </row>
    <row r="315" spans="3:28" ht="20.100000000000001" customHeight="1" x14ac:dyDescent="0.25">
      <c r="C315" s="60"/>
      <c r="D315" s="60"/>
      <c r="E315" s="44"/>
      <c r="F315" s="44"/>
      <c r="G315" s="44"/>
      <c r="H315" s="44"/>
      <c r="I315" s="44"/>
      <c r="J315" s="44"/>
      <c r="K315" s="44"/>
      <c r="L315" s="44"/>
      <c r="M315" s="63"/>
      <c r="N315" s="44"/>
      <c r="O315" s="63"/>
      <c r="P315" s="44"/>
      <c r="Q315" s="72"/>
      <c r="R315" s="72"/>
      <c r="S315" s="72"/>
      <c r="T315" s="72"/>
      <c r="U315" s="73"/>
      <c r="V315" s="73"/>
      <c r="W315" s="74"/>
      <c r="X315" s="46"/>
      <c r="Y315" s="46"/>
      <c r="Z315" s="44"/>
      <c r="AA315" s="44"/>
      <c r="AB315" s="47"/>
    </row>
    <row r="316" spans="3:28" ht="20.100000000000001" customHeight="1" x14ac:dyDescent="0.25">
      <c r="C316" s="60"/>
      <c r="D316" s="60"/>
      <c r="E316" s="44"/>
      <c r="F316" s="44"/>
      <c r="G316" s="44"/>
      <c r="H316" s="44"/>
      <c r="I316" s="44"/>
      <c r="J316" s="44"/>
      <c r="K316" s="44"/>
      <c r="L316" s="44"/>
      <c r="M316" s="63"/>
      <c r="N316" s="44"/>
      <c r="O316" s="63"/>
      <c r="P316" s="44"/>
      <c r="Q316" s="72"/>
      <c r="R316" s="72"/>
      <c r="S316" s="72"/>
      <c r="T316" s="72"/>
      <c r="U316" s="73"/>
      <c r="V316" s="73"/>
      <c r="W316" s="74"/>
      <c r="X316" s="46"/>
      <c r="Y316" s="46"/>
      <c r="Z316" s="44"/>
      <c r="AA316" s="44"/>
      <c r="AB316" s="47"/>
    </row>
    <row r="317" spans="3:28" ht="20.100000000000001" customHeight="1" x14ac:dyDescent="0.25">
      <c r="C317" s="60"/>
      <c r="D317" s="60"/>
      <c r="E317" s="44"/>
      <c r="F317" s="44"/>
      <c r="G317" s="44"/>
      <c r="H317" s="44"/>
      <c r="I317" s="44"/>
      <c r="J317" s="44"/>
      <c r="K317" s="44"/>
      <c r="L317" s="44"/>
      <c r="M317" s="63"/>
      <c r="N317" s="44"/>
      <c r="O317" s="63"/>
      <c r="P317" s="44"/>
      <c r="Q317" s="72"/>
      <c r="R317" s="72"/>
      <c r="S317" s="72"/>
      <c r="T317" s="72"/>
      <c r="U317" s="73"/>
      <c r="V317" s="73"/>
      <c r="W317" s="74"/>
      <c r="X317" s="46"/>
      <c r="Y317" s="46"/>
      <c r="Z317" s="44"/>
      <c r="AA317" s="44"/>
      <c r="AB317" s="47"/>
    </row>
    <row r="318" spans="3:28" ht="20.100000000000001" customHeight="1" x14ac:dyDescent="0.25">
      <c r="C318" s="60"/>
      <c r="D318" s="60"/>
      <c r="E318" s="44"/>
      <c r="F318" s="44"/>
      <c r="G318" s="44"/>
      <c r="H318" s="44"/>
      <c r="I318" s="44"/>
      <c r="J318" s="44"/>
      <c r="K318" s="44"/>
      <c r="L318" s="44"/>
      <c r="M318" s="63"/>
      <c r="N318" s="44"/>
      <c r="O318" s="63"/>
      <c r="P318" s="44"/>
      <c r="Q318" s="72"/>
      <c r="R318" s="72"/>
      <c r="S318" s="72"/>
      <c r="T318" s="72"/>
      <c r="U318" s="73"/>
      <c r="V318" s="73"/>
      <c r="W318" s="74"/>
      <c r="X318" s="46"/>
      <c r="Y318" s="46"/>
      <c r="Z318" s="44"/>
      <c r="AA318" s="44"/>
      <c r="AB318" s="47"/>
    </row>
    <row r="319" spans="3:28" ht="20.100000000000001" customHeight="1" x14ac:dyDescent="0.25">
      <c r="C319" s="60"/>
      <c r="D319" s="60"/>
      <c r="E319" s="44"/>
      <c r="F319" s="44"/>
      <c r="G319" s="44"/>
      <c r="H319" s="44"/>
      <c r="I319" s="44"/>
      <c r="J319" s="44"/>
      <c r="K319" s="44"/>
      <c r="L319" s="44"/>
      <c r="M319" s="63"/>
      <c r="N319" s="44"/>
      <c r="O319" s="63"/>
      <c r="P319" s="44"/>
      <c r="Q319" s="72"/>
      <c r="R319" s="72"/>
      <c r="S319" s="72"/>
      <c r="T319" s="72"/>
      <c r="U319" s="73"/>
      <c r="V319" s="73"/>
      <c r="W319" s="74"/>
      <c r="X319" s="46"/>
      <c r="Y319" s="46"/>
      <c r="Z319" s="44"/>
      <c r="AA319" s="44"/>
      <c r="AB319" s="47"/>
    </row>
    <row r="320" spans="3:28" ht="20.100000000000001" customHeight="1" x14ac:dyDescent="0.25">
      <c r="C320" s="60"/>
      <c r="D320" s="60"/>
      <c r="E320" s="44"/>
      <c r="F320" s="44"/>
      <c r="G320" s="44"/>
      <c r="H320" s="44"/>
      <c r="I320" s="44"/>
      <c r="J320" s="44"/>
      <c r="K320" s="44"/>
      <c r="L320" s="44"/>
      <c r="M320" s="63"/>
      <c r="N320" s="44"/>
      <c r="O320" s="63"/>
      <c r="P320" s="44"/>
      <c r="Q320" s="72"/>
      <c r="R320" s="72"/>
      <c r="S320" s="72"/>
      <c r="T320" s="72"/>
      <c r="U320" s="73"/>
      <c r="V320" s="73"/>
      <c r="W320" s="74"/>
      <c r="X320" s="46"/>
      <c r="Y320" s="46"/>
      <c r="Z320" s="44"/>
      <c r="AA320" s="44"/>
      <c r="AB320" s="47"/>
    </row>
    <row r="321" spans="3:28" ht="20.100000000000001" customHeight="1" x14ac:dyDescent="0.25">
      <c r="C321" s="60"/>
      <c r="D321" s="60"/>
      <c r="E321" s="44"/>
      <c r="F321" s="44"/>
      <c r="G321" s="44"/>
      <c r="H321" s="44"/>
      <c r="I321" s="44"/>
      <c r="J321" s="44"/>
      <c r="K321" s="44"/>
      <c r="L321" s="44"/>
      <c r="M321" s="63"/>
      <c r="N321" s="44"/>
      <c r="O321" s="63"/>
      <c r="P321" s="44"/>
      <c r="Q321" s="72"/>
      <c r="R321" s="72"/>
      <c r="S321" s="72"/>
      <c r="T321" s="72"/>
      <c r="U321" s="73"/>
      <c r="V321" s="73"/>
      <c r="W321" s="74"/>
      <c r="X321" s="46"/>
      <c r="Y321" s="46"/>
      <c r="Z321" s="44"/>
      <c r="AA321" s="44"/>
      <c r="AB321" s="47"/>
    </row>
    <row r="322" spans="3:28" ht="20.100000000000001" customHeight="1" x14ac:dyDescent="0.25">
      <c r="C322" s="60"/>
      <c r="D322" s="60"/>
      <c r="E322" s="44"/>
      <c r="F322" s="44"/>
      <c r="G322" s="44"/>
      <c r="H322" s="44"/>
      <c r="I322" s="44"/>
      <c r="J322" s="44"/>
      <c r="K322" s="44"/>
      <c r="L322" s="44"/>
      <c r="M322" s="63"/>
      <c r="N322" s="44"/>
      <c r="O322" s="63"/>
      <c r="P322" s="44"/>
      <c r="Q322" s="72"/>
      <c r="R322" s="72"/>
      <c r="S322" s="72"/>
      <c r="T322" s="72"/>
      <c r="U322" s="73"/>
      <c r="V322" s="73"/>
      <c r="W322" s="74"/>
      <c r="X322" s="46"/>
      <c r="Y322" s="46"/>
      <c r="Z322" s="44"/>
      <c r="AA322" s="44"/>
      <c r="AB322" s="47"/>
    </row>
    <row r="323" spans="3:28" ht="20.100000000000001" customHeight="1" x14ac:dyDescent="0.25">
      <c r="C323" s="60"/>
      <c r="D323" s="60"/>
      <c r="E323" s="44"/>
      <c r="F323" s="44"/>
      <c r="G323" s="44"/>
      <c r="H323" s="44"/>
      <c r="I323" s="44"/>
      <c r="J323" s="44"/>
      <c r="K323" s="44"/>
      <c r="L323" s="44"/>
      <c r="M323" s="63"/>
      <c r="N323" s="44"/>
      <c r="O323" s="63"/>
      <c r="P323" s="44"/>
      <c r="Q323" s="72"/>
      <c r="R323" s="72"/>
      <c r="S323" s="72"/>
      <c r="T323" s="72"/>
      <c r="U323" s="73"/>
      <c r="V323" s="73"/>
      <c r="W323" s="74"/>
      <c r="X323" s="46"/>
      <c r="Y323" s="46"/>
      <c r="Z323" s="44"/>
      <c r="AA323" s="44"/>
      <c r="AB323" s="47"/>
    </row>
    <row r="324" spans="3:28" ht="20.100000000000001" customHeight="1" x14ac:dyDescent="0.25">
      <c r="C324" s="60"/>
      <c r="D324" s="60"/>
      <c r="E324" s="44"/>
      <c r="F324" s="44"/>
      <c r="G324" s="44"/>
      <c r="H324" s="44"/>
      <c r="I324" s="44"/>
      <c r="J324" s="44"/>
      <c r="K324" s="44"/>
      <c r="L324" s="44"/>
      <c r="M324" s="63"/>
      <c r="N324" s="44"/>
      <c r="O324" s="63"/>
      <c r="P324" s="44"/>
      <c r="Q324" s="72"/>
      <c r="R324" s="72"/>
      <c r="S324" s="72"/>
      <c r="T324" s="72"/>
      <c r="U324" s="73"/>
      <c r="V324" s="73"/>
      <c r="W324" s="74"/>
      <c r="X324" s="46"/>
      <c r="Y324" s="46"/>
      <c r="Z324" s="44"/>
      <c r="AA324" s="44"/>
      <c r="AB324" s="47"/>
    </row>
    <row r="325" spans="3:28" ht="20.100000000000001" customHeight="1" x14ac:dyDescent="0.25">
      <c r="C325" s="60"/>
      <c r="D325" s="60"/>
      <c r="E325" s="44"/>
      <c r="F325" s="44"/>
      <c r="G325" s="44"/>
      <c r="H325" s="44"/>
      <c r="I325" s="44"/>
      <c r="J325" s="44"/>
      <c r="K325" s="44"/>
      <c r="L325" s="44"/>
      <c r="M325" s="63"/>
      <c r="N325" s="44"/>
      <c r="O325" s="63"/>
      <c r="P325" s="44"/>
      <c r="Q325" s="72"/>
      <c r="R325" s="72"/>
      <c r="S325" s="72"/>
      <c r="T325" s="72"/>
      <c r="U325" s="73"/>
      <c r="V325" s="73"/>
      <c r="W325" s="74"/>
      <c r="X325" s="46"/>
      <c r="Y325" s="46"/>
      <c r="Z325" s="44"/>
      <c r="AA325" s="44"/>
      <c r="AB325" s="47"/>
    </row>
    <row r="326" spans="3:28" ht="20.100000000000001" customHeight="1" x14ac:dyDescent="0.25">
      <c r="C326" s="60"/>
      <c r="D326" s="60"/>
      <c r="E326" s="44"/>
      <c r="F326" s="44"/>
      <c r="G326" s="44"/>
      <c r="H326" s="44"/>
      <c r="I326" s="44"/>
      <c r="J326" s="44"/>
      <c r="K326" s="44"/>
      <c r="L326" s="44"/>
      <c r="M326" s="63"/>
      <c r="N326" s="44"/>
      <c r="O326" s="63"/>
      <c r="P326" s="44"/>
      <c r="Q326" s="72"/>
      <c r="R326" s="72"/>
      <c r="S326" s="72"/>
      <c r="T326" s="72"/>
      <c r="U326" s="73"/>
      <c r="V326" s="73"/>
      <c r="W326" s="74"/>
      <c r="X326" s="46"/>
      <c r="Y326" s="46"/>
      <c r="Z326" s="44"/>
      <c r="AA326" s="44"/>
      <c r="AB326" s="47"/>
    </row>
    <row r="327" spans="3:28" ht="20.100000000000001" customHeight="1" x14ac:dyDescent="0.25">
      <c r="C327" s="60"/>
      <c r="D327" s="60"/>
      <c r="E327" s="44"/>
      <c r="F327" s="44"/>
      <c r="G327" s="44"/>
      <c r="H327" s="44"/>
      <c r="I327" s="44"/>
      <c r="J327" s="44"/>
      <c r="K327" s="44"/>
      <c r="L327" s="44"/>
      <c r="M327" s="63"/>
      <c r="N327" s="44"/>
      <c r="O327" s="63"/>
      <c r="P327" s="44"/>
      <c r="Q327" s="72"/>
      <c r="R327" s="72"/>
      <c r="S327" s="72"/>
      <c r="T327" s="72"/>
      <c r="U327" s="73"/>
      <c r="V327" s="73"/>
      <c r="W327" s="74"/>
      <c r="X327" s="46"/>
      <c r="Y327" s="46"/>
      <c r="Z327" s="44"/>
      <c r="AA327" s="44"/>
      <c r="AB327" s="47"/>
    </row>
    <row r="328" spans="3:28" ht="20.100000000000001" customHeight="1" x14ac:dyDescent="0.25">
      <c r="C328" s="60"/>
      <c r="D328" s="60"/>
      <c r="E328" s="44"/>
      <c r="F328" s="44"/>
      <c r="G328" s="44"/>
      <c r="H328" s="44"/>
      <c r="I328" s="44"/>
      <c r="J328" s="44"/>
      <c r="K328" s="44"/>
      <c r="L328" s="44"/>
      <c r="M328" s="63"/>
      <c r="N328" s="44"/>
      <c r="O328" s="63"/>
      <c r="P328" s="44"/>
      <c r="Q328" s="72"/>
      <c r="R328" s="72"/>
      <c r="S328" s="72"/>
      <c r="T328" s="72"/>
      <c r="U328" s="73"/>
      <c r="V328" s="73"/>
      <c r="W328" s="74"/>
      <c r="X328" s="46"/>
      <c r="Y328" s="46"/>
      <c r="Z328" s="44"/>
      <c r="AA328" s="44"/>
      <c r="AB328" s="47"/>
    </row>
    <row r="329" spans="3:28" ht="20.100000000000001" customHeight="1" x14ac:dyDescent="0.25">
      <c r="C329" s="60"/>
      <c r="D329" s="60"/>
      <c r="E329" s="44"/>
      <c r="F329" s="44"/>
      <c r="G329" s="44"/>
      <c r="H329" s="44"/>
      <c r="I329" s="44"/>
      <c r="J329" s="44"/>
      <c r="K329" s="44"/>
      <c r="L329" s="44"/>
      <c r="M329" s="63"/>
      <c r="N329" s="44"/>
      <c r="O329" s="63"/>
      <c r="P329" s="44"/>
      <c r="Q329" s="72"/>
      <c r="R329" s="72"/>
      <c r="S329" s="72"/>
      <c r="T329" s="72"/>
      <c r="U329" s="73"/>
      <c r="V329" s="73"/>
      <c r="W329" s="74"/>
      <c r="X329" s="46"/>
      <c r="Y329" s="46"/>
      <c r="Z329" s="44"/>
      <c r="AA329" s="44"/>
      <c r="AB329" s="47"/>
    </row>
    <row r="330" spans="3:28" ht="20.100000000000001" customHeight="1" x14ac:dyDescent="0.25">
      <c r="C330" s="60"/>
      <c r="D330" s="60"/>
      <c r="E330" s="44"/>
      <c r="F330" s="44"/>
      <c r="G330" s="44"/>
      <c r="H330" s="44"/>
      <c r="I330" s="44"/>
      <c r="J330" s="44"/>
      <c r="K330" s="44"/>
      <c r="L330" s="44"/>
      <c r="M330" s="63"/>
      <c r="N330" s="44"/>
      <c r="O330" s="63"/>
      <c r="P330" s="44"/>
      <c r="Q330" s="72"/>
      <c r="R330" s="72"/>
      <c r="S330" s="72"/>
      <c r="T330" s="72"/>
      <c r="U330" s="73"/>
      <c r="V330" s="73"/>
      <c r="W330" s="74"/>
      <c r="X330" s="46"/>
      <c r="Y330" s="46"/>
      <c r="Z330" s="44"/>
      <c r="AA330" s="44"/>
      <c r="AB330" s="47"/>
    </row>
    <row r="331" spans="3:28" ht="20.100000000000001" customHeight="1" x14ac:dyDescent="0.25">
      <c r="C331" s="60"/>
      <c r="D331" s="60"/>
      <c r="E331" s="44"/>
      <c r="F331" s="44"/>
      <c r="G331" s="44"/>
      <c r="H331" s="44"/>
      <c r="I331" s="44"/>
      <c r="J331" s="44"/>
      <c r="K331" s="44"/>
      <c r="L331" s="44"/>
      <c r="M331" s="63"/>
      <c r="N331" s="44"/>
      <c r="O331" s="63"/>
      <c r="P331" s="44"/>
      <c r="Q331" s="72"/>
      <c r="R331" s="72"/>
      <c r="S331" s="72"/>
      <c r="T331" s="72"/>
      <c r="U331" s="73"/>
      <c r="V331" s="73"/>
      <c r="W331" s="74"/>
      <c r="X331" s="46"/>
      <c r="Y331" s="46"/>
      <c r="Z331" s="44"/>
      <c r="AA331" s="44"/>
      <c r="AB331" s="47"/>
    </row>
    <row r="332" spans="3:28" ht="20.100000000000001" customHeight="1" x14ac:dyDescent="0.25">
      <c r="C332" s="60"/>
      <c r="D332" s="60"/>
      <c r="E332" s="44"/>
      <c r="F332" s="44"/>
      <c r="G332" s="44"/>
      <c r="H332" s="44"/>
      <c r="I332" s="44"/>
      <c r="J332" s="44"/>
      <c r="K332" s="44"/>
      <c r="L332" s="44"/>
      <c r="M332" s="63"/>
      <c r="N332" s="44"/>
      <c r="O332" s="63"/>
      <c r="P332" s="44"/>
      <c r="Q332" s="72"/>
      <c r="R332" s="72"/>
      <c r="S332" s="72"/>
      <c r="T332" s="72"/>
      <c r="U332" s="73"/>
      <c r="V332" s="73"/>
      <c r="W332" s="74"/>
      <c r="X332" s="46"/>
      <c r="Y332" s="46"/>
      <c r="Z332" s="44"/>
      <c r="AA332" s="44"/>
      <c r="AB332" s="47"/>
    </row>
    <row r="333" spans="3:28" ht="20.100000000000001" customHeight="1" x14ac:dyDescent="0.25">
      <c r="C333" s="60"/>
      <c r="D333" s="60"/>
      <c r="E333" s="44"/>
      <c r="F333" s="44"/>
      <c r="G333" s="44"/>
      <c r="H333" s="44"/>
      <c r="I333" s="44"/>
      <c r="J333" s="44"/>
      <c r="K333" s="44"/>
      <c r="L333" s="44"/>
      <c r="M333" s="63"/>
      <c r="N333" s="44"/>
      <c r="O333" s="63"/>
      <c r="P333" s="44"/>
      <c r="Q333" s="72"/>
      <c r="R333" s="72"/>
      <c r="S333" s="72"/>
      <c r="T333" s="72"/>
      <c r="U333" s="73"/>
      <c r="V333" s="73"/>
      <c r="W333" s="74"/>
      <c r="X333" s="46"/>
      <c r="Y333" s="46"/>
      <c r="Z333" s="44"/>
      <c r="AA333" s="44"/>
      <c r="AB333" s="47"/>
    </row>
    <row r="334" spans="3:28" ht="20.100000000000001" customHeight="1" x14ac:dyDescent="0.25">
      <c r="C334" s="60"/>
      <c r="D334" s="60"/>
      <c r="E334" s="44"/>
      <c r="F334" s="44"/>
      <c r="G334" s="44"/>
      <c r="H334" s="44"/>
      <c r="I334" s="44"/>
      <c r="J334" s="44"/>
      <c r="K334" s="44"/>
      <c r="L334" s="44"/>
      <c r="M334" s="63"/>
      <c r="N334" s="44"/>
      <c r="O334" s="63"/>
      <c r="P334" s="44"/>
      <c r="Q334" s="72"/>
      <c r="R334" s="72"/>
      <c r="S334" s="72"/>
      <c r="T334" s="72"/>
      <c r="U334" s="73"/>
      <c r="V334" s="73"/>
      <c r="W334" s="74"/>
      <c r="X334" s="46"/>
      <c r="Y334" s="46"/>
      <c r="Z334" s="44"/>
      <c r="AA334" s="44"/>
      <c r="AB334" s="47"/>
    </row>
    <row r="335" spans="3:28" ht="20.100000000000001" customHeight="1" x14ac:dyDescent="0.25">
      <c r="C335" s="60"/>
      <c r="D335" s="60"/>
      <c r="E335" s="44"/>
      <c r="F335" s="44"/>
      <c r="G335" s="44"/>
      <c r="H335" s="44"/>
      <c r="I335" s="44"/>
      <c r="J335" s="44"/>
      <c r="K335" s="44"/>
      <c r="L335" s="44"/>
      <c r="M335" s="63"/>
      <c r="N335" s="44"/>
      <c r="O335" s="63"/>
      <c r="P335" s="44"/>
      <c r="Q335" s="72"/>
      <c r="R335" s="72"/>
      <c r="S335" s="72"/>
      <c r="T335" s="72"/>
      <c r="U335" s="73"/>
      <c r="V335" s="73"/>
      <c r="W335" s="74"/>
      <c r="X335" s="46"/>
      <c r="Y335" s="46"/>
      <c r="Z335" s="44"/>
      <c r="AA335" s="44"/>
      <c r="AB335" s="47"/>
    </row>
    <row r="336" spans="3:28" ht="20.100000000000001" customHeight="1" x14ac:dyDescent="0.25">
      <c r="C336" s="60"/>
      <c r="D336" s="60"/>
      <c r="E336" s="44"/>
      <c r="F336" s="44"/>
      <c r="G336" s="44"/>
      <c r="H336" s="44"/>
      <c r="I336" s="44"/>
      <c r="J336" s="44"/>
      <c r="K336" s="44"/>
      <c r="L336" s="44"/>
      <c r="M336" s="63"/>
      <c r="N336" s="44"/>
      <c r="O336" s="63"/>
      <c r="P336" s="44"/>
      <c r="Q336" s="72"/>
      <c r="R336" s="72"/>
      <c r="S336" s="72"/>
      <c r="T336" s="72"/>
      <c r="U336" s="73"/>
      <c r="V336" s="73"/>
      <c r="W336" s="74"/>
      <c r="X336" s="46"/>
      <c r="Y336" s="46"/>
      <c r="Z336" s="44"/>
      <c r="AA336" s="44"/>
      <c r="AB336" s="47"/>
    </row>
    <row r="337" spans="3:28" ht="20.100000000000001" customHeight="1" x14ac:dyDescent="0.25">
      <c r="C337" s="60"/>
      <c r="D337" s="60"/>
      <c r="E337" s="44"/>
      <c r="F337" s="44"/>
      <c r="G337" s="44"/>
      <c r="H337" s="44"/>
      <c r="I337" s="44"/>
      <c r="J337" s="44"/>
      <c r="K337" s="44"/>
      <c r="L337" s="44"/>
      <c r="M337" s="63"/>
      <c r="N337" s="44"/>
      <c r="O337" s="63"/>
      <c r="P337" s="44"/>
      <c r="Q337" s="72"/>
      <c r="R337" s="72"/>
      <c r="S337" s="72"/>
      <c r="T337" s="72"/>
      <c r="U337" s="73"/>
      <c r="V337" s="73"/>
      <c r="W337" s="74"/>
      <c r="X337" s="46"/>
      <c r="Y337" s="46"/>
      <c r="Z337" s="44"/>
      <c r="AA337" s="44"/>
      <c r="AB337" s="47"/>
    </row>
    <row r="338" spans="3:28" ht="20.100000000000001" customHeight="1" x14ac:dyDescent="0.25">
      <c r="C338" s="60"/>
      <c r="D338" s="60"/>
      <c r="E338" s="44"/>
      <c r="F338" s="44"/>
      <c r="G338" s="44"/>
      <c r="H338" s="44"/>
      <c r="I338" s="44"/>
      <c r="J338" s="44"/>
      <c r="K338" s="44"/>
      <c r="L338" s="44"/>
      <c r="M338" s="63"/>
      <c r="N338" s="44"/>
      <c r="O338" s="63"/>
      <c r="P338" s="44"/>
      <c r="Q338" s="72"/>
      <c r="R338" s="72"/>
      <c r="S338" s="72"/>
      <c r="T338" s="72"/>
      <c r="U338" s="73"/>
      <c r="V338" s="73"/>
      <c r="W338" s="74"/>
      <c r="X338" s="46"/>
      <c r="Y338" s="46"/>
      <c r="Z338" s="44"/>
      <c r="AA338" s="44"/>
      <c r="AB338" s="47"/>
    </row>
    <row r="339" spans="3:28" ht="20.100000000000001" customHeight="1" x14ac:dyDescent="0.25">
      <c r="C339" s="60"/>
      <c r="D339" s="60"/>
      <c r="E339" s="44"/>
      <c r="F339" s="44"/>
      <c r="G339" s="44"/>
      <c r="H339" s="44"/>
      <c r="I339" s="44"/>
      <c r="J339" s="44"/>
      <c r="K339" s="44"/>
      <c r="L339" s="44"/>
      <c r="M339" s="63"/>
      <c r="N339" s="44"/>
      <c r="O339" s="63"/>
      <c r="P339" s="44"/>
      <c r="Q339" s="72"/>
      <c r="R339" s="72"/>
      <c r="S339" s="72"/>
      <c r="T339" s="72"/>
      <c r="U339" s="73"/>
      <c r="V339" s="73"/>
      <c r="W339" s="74"/>
      <c r="X339" s="46"/>
      <c r="Y339" s="46"/>
      <c r="Z339" s="44"/>
      <c r="AA339" s="44"/>
      <c r="AB339" s="47"/>
    </row>
    <row r="340" spans="3:28" ht="20.100000000000001" customHeight="1" x14ac:dyDescent="0.25">
      <c r="C340" s="60"/>
      <c r="D340" s="60"/>
      <c r="E340" s="44"/>
      <c r="F340" s="44"/>
      <c r="G340" s="44"/>
      <c r="H340" s="44"/>
      <c r="I340" s="44"/>
      <c r="J340" s="44"/>
      <c r="K340" s="44"/>
      <c r="L340" s="44"/>
      <c r="M340" s="63"/>
      <c r="N340" s="44"/>
      <c r="O340" s="63"/>
      <c r="P340" s="44"/>
      <c r="Q340" s="72"/>
      <c r="R340" s="72"/>
      <c r="S340" s="72"/>
      <c r="T340" s="72"/>
      <c r="U340" s="73"/>
      <c r="V340" s="73"/>
      <c r="W340" s="74"/>
      <c r="X340" s="46"/>
      <c r="Y340" s="46"/>
      <c r="Z340" s="44"/>
      <c r="AA340" s="44"/>
      <c r="AB340" s="47"/>
    </row>
    <row r="341" spans="3:28" ht="20.100000000000001" customHeight="1" x14ac:dyDescent="0.25">
      <c r="C341" s="60"/>
      <c r="D341" s="60"/>
      <c r="E341" s="44"/>
      <c r="F341" s="44"/>
      <c r="G341" s="44"/>
      <c r="H341" s="44"/>
      <c r="I341" s="44"/>
      <c r="J341" s="44"/>
      <c r="K341" s="44"/>
      <c r="L341" s="44"/>
      <c r="M341" s="63"/>
      <c r="N341" s="44"/>
      <c r="O341" s="63"/>
      <c r="P341" s="44"/>
      <c r="Q341" s="72"/>
      <c r="R341" s="72"/>
      <c r="S341" s="72"/>
      <c r="T341" s="72"/>
      <c r="U341" s="73"/>
      <c r="V341" s="73"/>
      <c r="W341" s="74"/>
      <c r="X341" s="46"/>
      <c r="Y341" s="46"/>
      <c r="Z341" s="44"/>
      <c r="AA341" s="44"/>
      <c r="AB341" s="47"/>
    </row>
    <row r="342" spans="3:28" ht="20.100000000000001" customHeight="1" x14ac:dyDescent="0.25">
      <c r="C342" s="60"/>
      <c r="D342" s="60"/>
      <c r="E342" s="44"/>
      <c r="F342" s="44"/>
      <c r="G342" s="44"/>
      <c r="H342" s="44"/>
      <c r="I342" s="44"/>
      <c r="J342" s="44"/>
      <c r="K342" s="44"/>
      <c r="L342" s="44"/>
      <c r="M342" s="63"/>
      <c r="N342" s="44"/>
      <c r="O342" s="63"/>
      <c r="P342" s="44"/>
      <c r="Q342" s="72"/>
      <c r="R342" s="72"/>
      <c r="S342" s="72"/>
      <c r="T342" s="72"/>
      <c r="U342" s="73"/>
      <c r="V342" s="73"/>
      <c r="W342" s="74"/>
      <c r="X342" s="46"/>
      <c r="Y342" s="46"/>
      <c r="Z342" s="44"/>
      <c r="AA342" s="44"/>
      <c r="AB342" s="47"/>
    </row>
    <row r="343" spans="3:28" ht="20.100000000000001" customHeight="1" x14ac:dyDescent="0.25">
      <c r="C343" s="60"/>
      <c r="D343" s="60"/>
      <c r="E343" s="44"/>
      <c r="F343" s="44"/>
      <c r="G343" s="44"/>
      <c r="H343" s="44"/>
      <c r="I343" s="44"/>
      <c r="J343" s="44"/>
      <c r="K343" s="44"/>
      <c r="L343" s="44"/>
      <c r="M343" s="63"/>
      <c r="N343" s="44"/>
      <c r="O343" s="63"/>
      <c r="P343" s="44"/>
      <c r="Q343" s="72"/>
      <c r="R343" s="72"/>
      <c r="S343" s="72"/>
      <c r="T343" s="72"/>
      <c r="U343" s="73"/>
      <c r="V343" s="73"/>
      <c r="W343" s="74"/>
      <c r="X343" s="46"/>
      <c r="Y343" s="46"/>
      <c r="Z343" s="44"/>
      <c r="AA343" s="44"/>
      <c r="AB343" s="47"/>
    </row>
    <row r="344" spans="3:28" ht="20.100000000000001" customHeight="1" x14ac:dyDescent="0.25">
      <c r="C344" s="60"/>
      <c r="D344" s="60"/>
      <c r="E344" s="44"/>
      <c r="F344" s="44"/>
      <c r="G344" s="44"/>
      <c r="H344" s="44"/>
      <c r="I344" s="44"/>
      <c r="J344" s="44"/>
      <c r="K344" s="44"/>
      <c r="L344" s="44"/>
      <c r="M344" s="63"/>
      <c r="N344" s="44"/>
      <c r="O344" s="63"/>
      <c r="P344" s="44"/>
      <c r="Q344" s="72"/>
      <c r="R344" s="72"/>
      <c r="S344" s="72"/>
      <c r="T344" s="72"/>
      <c r="U344" s="73"/>
      <c r="V344" s="73"/>
      <c r="W344" s="74"/>
      <c r="X344" s="46"/>
      <c r="Y344" s="46"/>
      <c r="Z344" s="44"/>
      <c r="AA344" s="44"/>
      <c r="AB344" s="47"/>
    </row>
    <row r="345" spans="3:28" ht="20.100000000000001" customHeight="1" x14ac:dyDescent="0.25">
      <c r="C345" s="60"/>
      <c r="D345" s="60"/>
      <c r="E345" s="44"/>
      <c r="F345" s="44"/>
      <c r="G345" s="44"/>
      <c r="H345" s="44"/>
      <c r="I345" s="44"/>
      <c r="J345" s="44"/>
      <c r="K345" s="44"/>
      <c r="L345" s="44"/>
      <c r="M345" s="63"/>
      <c r="N345" s="44"/>
      <c r="O345" s="63"/>
      <c r="P345" s="44"/>
      <c r="Q345" s="72"/>
      <c r="R345" s="72"/>
      <c r="S345" s="72"/>
      <c r="T345" s="72"/>
      <c r="U345" s="73"/>
      <c r="V345" s="73"/>
      <c r="W345" s="74"/>
      <c r="X345" s="46"/>
      <c r="Y345" s="46"/>
      <c r="Z345" s="44"/>
      <c r="AA345" s="44"/>
      <c r="AB345" s="47"/>
    </row>
    <row r="346" spans="3:28" ht="20.100000000000001" customHeight="1" x14ac:dyDescent="0.25">
      <c r="C346" s="60"/>
      <c r="D346" s="60"/>
      <c r="E346" s="44"/>
      <c r="F346" s="44"/>
      <c r="G346" s="44"/>
      <c r="H346" s="44"/>
      <c r="I346" s="44"/>
      <c r="J346" s="44"/>
      <c r="K346" s="44"/>
      <c r="L346" s="44"/>
      <c r="M346" s="63"/>
      <c r="N346" s="44"/>
      <c r="O346" s="63"/>
      <c r="P346" s="44"/>
      <c r="Q346" s="72"/>
      <c r="R346" s="72"/>
      <c r="S346" s="72"/>
      <c r="T346" s="72"/>
      <c r="U346" s="73"/>
      <c r="V346" s="73"/>
      <c r="W346" s="74"/>
      <c r="X346" s="46"/>
      <c r="Y346" s="46"/>
      <c r="Z346" s="44"/>
      <c r="AA346" s="44"/>
      <c r="AB346" s="47"/>
    </row>
    <row r="347" spans="3:28" ht="20.100000000000001" customHeight="1" x14ac:dyDescent="0.25">
      <c r="C347" s="60"/>
      <c r="D347" s="60"/>
      <c r="E347" s="44"/>
      <c r="F347" s="44"/>
      <c r="G347" s="44"/>
      <c r="H347" s="44"/>
      <c r="I347" s="44"/>
      <c r="J347" s="44"/>
      <c r="K347" s="44"/>
      <c r="L347" s="44"/>
      <c r="M347" s="63"/>
      <c r="N347" s="44"/>
      <c r="O347" s="63"/>
      <c r="P347" s="44"/>
      <c r="Q347" s="72"/>
      <c r="R347" s="72"/>
      <c r="S347" s="72"/>
      <c r="T347" s="72"/>
      <c r="U347" s="73"/>
      <c r="V347" s="73"/>
      <c r="W347" s="74"/>
      <c r="X347" s="46"/>
      <c r="Y347" s="46"/>
      <c r="Z347" s="44"/>
      <c r="AA347" s="44"/>
      <c r="AB347" s="47"/>
    </row>
    <row r="348" spans="3:28" ht="20.100000000000001" customHeight="1" x14ac:dyDescent="0.25">
      <c r="C348" s="60"/>
      <c r="D348" s="60"/>
      <c r="E348" s="44"/>
      <c r="F348" s="44"/>
      <c r="G348" s="44"/>
      <c r="H348" s="44"/>
      <c r="I348" s="44"/>
      <c r="J348" s="44"/>
      <c r="K348" s="44"/>
      <c r="L348" s="44"/>
      <c r="M348" s="63"/>
      <c r="N348" s="44"/>
      <c r="O348" s="63"/>
      <c r="P348" s="44"/>
      <c r="Q348" s="72"/>
      <c r="R348" s="72"/>
      <c r="S348" s="72"/>
      <c r="T348" s="72"/>
      <c r="U348" s="73"/>
      <c r="V348" s="73"/>
      <c r="W348" s="74"/>
      <c r="X348" s="46"/>
      <c r="Y348" s="46"/>
      <c r="Z348" s="44"/>
      <c r="AA348" s="44"/>
      <c r="AB348" s="47"/>
    </row>
    <row r="349" spans="3:28" ht="20.100000000000001" customHeight="1" x14ac:dyDescent="0.25">
      <c r="C349" s="60"/>
      <c r="D349" s="60"/>
      <c r="E349" s="44"/>
      <c r="F349" s="44"/>
      <c r="G349" s="44"/>
      <c r="H349" s="44"/>
      <c r="I349" s="44"/>
      <c r="J349" s="44"/>
      <c r="K349" s="44"/>
      <c r="L349" s="44"/>
      <c r="M349" s="63"/>
      <c r="N349" s="44"/>
      <c r="O349" s="63"/>
      <c r="P349" s="44"/>
      <c r="Q349" s="72"/>
      <c r="R349" s="72"/>
      <c r="S349" s="72"/>
      <c r="T349" s="72"/>
      <c r="U349" s="73"/>
      <c r="V349" s="73"/>
      <c r="W349" s="74"/>
      <c r="X349" s="46"/>
      <c r="Y349" s="46"/>
      <c r="Z349" s="44"/>
      <c r="AA349" s="44"/>
      <c r="AB349" s="47"/>
    </row>
    <row r="350" spans="3:28" ht="20.100000000000001" customHeight="1" x14ac:dyDescent="0.25">
      <c r="C350" s="60"/>
      <c r="D350" s="60"/>
      <c r="E350" s="44"/>
      <c r="F350" s="44"/>
      <c r="G350" s="44"/>
      <c r="H350" s="44"/>
      <c r="I350" s="44"/>
      <c r="J350" s="44"/>
      <c r="K350" s="44"/>
      <c r="L350" s="44"/>
      <c r="M350" s="63"/>
      <c r="N350" s="44"/>
      <c r="O350" s="63"/>
      <c r="P350" s="44"/>
      <c r="Q350" s="72"/>
      <c r="R350" s="72"/>
      <c r="S350" s="72"/>
      <c r="T350" s="72"/>
      <c r="U350" s="73"/>
      <c r="V350" s="73"/>
      <c r="W350" s="74"/>
      <c r="X350" s="46"/>
      <c r="Y350" s="46"/>
      <c r="Z350" s="44"/>
      <c r="AA350" s="44"/>
      <c r="AB350" s="47"/>
    </row>
    <row r="351" spans="3:28" ht="20.100000000000001" customHeight="1" x14ac:dyDescent="0.25">
      <c r="C351" s="60"/>
      <c r="D351" s="60"/>
      <c r="E351" s="44"/>
      <c r="F351" s="44"/>
      <c r="G351" s="44"/>
      <c r="H351" s="44"/>
      <c r="I351" s="44"/>
      <c r="J351" s="44"/>
      <c r="K351" s="44"/>
      <c r="L351" s="44"/>
      <c r="M351" s="63"/>
      <c r="N351" s="44"/>
      <c r="O351" s="63"/>
      <c r="P351" s="44"/>
      <c r="Q351" s="72"/>
      <c r="R351" s="72"/>
      <c r="S351" s="72"/>
      <c r="T351" s="72"/>
      <c r="U351" s="73"/>
      <c r="V351" s="73"/>
      <c r="W351" s="74"/>
      <c r="X351" s="46"/>
      <c r="Y351" s="46"/>
      <c r="Z351" s="44"/>
      <c r="AA351" s="44"/>
      <c r="AB351" s="47"/>
    </row>
    <row r="352" spans="3:28" ht="20.100000000000001" customHeight="1" x14ac:dyDescent="0.25">
      <c r="C352" s="60"/>
      <c r="D352" s="60"/>
      <c r="E352" s="44"/>
      <c r="F352" s="44"/>
      <c r="G352" s="44"/>
      <c r="H352" s="44"/>
      <c r="I352" s="44"/>
      <c r="J352" s="44"/>
      <c r="K352" s="44"/>
      <c r="L352" s="44"/>
      <c r="M352" s="63"/>
      <c r="N352" s="44"/>
      <c r="O352" s="63"/>
      <c r="P352" s="44"/>
      <c r="Q352" s="72"/>
      <c r="R352" s="72"/>
      <c r="S352" s="72"/>
      <c r="T352" s="72"/>
      <c r="U352" s="73"/>
      <c r="V352" s="73"/>
      <c r="W352" s="74"/>
      <c r="X352" s="46"/>
      <c r="Y352" s="46"/>
      <c r="Z352" s="44"/>
      <c r="AA352" s="44"/>
      <c r="AB352" s="47"/>
    </row>
    <row r="353" spans="3:28" ht="20.100000000000001" customHeight="1" x14ac:dyDescent="0.25">
      <c r="C353" s="60"/>
      <c r="D353" s="60"/>
      <c r="E353" s="44"/>
      <c r="F353" s="44"/>
      <c r="G353" s="44"/>
      <c r="H353" s="44"/>
      <c r="I353" s="44"/>
      <c r="J353" s="44"/>
      <c r="K353" s="44"/>
      <c r="L353" s="44"/>
      <c r="M353" s="63"/>
      <c r="N353" s="44"/>
      <c r="O353" s="63"/>
      <c r="P353" s="44"/>
      <c r="Q353" s="72"/>
      <c r="R353" s="72"/>
      <c r="S353" s="72"/>
      <c r="T353" s="72"/>
      <c r="U353" s="73"/>
      <c r="V353" s="73"/>
      <c r="W353" s="74"/>
      <c r="X353" s="46"/>
      <c r="Y353" s="46"/>
      <c r="Z353" s="44"/>
      <c r="AA353" s="44"/>
      <c r="AB353" s="47"/>
    </row>
    <row r="354" spans="3:28" ht="20.100000000000001" customHeight="1" x14ac:dyDescent="0.25">
      <c r="C354" s="60"/>
      <c r="D354" s="60"/>
      <c r="E354" s="44"/>
      <c r="F354" s="44"/>
      <c r="G354" s="44"/>
      <c r="H354" s="44"/>
      <c r="I354" s="44"/>
      <c r="J354" s="44"/>
      <c r="K354" s="44"/>
      <c r="L354" s="44"/>
      <c r="M354" s="63"/>
      <c r="N354" s="44"/>
      <c r="O354" s="63"/>
      <c r="P354" s="44"/>
      <c r="Q354" s="72"/>
      <c r="R354" s="72"/>
      <c r="S354" s="72"/>
      <c r="T354" s="72"/>
      <c r="U354" s="73"/>
      <c r="V354" s="73"/>
      <c r="W354" s="74"/>
      <c r="X354" s="46"/>
      <c r="Y354" s="46"/>
      <c r="Z354" s="44"/>
      <c r="AA354" s="44"/>
      <c r="AB354" s="47"/>
    </row>
    <row r="355" spans="3:28" ht="20.100000000000001" customHeight="1" x14ac:dyDescent="0.25">
      <c r="C355" s="60"/>
      <c r="D355" s="60"/>
      <c r="E355" s="44"/>
      <c r="F355" s="44"/>
      <c r="G355" s="44"/>
      <c r="H355" s="44"/>
      <c r="I355" s="44"/>
      <c r="J355" s="44"/>
      <c r="K355" s="44"/>
      <c r="L355" s="44"/>
      <c r="M355" s="63"/>
      <c r="N355" s="44"/>
      <c r="O355" s="63"/>
      <c r="P355" s="44"/>
      <c r="Q355" s="72"/>
      <c r="R355" s="72"/>
      <c r="S355" s="72"/>
      <c r="T355" s="72"/>
      <c r="U355" s="73"/>
      <c r="V355" s="73"/>
      <c r="W355" s="74"/>
      <c r="X355" s="46"/>
      <c r="Y355" s="46"/>
      <c r="Z355" s="44"/>
      <c r="AA355" s="44"/>
      <c r="AB355" s="47"/>
    </row>
    <row r="356" spans="3:28" ht="20.100000000000001" customHeight="1" x14ac:dyDescent="0.25">
      <c r="C356" s="60"/>
      <c r="D356" s="60"/>
      <c r="E356" s="44"/>
      <c r="F356" s="44"/>
      <c r="G356" s="44"/>
      <c r="H356" s="44"/>
      <c r="I356" s="44"/>
      <c r="J356" s="44"/>
      <c r="K356" s="44"/>
      <c r="L356" s="44"/>
      <c r="M356" s="63"/>
      <c r="N356" s="44"/>
      <c r="O356" s="63"/>
      <c r="P356" s="44"/>
      <c r="Q356" s="72"/>
      <c r="R356" s="72"/>
      <c r="S356" s="72"/>
      <c r="T356" s="72"/>
      <c r="U356" s="73"/>
      <c r="V356" s="73"/>
      <c r="W356" s="74"/>
      <c r="X356" s="46"/>
      <c r="Y356" s="46"/>
      <c r="Z356" s="44"/>
      <c r="AA356" s="44"/>
      <c r="AB356" s="47"/>
    </row>
    <row r="357" spans="3:28" ht="20.100000000000001" customHeight="1" x14ac:dyDescent="0.25">
      <c r="C357" s="60"/>
      <c r="D357" s="60"/>
      <c r="E357" s="44"/>
      <c r="F357" s="44"/>
      <c r="G357" s="44"/>
      <c r="H357" s="44"/>
      <c r="I357" s="44"/>
      <c r="J357" s="44"/>
      <c r="K357" s="44"/>
      <c r="L357" s="44"/>
      <c r="M357" s="63"/>
      <c r="N357" s="44"/>
      <c r="O357" s="63"/>
      <c r="P357" s="44"/>
      <c r="Q357" s="72"/>
      <c r="R357" s="72"/>
      <c r="S357" s="72"/>
      <c r="T357" s="72"/>
      <c r="U357" s="73"/>
      <c r="V357" s="73"/>
      <c r="W357" s="74"/>
      <c r="X357" s="46"/>
      <c r="Y357" s="46"/>
      <c r="Z357" s="44"/>
      <c r="AA357" s="44"/>
      <c r="AB357" s="47"/>
    </row>
    <row r="358" spans="3:28" ht="20.100000000000001" customHeight="1" x14ac:dyDescent="0.25">
      <c r="C358" s="60"/>
      <c r="D358" s="60"/>
      <c r="E358" s="44"/>
      <c r="F358" s="44"/>
      <c r="G358" s="44"/>
      <c r="H358" s="44"/>
      <c r="I358" s="44"/>
      <c r="J358" s="44"/>
      <c r="K358" s="44"/>
      <c r="L358" s="44"/>
      <c r="M358" s="63"/>
      <c r="N358" s="44"/>
      <c r="O358" s="63"/>
      <c r="P358" s="44"/>
      <c r="Q358" s="72"/>
      <c r="R358" s="72"/>
      <c r="S358" s="72"/>
      <c r="T358" s="72"/>
      <c r="U358" s="73"/>
      <c r="V358" s="73"/>
      <c r="W358" s="74"/>
      <c r="X358" s="46"/>
      <c r="Y358" s="46"/>
      <c r="Z358" s="44"/>
      <c r="AA358" s="44"/>
      <c r="AB358" s="47"/>
    </row>
    <row r="359" spans="3:28" ht="20.100000000000001" customHeight="1" x14ac:dyDescent="0.25">
      <c r="C359" s="60"/>
      <c r="D359" s="60"/>
      <c r="E359" s="44"/>
      <c r="F359" s="44"/>
      <c r="G359" s="44"/>
      <c r="H359" s="44"/>
      <c r="I359" s="44"/>
      <c r="J359" s="44"/>
      <c r="K359" s="44"/>
      <c r="L359" s="44"/>
      <c r="M359" s="63"/>
      <c r="N359" s="44"/>
      <c r="O359" s="63"/>
      <c r="P359" s="44"/>
      <c r="Q359" s="72"/>
      <c r="R359" s="72"/>
      <c r="S359" s="72"/>
      <c r="T359" s="72"/>
      <c r="U359" s="73"/>
      <c r="V359" s="73"/>
      <c r="W359" s="74"/>
      <c r="X359" s="46"/>
      <c r="Y359" s="46"/>
      <c r="Z359" s="44"/>
      <c r="AA359" s="44"/>
      <c r="AB359" s="47"/>
    </row>
    <row r="360" spans="3:28" ht="20.100000000000001" customHeight="1" x14ac:dyDescent="0.25">
      <c r="C360" s="60"/>
      <c r="D360" s="60"/>
      <c r="E360" s="44"/>
      <c r="F360" s="44"/>
      <c r="G360" s="44"/>
      <c r="H360" s="44"/>
      <c r="I360" s="44"/>
      <c r="J360" s="44"/>
      <c r="K360" s="44"/>
      <c r="L360" s="44"/>
      <c r="M360" s="63"/>
      <c r="N360" s="44"/>
      <c r="O360" s="63"/>
      <c r="P360" s="44"/>
      <c r="Q360" s="72"/>
      <c r="R360" s="72"/>
      <c r="S360" s="72"/>
      <c r="T360" s="72"/>
      <c r="U360" s="73"/>
      <c r="V360" s="73"/>
      <c r="W360" s="74"/>
      <c r="X360" s="46"/>
      <c r="Y360" s="46"/>
      <c r="Z360" s="44"/>
      <c r="AA360" s="44"/>
      <c r="AB360" s="47"/>
    </row>
    <row r="361" spans="3:28" ht="20.100000000000001" customHeight="1" x14ac:dyDescent="0.25">
      <c r="C361" s="60"/>
      <c r="D361" s="60"/>
      <c r="E361" s="44"/>
      <c r="F361" s="44"/>
      <c r="G361" s="44"/>
      <c r="H361" s="44"/>
      <c r="I361" s="44"/>
      <c r="J361" s="44"/>
      <c r="K361" s="44"/>
      <c r="L361" s="44"/>
      <c r="M361" s="63"/>
      <c r="N361" s="44"/>
      <c r="O361" s="63"/>
      <c r="P361" s="44"/>
      <c r="Q361" s="72"/>
      <c r="R361" s="72"/>
      <c r="S361" s="72"/>
      <c r="T361" s="72"/>
      <c r="U361" s="73"/>
      <c r="V361" s="73"/>
      <c r="W361" s="74"/>
      <c r="X361" s="46"/>
      <c r="Y361" s="46"/>
      <c r="Z361" s="44"/>
      <c r="AA361" s="44"/>
      <c r="AB361" s="47"/>
    </row>
    <row r="362" spans="3:28" ht="20.100000000000001" customHeight="1" x14ac:dyDescent="0.25">
      <c r="C362" s="60"/>
      <c r="D362" s="60"/>
      <c r="E362" s="44"/>
      <c r="F362" s="44"/>
      <c r="G362" s="44"/>
      <c r="H362" s="44"/>
      <c r="I362" s="44"/>
      <c r="J362" s="44"/>
      <c r="K362" s="44"/>
      <c r="L362" s="44"/>
      <c r="M362" s="63"/>
      <c r="N362" s="44"/>
      <c r="O362" s="63"/>
      <c r="P362" s="44"/>
      <c r="Q362" s="72"/>
      <c r="R362" s="72"/>
      <c r="S362" s="72"/>
      <c r="T362" s="72"/>
      <c r="U362" s="73"/>
      <c r="V362" s="73"/>
      <c r="W362" s="74"/>
      <c r="X362" s="46"/>
      <c r="Y362" s="46"/>
      <c r="Z362" s="44"/>
      <c r="AA362" s="44"/>
      <c r="AB362" s="47"/>
    </row>
    <row r="363" spans="3:28" ht="20.100000000000001" customHeight="1" x14ac:dyDescent="0.25">
      <c r="C363" s="60"/>
      <c r="D363" s="60"/>
      <c r="E363" s="44"/>
      <c r="F363" s="44"/>
      <c r="G363" s="44"/>
      <c r="H363" s="44"/>
      <c r="I363" s="44"/>
      <c r="J363" s="44"/>
      <c r="K363" s="44"/>
      <c r="L363" s="44"/>
      <c r="M363" s="63"/>
      <c r="N363" s="44"/>
      <c r="O363" s="63"/>
      <c r="P363" s="44"/>
      <c r="Q363" s="72"/>
      <c r="R363" s="72"/>
      <c r="S363" s="72"/>
      <c r="T363" s="72"/>
      <c r="U363" s="73"/>
      <c r="V363" s="73"/>
      <c r="W363" s="74"/>
      <c r="X363" s="46"/>
      <c r="Y363" s="46"/>
      <c r="Z363" s="44"/>
      <c r="AA363" s="44"/>
      <c r="AB363" s="47"/>
    </row>
    <row r="364" spans="3:28" ht="20.100000000000001" customHeight="1" x14ac:dyDescent="0.25">
      <c r="C364" s="60"/>
      <c r="D364" s="60"/>
      <c r="E364" s="44"/>
      <c r="F364" s="44"/>
      <c r="G364" s="44"/>
      <c r="H364" s="44"/>
      <c r="I364" s="44"/>
      <c r="J364" s="44"/>
      <c r="K364" s="44"/>
      <c r="L364" s="44"/>
      <c r="M364" s="63"/>
      <c r="N364" s="44"/>
      <c r="O364" s="63"/>
      <c r="P364" s="44"/>
      <c r="Q364" s="72"/>
      <c r="R364" s="72"/>
      <c r="S364" s="72"/>
      <c r="T364" s="72"/>
      <c r="U364" s="73"/>
      <c r="V364" s="73"/>
      <c r="W364" s="74"/>
      <c r="X364" s="46"/>
      <c r="Y364" s="46"/>
      <c r="Z364" s="44"/>
      <c r="AA364" s="44"/>
      <c r="AB364" s="47"/>
    </row>
    <row r="365" spans="3:28" ht="20.100000000000001" customHeight="1" x14ac:dyDescent="0.25">
      <c r="C365" s="60"/>
      <c r="D365" s="60"/>
      <c r="E365" s="44"/>
      <c r="F365" s="44"/>
      <c r="G365" s="44"/>
      <c r="H365" s="44"/>
      <c r="I365" s="44"/>
      <c r="J365" s="44"/>
      <c r="K365" s="44"/>
      <c r="L365" s="44"/>
      <c r="M365" s="63"/>
      <c r="N365" s="44"/>
      <c r="O365" s="63"/>
      <c r="P365" s="44"/>
      <c r="Q365" s="72"/>
      <c r="R365" s="72"/>
      <c r="S365" s="72"/>
      <c r="T365" s="72"/>
      <c r="U365" s="73"/>
      <c r="V365" s="73"/>
      <c r="W365" s="74"/>
      <c r="X365" s="46"/>
      <c r="Y365" s="46"/>
      <c r="Z365" s="44"/>
      <c r="AA365" s="44"/>
      <c r="AB365" s="47"/>
    </row>
    <row r="366" spans="3:28" ht="20.100000000000001" customHeight="1" x14ac:dyDescent="0.25">
      <c r="C366" s="60"/>
      <c r="D366" s="60"/>
      <c r="E366" s="44"/>
      <c r="F366" s="44"/>
      <c r="G366" s="44"/>
      <c r="H366" s="44"/>
      <c r="I366" s="44"/>
      <c r="J366" s="44"/>
      <c r="K366" s="44"/>
      <c r="L366" s="44"/>
      <c r="M366" s="63"/>
      <c r="N366" s="44"/>
      <c r="O366" s="63"/>
      <c r="P366" s="44"/>
      <c r="Q366" s="72"/>
      <c r="R366" s="72"/>
      <c r="S366" s="72"/>
      <c r="T366" s="72"/>
      <c r="U366" s="73"/>
      <c r="V366" s="73"/>
      <c r="W366" s="74"/>
      <c r="X366" s="46"/>
      <c r="Y366" s="46"/>
      <c r="Z366" s="44"/>
      <c r="AA366" s="44"/>
      <c r="AB366" s="47"/>
    </row>
    <row r="367" spans="3:28" ht="20.100000000000001" customHeight="1" x14ac:dyDescent="0.25">
      <c r="C367" s="60"/>
      <c r="D367" s="60"/>
      <c r="E367" s="44"/>
      <c r="F367" s="44"/>
      <c r="G367" s="44"/>
      <c r="H367" s="44"/>
      <c r="I367" s="44"/>
      <c r="J367" s="44"/>
      <c r="K367" s="44"/>
      <c r="L367" s="44"/>
      <c r="M367" s="63"/>
      <c r="N367" s="44"/>
      <c r="O367" s="63"/>
      <c r="P367" s="44"/>
      <c r="Q367" s="72"/>
      <c r="R367" s="72"/>
      <c r="S367" s="72"/>
      <c r="T367" s="72"/>
      <c r="U367" s="73"/>
      <c r="V367" s="73"/>
      <c r="W367" s="74"/>
      <c r="X367" s="46"/>
      <c r="Y367" s="46"/>
      <c r="Z367" s="44"/>
      <c r="AA367" s="44"/>
      <c r="AB367" s="47"/>
    </row>
    <row r="368" spans="3:28" ht="20.100000000000001" customHeight="1" x14ac:dyDescent="0.25">
      <c r="C368" s="60"/>
      <c r="D368" s="60"/>
      <c r="E368" s="44"/>
      <c r="F368" s="44"/>
      <c r="G368" s="44"/>
      <c r="H368" s="44"/>
      <c r="I368" s="44"/>
      <c r="J368" s="44"/>
      <c r="K368" s="44"/>
      <c r="L368" s="44"/>
      <c r="M368" s="63"/>
      <c r="N368" s="44"/>
      <c r="O368" s="63"/>
      <c r="P368" s="44"/>
      <c r="Q368" s="72"/>
      <c r="R368" s="72"/>
      <c r="S368" s="72"/>
      <c r="T368" s="72"/>
      <c r="U368" s="73"/>
      <c r="V368" s="73"/>
      <c r="W368" s="74"/>
      <c r="X368" s="46"/>
      <c r="Y368" s="46"/>
      <c r="Z368" s="44"/>
      <c r="AA368" s="44"/>
      <c r="AB368" s="47"/>
    </row>
    <row r="369" spans="3:28" ht="20.100000000000001" customHeight="1" x14ac:dyDescent="0.25">
      <c r="C369" s="60"/>
      <c r="D369" s="60"/>
      <c r="E369" s="44"/>
      <c r="F369" s="44"/>
      <c r="G369" s="44"/>
      <c r="H369" s="44"/>
      <c r="I369" s="44"/>
      <c r="J369" s="44"/>
      <c r="K369" s="44"/>
      <c r="L369" s="44"/>
      <c r="M369" s="63"/>
      <c r="N369" s="44"/>
      <c r="O369" s="63"/>
      <c r="P369" s="44"/>
      <c r="Q369" s="72"/>
      <c r="R369" s="72"/>
      <c r="S369" s="72"/>
      <c r="T369" s="72"/>
      <c r="U369" s="73"/>
      <c r="V369" s="73"/>
      <c r="W369" s="74"/>
      <c r="X369" s="46"/>
      <c r="Y369" s="46"/>
      <c r="Z369" s="44"/>
      <c r="AA369" s="44"/>
      <c r="AB369" s="47"/>
    </row>
    <row r="370" spans="3:28" ht="20.100000000000001" customHeight="1" x14ac:dyDescent="0.25">
      <c r="R370" s="75"/>
      <c r="S370" s="75"/>
    </row>
    <row r="371" spans="3:28" ht="20.100000000000001" customHeight="1" x14ac:dyDescent="0.25">
      <c r="R371" s="75"/>
      <c r="S371" s="75"/>
    </row>
    <row r="372" spans="3:28" ht="20.100000000000001" customHeight="1" x14ac:dyDescent="0.25">
      <c r="R372" s="75"/>
      <c r="S372" s="75"/>
    </row>
    <row r="373" spans="3:28" ht="20.100000000000001" customHeight="1" x14ac:dyDescent="0.25">
      <c r="R373" s="75"/>
      <c r="S373" s="75"/>
    </row>
    <row r="374" spans="3:28" ht="20.100000000000001" customHeight="1" x14ac:dyDescent="0.25">
      <c r="R374" s="75"/>
      <c r="S374" s="75"/>
    </row>
    <row r="375" spans="3:28" ht="20.100000000000001" customHeight="1" x14ac:dyDescent="0.25">
      <c r="R375" s="75"/>
      <c r="S375" s="75"/>
    </row>
    <row r="376" spans="3:28" ht="20.100000000000001" customHeight="1" x14ac:dyDescent="0.25">
      <c r="R376" s="75"/>
      <c r="S376" s="75"/>
    </row>
    <row r="377" spans="3:28" ht="20.100000000000001" customHeight="1" x14ac:dyDescent="0.25">
      <c r="R377" s="75"/>
      <c r="S377" s="75"/>
    </row>
    <row r="378" spans="3:28" ht="20.100000000000001" customHeight="1" x14ac:dyDescent="0.25">
      <c r="R378" s="75"/>
      <c r="S378" s="75"/>
    </row>
    <row r="379" spans="3:28" ht="20.100000000000001" customHeight="1" x14ac:dyDescent="0.25">
      <c r="R379" s="75"/>
      <c r="S379" s="75"/>
    </row>
    <row r="380" spans="3:28" ht="20.100000000000001" customHeight="1" x14ac:dyDescent="0.25">
      <c r="R380" s="75"/>
      <c r="S380" s="75"/>
    </row>
    <row r="381" spans="3:28" ht="20.100000000000001" customHeight="1" x14ac:dyDescent="0.25">
      <c r="R381" s="75"/>
      <c r="S381" s="75"/>
    </row>
    <row r="382" spans="3:28" ht="20.100000000000001" customHeight="1" x14ac:dyDescent="0.25">
      <c r="R382" s="75"/>
      <c r="S382" s="75"/>
    </row>
    <row r="383" spans="3:28" ht="20.100000000000001" customHeight="1" x14ac:dyDescent="0.25">
      <c r="R383" s="75"/>
      <c r="S383" s="75"/>
    </row>
    <row r="384" spans="3:28" ht="20.100000000000001" customHeight="1" x14ac:dyDescent="0.25">
      <c r="R384" s="75"/>
      <c r="S384" s="75"/>
    </row>
    <row r="385" spans="18:19" ht="20.100000000000001" customHeight="1" x14ac:dyDescent="0.25">
      <c r="R385" s="75"/>
      <c r="S385" s="75"/>
    </row>
    <row r="386" spans="18:19" ht="20.100000000000001" customHeight="1" x14ac:dyDescent="0.25">
      <c r="R386" s="75"/>
      <c r="S386" s="75"/>
    </row>
    <row r="387" spans="18:19" ht="20.100000000000001" customHeight="1" x14ac:dyDescent="0.25">
      <c r="R387" s="75"/>
      <c r="S387" s="75"/>
    </row>
    <row r="388" spans="18:19" ht="20.100000000000001" customHeight="1" x14ac:dyDescent="0.25">
      <c r="R388" s="75"/>
      <c r="S388" s="75"/>
    </row>
    <row r="389" spans="18:19" ht="20.100000000000001" customHeight="1" x14ac:dyDescent="0.25">
      <c r="R389" s="75"/>
      <c r="S389" s="75"/>
    </row>
    <row r="390" spans="18:19" ht="20.100000000000001" customHeight="1" x14ac:dyDescent="0.25">
      <c r="R390" s="75"/>
      <c r="S390" s="75"/>
    </row>
    <row r="391" spans="18:19" ht="20.100000000000001" customHeight="1" x14ac:dyDescent="0.25">
      <c r="R391" s="75"/>
      <c r="S391" s="75"/>
    </row>
    <row r="392" spans="18:19" ht="20.100000000000001" customHeight="1" x14ac:dyDescent="0.25">
      <c r="R392" s="75"/>
      <c r="S392" s="75"/>
    </row>
    <row r="393" spans="18:19" ht="20.100000000000001" customHeight="1" x14ac:dyDescent="0.25">
      <c r="R393" s="75"/>
      <c r="S393" s="75"/>
    </row>
    <row r="394" spans="18:19" ht="20.100000000000001" customHeight="1" x14ac:dyDescent="0.25">
      <c r="R394" s="75"/>
      <c r="S394" s="75"/>
    </row>
    <row r="395" spans="18:19" ht="20.100000000000001" customHeight="1" x14ac:dyDescent="0.25">
      <c r="R395" s="75"/>
      <c r="S395" s="75"/>
    </row>
    <row r="396" spans="18:19" ht="20.100000000000001" customHeight="1" x14ac:dyDescent="0.25">
      <c r="R396" s="75"/>
      <c r="S396" s="75"/>
    </row>
    <row r="397" spans="18:19" ht="20.100000000000001" customHeight="1" x14ac:dyDescent="0.25">
      <c r="R397" s="75"/>
      <c r="S397" s="75"/>
    </row>
    <row r="398" spans="18:19" ht="20.100000000000001" customHeight="1" x14ac:dyDescent="0.25">
      <c r="R398" s="75"/>
      <c r="S398" s="75"/>
    </row>
    <row r="399" spans="18:19" ht="20.100000000000001" customHeight="1" x14ac:dyDescent="0.25">
      <c r="R399" s="75"/>
      <c r="S399" s="75"/>
    </row>
    <row r="400" spans="18:19" ht="20.100000000000001" customHeight="1" x14ac:dyDescent="0.25">
      <c r="R400" s="75"/>
      <c r="S400" s="75"/>
    </row>
    <row r="401" spans="18:19" ht="20.100000000000001" customHeight="1" x14ac:dyDescent="0.25">
      <c r="R401" s="75"/>
      <c r="S401" s="75"/>
    </row>
    <row r="402" spans="18:19" ht="20.100000000000001" customHeight="1" x14ac:dyDescent="0.25">
      <c r="R402" s="75"/>
      <c r="S402" s="75"/>
    </row>
    <row r="403" spans="18:19" ht="20.100000000000001" customHeight="1" x14ac:dyDescent="0.25">
      <c r="R403" s="75"/>
      <c r="S403" s="75"/>
    </row>
    <row r="404" spans="18:19" ht="20.100000000000001" customHeight="1" x14ac:dyDescent="0.25">
      <c r="R404" s="75"/>
      <c r="S404" s="75"/>
    </row>
    <row r="405" spans="18:19" ht="20.100000000000001" customHeight="1" x14ac:dyDescent="0.25">
      <c r="R405" s="75"/>
      <c r="S405" s="75"/>
    </row>
    <row r="406" spans="18:19" ht="20.100000000000001" customHeight="1" x14ac:dyDescent="0.25">
      <c r="R406" s="75"/>
      <c r="S406" s="75"/>
    </row>
    <row r="407" spans="18:19" ht="20.100000000000001" customHeight="1" x14ac:dyDescent="0.25">
      <c r="R407" s="75"/>
      <c r="S407" s="75"/>
    </row>
    <row r="408" spans="18:19" ht="20.100000000000001" customHeight="1" x14ac:dyDescent="0.25">
      <c r="R408" s="75"/>
      <c r="S408" s="75"/>
    </row>
    <row r="409" spans="18:19" ht="20.100000000000001" customHeight="1" x14ac:dyDescent="0.25">
      <c r="R409" s="75"/>
      <c r="S409" s="75"/>
    </row>
    <row r="410" spans="18:19" ht="20.100000000000001" customHeight="1" x14ac:dyDescent="0.25">
      <c r="R410" s="75"/>
      <c r="S410" s="75"/>
    </row>
    <row r="411" spans="18:19" ht="20.100000000000001" customHeight="1" x14ac:dyDescent="0.25">
      <c r="R411" s="75"/>
      <c r="S411" s="75"/>
    </row>
    <row r="412" spans="18:19" ht="20.100000000000001" customHeight="1" x14ac:dyDescent="0.25">
      <c r="R412" s="75"/>
      <c r="S412" s="75"/>
    </row>
    <row r="413" spans="18:19" ht="20.100000000000001" customHeight="1" x14ac:dyDescent="0.25">
      <c r="R413" s="75"/>
      <c r="S413" s="75"/>
    </row>
    <row r="414" spans="18:19" ht="20.100000000000001" customHeight="1" x14ac:dyDescent="0.25">
      <c r="R414" s="75"/>
      <c r="S414" s="75"/>
    </row>
    <row r="415" spans="18:19" ht="20.100000000000001" customHeight="1" x14ac:dyDescent="0.25">
      <c r="R415" s="75"/>
      <c r="S415" s="75"/>
    </row>
    <row r="416" spans="18:19" ht="20.100000000000001" customHeight="1" x14ac:dyDescent="0.25">
      <c r="R416" s="75"/>
      <c r="S416" s="75"/>
    </row>
    <row r="417" spans="18:19" ht="20.100000000000001" customHeight="1" x14ac:dyDescent="0.25">
      <c r="R417" s="75"/>
      <c r="S417" s="75"/>
    </row>
    <row r="418" spans="18:19" ht="20.100000000000001" customHeight="1" x14ac:dyDescent="0.25">
      <c r="R418" s="75"/>
      <c r="S418" s="75"/>
    </row>
    <row r="419" spans="18:19" ht="20.100000000000001" customHeight="1" x14ac:dyDescent="0.25">
      <c r="R419" s="75"/>
      <c r="S419" s="75"/>
    </row>
    <row r="420" spans="18:19" ht="20.100000000000001" customHeight="1" x14ac:dyDescent="0.25">
      <c r="R420" s="75"/>
      <c r="S420" s="75"/>
    </row>
    <row r="421" spans="18:19" ht="20.100000000000001" customHeight="1" x14ac:dyDescent="0.25">
      <c r="R421" s="75"/>
      <c r="S421" s="75"/>
    </row>
    <row r="422" spans="18:19" ht="20.100000000000001" customHeight="1" x14ac:dyDescent="0.25">
      <c r="R422" s="75"/>
      <c r="S422" s="75"/>
    </row>
    <row r="423" spans="18:19" ht="20.100000000000001" customHeight="1" x14ac:dyDescent="0.25">
      <c r="R423" s="75"/>
      <c r="S423" s="75"/>
    </row>
    <row r="424" spans="18:19" ht="20.100000000000001" customHeight="1" x14ac:dyDescent="0.25">
      <c r="R424" s="75"/>
      <c r="S424" s="75"/>
    </row>
    <row r="425" spans="18:19" ht="20.100000000000001" customHeight="1" x14ac:dyDescent="0.25">
      <c r="R425" s="75"/>
      <c r="S425" s="75"/>
    </row>
    <row r="426" spans="18:19" ht="20.100000000000001" customHeight="1" x14ac:dyDescent="0.25">
      <c r="R426" s="75"/>
      <c r="S426" s="75"/>
    </row>
    <row r="427" spans="18:19" ht="20.100000000000001" customHeight="1" x14ac:dyDescent="0.25">
      <c r="R427" s="75"/>
      <c r="S427" s="75"/>
    </row>
    <row r="428" spans="18:19" ht="20.100000000000001" customHeight="1" x14ac:dyDescent="0.25">
      <c r="R428" s="75"/>
      <c r="S428" s="75"/>
    </row>
    <row r="429" spans="18:19" ht="20.100000000000001" customHeight="1" x14ac:dyDescent="0.25">
      <c r="R429" s="75"/>
      <c r="S429" s="75"/>
    </row>
    <row r="430" spans="18:19" ht="20.100000000000001" customHeight="1" x14ac:dyDescent="0.25">
      <c r="R430" s="75"/>
      <c r="S430" s="75"/>
    </row>
    <row r="431" spans="18:19" ht="20.100000000000001" customHeight="1" x14ac:dyDescent="0.25">
      <c r="R431" s="75"/>
      <c r="S431" s="75"/>
    </row>
    <row r="432" spans="18:19" ht="20.100000000000001" customHeight="1" x14ac:dyDescent="0.25">
      <c r="R432" s="75"/>
      <c r="S432" s="75"/>
    </row>
    <row r="433" spans="18:19" ht="20.100000000000001" customHeight="1" x14ac:dyDescent="0.25">
      <c r="R433" s="75"/>
      <c r="S433" s="75"/>
    </row>
    <row r="434" spans="18:19" ht="20.100000000000001" customHeight="1" x14ac:dyDescent="0.25">
      <c r="R434" s="75"/>
      <c r="S434" s="75"/>
    </row>
    <row r="435" spans="18:19" ht="20.100000000000001" customHeight="1" x14ac:dyDescent="0.25">
      <c r="R435" s="75"/>
      <c r="S435" s="75"/>
    </row>
    <row r="436" spans="18:19" ht="20.100000000000001" customHeight="1" x14ac:dyDescent="0.25">
      <c r="R436" s="75"/>
      <c r="S436" s="75"/>
    </row>
    <row r="437" spans="18:19" ht="20.100000000000001" customHeight="1" x14ac:dyDescent="0.25">
      <c r="R437" s="75"/>
      <c r="S437" s="75"/>
    </row>
    <row r="438" spans="18:19" ht="20.100000000000001" customHeight="1" x14ac:dyDescent="0.25">
      <c r="R438" s="75"/>
      <c r="S438" s="75"/>
    </row>
    <row r="439" spans="18:19" ht="20.100000000000001" customHeight="1" x14ac:dyDescent="0.25">
      <c r="R439" s="75"/>
      <c r="S439" s="75"/>
    </row>
    <row r="440" spans="18:19" ht="20.100000000000001" customHeight="1" x14ac:dyDescent="0.25">
      <c r="R440" s="75"/>
      <c r="S440" s="75"/>
    </row>
    <row r="441" spans="18:19" ht="20.100000000000001" customHeight="1" x14ac:dyDescent="0.25">
      <c r="R441" s="75"/>
      <c r="S441" s="75"/>
    </row>
    <row r="442" spans="18:19" ht="20.100000000000001" customHeight="1" x14ac:dyDescent="0.25">
      <c r="R442" s="75"/>
      <c r="S442" s="75"/>
    </row>
    <row r="443" spans="18:19" ht="20.100000000000001" customHeight="1" x14ac:dyDescent="0.25">
      <c r="R443" s="75"/>
      <c r="S443" s="75"/>
    </row>
    <row r="444" spans="18:19" ht="20.100000000000001" customHeight="1" x14ac:dyDescent="0.25">
      <c r="R444" s="75"/>
      <c r="S444" s="75"/>
    </row>
    <row r="445" spans="18:19" ht="20.100000000000001" customHeight="1" x14ac:dyDescent="0.25">
      <c r="R445" s="75"/>
      <c r="S445" s="75"/>
    </row>
    <row r="446" spans="18:19" ht="20.100000000000001" customHeight="1" x14ac:dyDescent="0.25">
      <c r="R446" s="75"/>
      <c r="S446" s="75"/>
    </row>
    <row r="447" spans="18:19" ht="20.100000000000001" customHeight="1" x14ac:dyDescent="0.25">
      <c r="R447" s="75"/>
      <c r="S447" s="75"/>
    </row>
    <row r="448" spans="18:19" ht="20.100000000000001" customHeight="1" x14ac:dyDescent="0.25">
      <c r="R448" s="75"/>
      <c r="S448" s="75"/>
    </row>
    <row r="449" spans="18:19" ht="20.100000000000001" customHeight="1" x14ac:dyDescent="0.25">
      <c r="R449" s="75"/>
      <c r="S449" s="75"/>
    </row>
    <row r="450" spans="18:19" ht="20.100000000000001" customHeight="1" x14ac:dyDescent="0.25">
      <c r="R450" s="75"/>
      <c r="S450" s="75"/>
    </row>
    <row r="451" spans="18:19" ht="20.100000000000001" customHeight="1" x14ac:dyDescent="0.25">
      <c r="R451" s="75"/>
      <c r="S451" s="75"/>
    </row>
    <row r="452" spans="18:19" ht="20.100000000000001" customHeight="1" x14ac:dyDescent="0.25">
      <c r="R452" s="75"/>
      <c r="S452" s="75"/>
    </row>
    <row r="453" spans="18:19" ht="20.100000000000001" customHeight="1" x14ac:dyDescent="0.25">
      <c r="R453" s="75"/>
      <c r="S453" s="75"/>
    </row>
    <row r="454" spans="18:19" ht="20.100000000000001" customHeight="1" x14ac:dyDescent="0.25">
      <c r="R454" s="75"/>
      <c r="S454" s="75"/>
    </row>
    <row r="455" spans="18:19" ht="20.100000000000001" customHeight="1" x14ac:dyDescent="0.25">
      <c r="R455" s="75"/>
      <c r="S455" s="75"/>
    </row>
    <row r="456" spans="18:19" ht="20.100000000000001" customHeight="1" x14ac:dyDescent="0.25">
      <c r="R456" s="75"/>
      <c r="S456" s="75"/>
    </row>
    <row r="457" spans="18:19" ht="20.100000000000001" customHeight="1" x14ac:dyDescent="0.25">
      <c r="R457" s="75"/>
      <c r="S457" s="75"/>
    </row>
    <row r="458" spans="18:19" ht="20.100000000000001" customHeight="1" x14ac:dyDescent="0.25">
      <c r="R458" s="75"/>
      <c r="S458" s="75"/>
    </row>
    <row r="459" spans="18:19" ht="20.100000000000001" customHeight="1" x14ac:dyDescent="0.25">
      <c r="R459" s="75"/>
      <c r="S459" s="75"/>
    </row>
    <row r="460" spans="18:19" ht="20.100000000000001" customHeight="1" x14ac:dyDescent="0.25">
      <c r="R460" s="75"/>
      <c r="S460" s="75"/>
    </row>
    <row r="461" spans="18:19" ht="20.100000000000001" customHeight="1" x14ac:dyDescent="0.25">
      <c r="R461" s="75"/>
      <c r="S461" s="75"/>
    </row>
    <row r="462" spans="18:19" ht="20.100000000000001" customHeight="1" x14ac:dyDescent="0.25">
      <c r="R462" s="75"/>
      <c r="S462" s="75"/>
    </row>
    <row r="463" spans="18:19" ht="20.100000000000001" customHeight="1" x14ac:dyDescent="0.25">
      <c r="R463" s="75"/>
      <c r="S463" s="75"/>
    </row>
    <row r="464" spans="18:19" ht="20.100000000000001" customHeight="1" x14ac:dyDescent="0.25">
      <c r="R464" s="75"/>
      <c r="S464" s="75"/>
    </row>
    <row r="465" spans="18:19" ht="20.100000000000001" customHeight="1" x14ac:dyDescent="0.25">
      <c r="R465" s="75"/>
      <c r="S465" s="75"/>
    </row>
    <row r="466" spans="18:19" ht="20.100000000000001" customHeight="1" x14ac:dyDescent="0.25">
      <c r="R466" s="75"/>
      <c r="S466" s="75"/>
    </row>
    <row r="467" spans="18:19" ht="20.100000000000001" customHeight="1" x14ac:dyDescent="0.25">
      <c r="R467" s="75"/>
      <c r="S467" s="75"/>
    </row>
    <row r="468" spans="18:19" ht="20.100000000000001" customHeight="1" x14ac:dyDescent="0.25">
      <c r="R468" s="75"/>
      <c r="S468" s="75"/>
    </row>
    <row r="469" spans="18:19" ht="20.100000000000001" customHeight="1" x14ac:dyDescent="0.25">
      <c r="R469" s="75"/>
      <c r="S469" s="75"/>
    </row>
    <row r="470" spans="18:19" ht="20.100000000000001" customHeight="1" x14ac:dyDescent="0.25">
      <c r="R470" s="75"/>
      <c r="S470" s="75"/>
    </row>
    <row r="471" spans="18:19" ht="20.100000000000001" customHeight="1" x14ac:dyDescent="0.25">
      <c r="R471" s="75"/>
      <c r="S471" s="75"/>
    </row>
    <row r="472" spans="18:19" ht="20.100000000000001" customHeight="1" x14ac:dyDescent="0.25">
      <c r="R472" s="75"/>
      <c r="S472" s="75"/>
    </row>
    <row r="473" spans="18:19" ht="20.100000000000001" customHeight="1" x14ac:dyDescent="0.25">
      <c r="R473" s="75"/>
      <c r="S473" s="75"/>
    </row>
    <row r="474" spans="18:19" ht="20.100000000000001" customHeight="1" x14ac:dyDescent="0.25">
      <c r="R474" s="75"/>
      <c r="S474" s="75"/>
    </row>
    <row r="475" spans="18:19" ht="20.100000000000001" customHeight="1" x14ac:dyDescent="0.25">
      <c r="R475" s="75"/>
      <c r="S475" s="75"/>
    </row>
    <row r="476" spans="18:19" ht="20.100000000000001" customHeight="1" x14ac:dyDescent="0.25">
      <c r="R476" s="75"/>
      <c r="S476" s="75"/>
    </row>
    <row r="477" spans="18:19" ht="20.100000000000001" customHeight="1" x14ac:dyDescent="0.25">
      <c r="R477" s="75"/>
      <c r="S477" s="75"/>
    </row>
    <row r="478" spans="18:19" ht="20.100000000000001" customHeight="1" x14ac:dyDescent="0.25">
      <c r="R478" s="75"/>
      <c r="S478" s="75"/>
    </row>
    <row r="479" spans="18:19" ht="20.100000000000001" customHeight="1" x14ac:dyDescent="0.25">
      <c r="R479" s="75"/>
      <c r="S479" s="75"/>
    </row>
    <row r="480" spans="18:19" ht="20.100000000000001" customHeight="1" x14ac:dyDescent="0.25">
      <c r="R480" s="75"/>
      <c r="S480" s="75"/>
    </row>
    <row r="481" spans="18:19" ht="20.100000000000001" customHeight="1" x14ac:dyDescent="0.25">
      <c r="R481" s="75"/>
      <c r="S481" s="75"/>
    </row>
    <row r="482" spans="18:19" ht="20.100000000000001" customHeight="1" x14ac:dyDescent="0.25">
      <c r="R482" s="75"/>
      <c r="S482" s="75"/>
    </row>
    <row r="483" spans="18:19" ht="20.100000000000001" customHeight="1" x14ac:dyDescent="0.25">
      <c r="R483" s="75"/>
      <c r="S483" s="75"/>
    </row>
    <row r="484" spans="18:19" ht="20.100000000000001" customHeight="1" x14ac:dyDescent="0.25">
      <c r="R484" s="75"/>
      <c r="S484" s="75"/>
    </row>
    <row r="485" spans="18:19" ht="20.100000000000001" customHeight="1" x14ac:dyDescent="0.25">
      <c r="R485" s="75"/>
      <c r="S485" s="75"/>
    </row>
    <row r="486" spans="18:19" ht="20.100000000000001" customHeight="1" x14ac:dyDescent="0.25">
      <c r="R486" s="75"/>
      <c r="S486" s="75"/>
    </row>
    <row r="487" spans="18:19" ht="20.100000000000001" customHeight="1" x14ac:dyDescent="0.25">
      <c r="R487" s="75"/>
      <c r="S487" s="75"/>
    </row>
    <row r="488" spans="18:19" ht="20.100000000000001" customHeight="1" x14ac:dyDescent="0.25">
      <c r="R488" s="75"/>
      <c r="S488" s="75"/>
    </row>
    <row r="489" spans="18:19" ht="20.100000000000001" customHeight="1" x14ac:dyDescent="0.25">
      <c r="R489" s="75"/>
      <c r="S489" s="75"/>
    </row>
    <row r="490" spans="18:19" ht="20.100000000000001" customHeight="1" x14ac:dyDescent="0.25">
      <c r="R490" s="75"/>
      <c r="S490" s="75"/>
    </row>
    <row r="491" spans="18:19" ht="20.100000000000001" customHeight="1" x14ac:dyDescent="0.25">
      <c r="R491" s="75"/>
      <c r="S491" s="75"/>
    </row>
    <row r="492" spans="18:19" ht="20.100000000000001" customHeight="1" x14ac:dyDescent="0.25">
      <c r="R492" s="75"/>
      <c r="S492" s="75"/>
    </row>
    <row r="493" spans="18:19" ht="20.100000000000001" customHeight="1" x14ac:dyDescent="0.25">
      <c r="R493" s="75"/>
      <c r="S493" s="75"/>
    </row>
    <row r="494" spans="18:19" ht="20.100000000000001" customHeight="1" x14ac:dyDescent="0.25">
      <c r="R494" s="75"/>
      <c r="S494" s="75"/>
    </row>
    <row r="495" spans="18:19" ht="20.100000000000001" customHeight="1" x14ac:dyDescent="0.25">
      <c r="R495" s="75"/>
      <c r="S495" s="75"/>
    </row>
    <row r="496" spans="18:19" ht="20.100000000000001" customHeight="1" x14ac:dyDescent="0.25">
      <c r="R496" s="75"/>
      <c r="S496" s="75"/>
    </row>
    <row r="497" spans="18:19" ht="20.100000000000001" customHeight="1" x14ac:dyDescent="0.25">
      <c r="R497" s="75"/>
      <c r="S497" s="75"/>
    </row>
    <row r="498" spans="18:19" ht="20.100000000000001" customHeight="1" x14ac:dyDescent="0.25">
      <c r="R498" s="75"/>
      <c r="S498" s="75"/>
    </row>
    <row r="499" spans="18:19" ht="20.100000000000001" customHeight="1" x14ac:dyDescent="0.25">
      <c r="R499" s="75"/>
      <c r="S499" s="75"/>
    </row>
    <row r="500" spans="18:19" ht="20.100000000000001" customHeight="1" x14ac:dyDescent="0.25">
      <c r="R500" s="75"/>
      <c r="S500" s="75"/>
    </row>
    <row r="501" spans="18:19" ht="20.100000000000001" customHeight="1" x14ac:dyDescent="0.25">
      <c r="R501" s="75"/>
      <c r="S501" s="75"/>
    </row>
    <row r="502" spans="18:19" ht="20.100000000000001" customHeight="1" x14ac:dyDescent="0.25">
      <c r="R502" s="75"/>
      <c r="S502" s="75"/>
    </row>
    <row r="503" spans="18:19" ht="20.100000000000001" customHeight="1" x14ac:dyDescent="0.25">
      <c r="R503" s="75"/>
      <c r="S503" s="75"/>
    </row>
    <row r="504" spans="18:19" ht="20.100000000000001" customHeight="1" x14ac:dyDescent="0.25">
      <c r="R504" s="75"/>
      <c r="S504" s="75"/>
    </row>
    <row r="505" spans="18:19" ht="20.100000000000001" customHeight="1" x14ac:dyDescent="0.25">
      <c r="R505" s="75"/>
      <c r="S505" s="75"/>
    </row>
    <row r="506" spans="18:19" ht="20.100000000000001" customHeight="1" x14ac:dyDescent="0.25">
      <c r="R506" s="75"/>
      <c r="S506" s="75"/>
    </row>
    <row r="507" spans="18:19" ht="20.100000000000001" customHeight="1" x14ac:dyDescent="0.25">
      <c r="R507" s="75"/>
      <c r="S507" s="75"/>
    </row>
    <row r="508" spans="18:19" ht="20.100000000000001" customHeight="1" x14ac:dyDescent="0.25">
      <c r="R508" s="75"/>
      <c r="S508" s="75"/>
    </row>
    <row r="509" spans="18:19" ht="20.100000000000001" customHeight="1" x14ac:dyDescent="0.25">
      <c r="R509" s="75"/>
      <c r="S509" s="75"/>
    </row>
    <row r="510" spans="18:19" ht="20.100000000000001" customHeight="1" x14ac:dyDescent="0.25">
      <c r="R510" s="75"/>
      <c r="S510" s="75"/>
    </row>
    <row r="511" spans="18:19" ht="20.100000000000001" customHeight="1" x14ac:dyDescent="0.25">
      <c r="R511" s="75"/>
      <c r="S511" s="75"/>
    </row>
    <row r="512" spans="18:19" ht="20.100000000000001" customHeight="1" x14ac:dyDescent="0.25">
      <c r="R512" s="75"/>
      <c r="S512" s="75"/>
    </row>
    <row r="513" spans="18:19" ht="20.100000000000001" customHeight="1" x14ac:dyDescent="0.25">
      <c r="R513" s="75"/>
      <c r="S513" s="75"/>
    </row>
    <row r="514" spans="18:19" ht="20.100000000000001" customHeight="1" x14ac:dyDescent="0.25">
      <c r="R514" s="75"/>
      <c r="S514" s="75"/>
    </row>
    <row r="515" spans="18:19" x14ac:dyDescent="0.25">
      <c r="R515" s="75"/>
      <c r="S515" s="75"/>
    </row>
    <row r="516" spans="18:19" x14ac:dyDescent="0.25">
      <c r="R516" s="75"/>
      <c r="S516" s="75"/>
    </row>
    <row r="517" spans="18:19" x14ac:dyDescent="0.25">
      <c r="R517" s="75"/>
      <c r="S517" s="75"/>
    </row>
    <row r="518" spans="18:19" x14ac:dyDescent="0.25">
      <c r="R518" s="75"/>
      <c r="S518" s="75"/>
    </row>
    <row r="519" spans="18:19" x14ac:dyDescent="0.25">
      <c r="R519" s="75"/>
      <c r="S519" s="75"/>
    </row>
    <row r="520" spans="18:19" x14ac:dyDescent="0.25">
      <c r="R520" s="75"/>
      <c r="S520" s="75"/>
    </row>
    <row r="521" spans="18:19" x14ac:dyDescent="0.25">
      <c r="R521" s="75"/>
      <c r="S521" s="75"/>
    </row>
    <row r="522" spans="18:19" x14ac:dyDescent="0.25">
      <c r="R522" s="75"/>
      <c r="S522" s="75"/>
    </row>
    <row r="523" spans="18:19" x14ac:dyDescent="0.25">
      <c r="R523" s="75"/>
      <c r="S523" s="75"/>
    </row>
    <row r="524" spans="18:19" x14ac:dyDescent="0.25">
      <c r="R524" s="75"/>
      <c r="S524" s="75"/>
    </row>
    <row r="525" spans="18:19" x14ac:dyDescent="0.25">
      <c r="R525" s="75"/>
      <c r="S525" s="75"/>
    </row>
    <row r="526" spans="18:19" x14ac:dyDescent="0.25">
      <c r="R526" s="75"/>
      <c r="S526" s="75"/>
    </row>
    <row r="527" spans="18:19" x14ac:dyDescent="0.25">
      <c r="R527" s="75"/>
      <c r="S527" s="75"/>
    </row>
    <row r="528" spans="18:19" x14ac:dyDescent="0.25">
      <c r="R528" s="75"/>
      <c r="S528" s="75"/>
    </row>
    <row r="529" spans="18:19" x14ac:dyDescent="0.25">
      <c r="R529" s="75"/>
      <c r="S529" s="75"/>
    </row>
    <row r="530" spans="18:19" x14ac:dyDescent="0.25">
      <c r="R530" s="75"/>
      <c r="S530" s="75"/>
    </row>
    <row r="531" spans="18:19" x14ac:dyDescent="0.25">
      <c r="R531" s="75"/>
      <c r="S531" s="75"/>
    </row>
    <row r="532" spans="18:19" x14ac:dyDescent="0.25">
      <c r="R532" s="75"/>
      <c r="S532" s="75"/>
    </row>
    <row r="533" spans="18:19" x14ac:dyDescent="0.25">
      <c r="R533" s="75"/>
      <c r="S533" s="75"/>
    </row>
    <row r="534" spans="18:19" x14ac:dyDescent="0.25">
      <c r="R534" s="75"/>
      <c r="S534" s="75"/>
    </row>
    <row r="535" spans="18:19" x14ac:dyDescent="0.25">
      <c r="R535" s="75"/>
      <c r="S535" s="75"/>
    </row>
    <row r="536" spans="18:19" x14ac:dyDescent="0.25">
      <c r="R536" s="75"/>
      <c r="S536" s="75"/>
    </row>
    <row r="537" spans="18:19" x14ac:dyDescent="0.25">
      <c r="R537" s="75"/>
      <c r="S537" s="75"/>
    </row>
    <row r="538" spans="18:19" x14ac:dyDescent="0.25">
      <c r="R538" s="75"/>
      <c r="S538" s="75"/>
    </row>
    <row r="539" spans="18:19" x14ac:dyDescent="0.25">
      <c r="R539" s="75"/>
      <c r="S539" s="75"/>
    </row>
    <row r="540" spans="18:19" x14ac:dyDescent="0.25">
      <c r="R540" s="75"/>
      <c r="S540" s="75"/>
    </row>
    <row r="541" spans="18:19" x14ac:dyDescent="0.25">
      <c r="R541" s="75"/>
      <c r="S541" s="75"/>
    </row>
    <row r="542" spans="18:19" x14ac:dyDescent="0.25">
      <c r="R542" s="75"/>
      <c r="S542" s="75"/>
    </row>
    <row r="543" spans="18:19" x14ac:dyDescent="0.25">
      <c r="R543" s="75"/>
      <c r="S543" s="75"/>
    </row>
    <row r="544" spans="18:19" x14ac:dyDescent="0.25">
      <c r="R544" s="75"/>
      <c r="S544" s="75"/>
    </row>
    <row r="545" spans="18:19" x14ac:dyDescent="0.25">
      <c r="R545" s="75"/>
      <c r="S545" s="75"/>
    </row>
    <row r="546" spans="18:19" x14ac:dyDescent="0.25">
      <c r="R546" s="75"/>
      <c r="S546" s="75"/>
    </row>
    <row r="547" spans="18:19" x14ac:dyDescent="0.25">
      <c r="R547" s="75"/>
      <c r="S547" s="75"/>
    </row>
    <row r="548" spans="18:19" x14ac:dyDescent="0.25">
      <c r="R548" s="75"/>
      <c r="S548" s="75"/>
    </row>
    <row r="549" spans="18:19" x14ac:dyDescent="0.25">
      <c r="R549" s="75"/>
      <c r="S549" s="75"/>
    </row>
    <row r="550" spans="18:19" x14ac:dyDescent="0.25">
      <c r="R550" s="75"/>
      <c r="S550" s="75"/>
    </row>
    <row r="551" spans="18:19" x14ac:dyDescent="0.25">
      <c r="R551" s="75"/>
      <c r="S551" s="75"/>
    </row>
    <row r="552" spans="18:19" x14ac:dyDescent="0.25">
      <c r="R552" s="75"/>
      <c r="S552" s="75"/>
    </row>
    <row r="553" spans="18:19" x14ac:dyDescent="0.25">
      <c r="R553" s="75"/>
      <c r="S553" s="75"/>
    </row>
    <row r="554" spans="18:19" x14ac:dyDescent="0.25">
      <c r="R554" s="75"/>
      <c r="S554" s="75"/>
    </row>
    <row r="555" spans="18:19" x14ac:dyDescent="0.25">
      <c r="R555" s="75"/>
      <c r="S555" s="75"/>
    </row>
    <row r="556" spans="18:19" x14ac:dyDescent="0.25">
      <c r="R556" s="75"/>
      <c r="S556" s="75"/>
    </row>
    <row r="557" spans="18:19" x14ac:dyDescent="0.25">
      <c r="R557" s="75"/>
      <c r="S557" s="75"/>
    </row>
    <row r="558" spans="18:19" x14ac:dyDescent="0.25">
      <c r="R558" s="75"/>
      <c r="S558" s="75"/>
    </row>
    <row r="559" spans="18:19" x14ac:dyDescent="0.25">
      <c r="R559" s="75"/>
      <c r="S559" s="75"/>
    </row>
    <row r="560" spans="18:19" x14ac:dyDescent="0.25">
      <c r="R560" s="75"/>
      <c r="S560" s="75"/>
    </row>
    <row r="561" spans="18:19" x14ac:dyDescent="0.25">
      <c r="R561" s="75"/>
      <c r="S561" s="75"/>
    </row>
    <row r="562" spans="18:19" x14ac:dyDescent="0.25">
      <c r="R562" s="75"/>
      <c r="S562" s="75"/>
    </row>
    <row r="563" spans="18:19" x14ac:dyDescent="0.25">
      <c r="R563" s="75"/>
      <c r="S563" s="75"/>
    </row>
    <row r="564" spans="18:19" x14ac:dyDescent="0.25">
      <c r="R564" s="75"/>
      <c r="S564" s="75"/>
    </row>
    <row r="565" spans="18:19" x14ac:dyDescent="0.25">
      <c r="R565" s="75"/>
      <c r="S565" s="75"/>
    </row>
    <row r="566" spans="18:19" x14ac:dyDescent="0.25">
      <c r="R566" s="75"/>
      <c r="S566" s="75"/>
    </row>
    <row r="567" spans="18:19" x14ac:dyDescent="0.25">
      <c r="R567" s="75"/>
      <c r="S567" s="75"/>
    </row>
    <row r="568" spans="18:19" x14ac:dyDescent="0.25">
      <c r="R568" s="75"/>
      <c r="S568" s="75"/>
    </row>
    <row r="569" spans="18:19" x14ac:dyDescent="0.25">
      <c r="R569" s="75"/>
      <c r="S569" s="75"/>
    </row>
    <row r="570" spans="18:19" x14ac:dyDescent="0.25">
      <c r="R570" s="75"/>
      <c r="S570" s="75"/>
    </row>
    <row r="571" spans="18:19" x14ac:dyDescent="0.25">
      <c r="R571" s="75"/>
      <c r="S571" s="75"/>
    </row>
    <row r="572" spans="18:19" x14ac:dyDescent="0.25">
      <c r="R572" s="75"/>
      <c r="S572" s="75"/>
    </row>
    <row r="573" spans="18:19" x14ac:dyDescent="0.25">
      <c r="R573" s="75"/>
      <c r="S573" s="75"/>
    </row>
    <row r="574" spans="18:19" x14ac:dyDescent="0.25">
      <c r="R574" s="75"/>
      <c r="S574" s="75"/>
    </row>
    <row r="575" spans="18:19" x14ac:dyDescent="0.25">
      <c r="R575" s="75"/>
      <c r="S575" s="75"/>
    </row>
    <row r="576" spans="18:19" x14ac:dyDescent="0.25">
      <c r="R576" s="75"/>
      <c r="S576" s="75"/>
    </row>
    <row r="577" spans="18:19" x14ac:dyDescent="0.25">
      <c r="R577" s="75"/>
      <c r="S577" s="75"/>
    </row>
    <row r="578" spans="18:19" x14ac:dyDescent="0.25">
      <c r="R578" s="75"/>
      <c r="S578" s="75"/>
    </row>
    <row r="579" spans="18:19" x14ac:dyDescent="0.25">
      <c r="R579" s="75"/>
      <c r="S579" s="75"/>
    </row>
    <row r="580" spans="18:19" x14ac:dyDescent="0.25">
      <c r="R580" s="75"/>
      <c r="S580" s="75"/>
    </row>
    <row r="581" spans="18:19" x14ac:dyDescent="0.25">
      <c r="R581" s="75"/>
      <c r="S581" s="75"/>
    </row>
    <row r="582" spans="18:19" x14ac:dyDescent="0.25">
      <c r="R582" s="75"/>
      <c r="S582" s="75"/>
    </row>
    <row r="583" spans="18:19" x14ac:dyDescent="0.25">
      <c r="R583" s="75"/>
      <c r="S583" s="75"/>
    </row>
    <row r="584" spans="18:19" x14ac:dyDescent="0.25">
      <c r="R584" s="75"/>
      <c r="S584" s="75"/>
    </row>
    <row r="585" spans="18:19" x14ac:dyDescent="0.25">
      <c r="R585" s="75"/>
      <c r="S585" s="75"/>
    </row>
    <row r="586" spans="18:19" x14ac:dyDescent="0.25">
      <c r="R586" s="75"/>
      <c r="S586" s="75"/>
    </row>
    <row r="587" spans="18:19" x14ac:dyDescent="0.25">
      <c r="R587" s="75"/>
      <c r="S587" s="75"/>
    </row>
    <row r="588" spans="18:19" x14ac:dyDescent="0.25">
      <c r="R588" s="75"/>
      <c r="S588" s="75"/>
    </row>
    <row r="589" spans="18:19" x14ac:dyDescent="0.25">
      <c r="R589" s="75"/>
      <c r="S589" s="75"/>
    </row>
    <row r="590" spans="18:19" x14ac:dyDescent="0.25">
      <c r="R590" s="75"/>
      <c r="S590" s="75"/>
    </row>
    <row r="591" spans="18:19" x14ac:dyDescent="0.25">
      <c r="R591" s="75"/>
      <c r="S591" s="75"/>
    </row>
    <row r="592" spans="18:19" x14ac:dyDescent="0.25">
      <c r="R592" s="75"/>
      <c r="S592" s="75"/>
    </row>
    <row r="593" spans="18:19" x14ac:dyDescent="0.25">
      <c r="R593" s="75"/>
      <c r="S593" s="75"/>
    </row>
    <row r="594" spans="18:19" x14ac:dyDescent="0.25">
      <c r="R594" s="75"/>
      <c r="S594" s="75"/>
    </row>
    <row r="595" spans="18:19" x14ac:dyDescent="0.25">
      <c r="R595" s="75"/>
      <c r="S595" s="75"/>
    </row>
    <row r="596" spans="18:19" x14ac:dyDescent="0.25">
      <c r="R596" s="75"/>
      <c r="S596" s="75"/>
    </row>
    <row r="597" spans="18:19" x14ac:dyDescent="0.25">
      <c r="R597" s="75"/>
      <c r="S597" s="75"/>
    </row>
    <row r="598" spans="18:19" x14ac:dyDescent="0.25">
      <c r="R598" s="75"/>
      <c r="S598" s="75"/>
    </row>
    <row r="599" spans="18:19" x14ac:dyDescent="0.25">
      <c r="R599" s="75"/>
      <c r="S599" s="75"/>
    </row>
    <row r="600" spans="18:19" x14ac:dyDescent="0.25">
      <c r="R600" s="75"/>
      <c r="S600" s="75"/>
    </row>
    <row r="601" spans="18:19" x14ac:dyDescent="0.25">
      <c r="R601" s="75"/>
      <c r="S601" s="75"/>
    </row>
    <row r="602" spans="18:19" x14ac:dyDescent="0.25">
      <c r="R602" s="75"/>
      <c r="S602" s="75"/>
    </row>
    <row r="603" spans="18:19" x14ac:dyDescent="0.25">
      <c r="R603" s="75"/>
      <c r="S603" s="75"/>
    </row>
    <row r="604" spans="18:19" x14ac:dyDescent="0.25">
      <c r="R604" s="75"/>
      <c r="S604" s="75"/>
    </row>
    <row r="605" spans="18:19" x14ac:dyDescent="0.25">
      <c r="R605" s="75"/>
      <c r="S605" s="75"/>
    </row>
    <row r="606" spans="18:19" x14ac:dyDescent="0.25">
      <c r="R606" s="75"/>
      <c r="S606" s="75"/>
    </row>
    <row r="607" spans="18:19" x14ac:dyDescent="0.25">
      <c r="R607" s="75"/>
      <c r="S607" s="75"/>
    </row>
    <row r="608" spans="18:19" x14ac:dyDescent="0.25">
      <c r="R608" s="75"/>
      <c r="S608" s="75"/>
    </row>
    <row r="609" spans="18:19" x14ac:dyDescent="0.25">
      <c r="R609" s="75"/>
      <c r="S609" s="75"/>
    </row>
    <row r="610" spans="18:19" x14ac:dyDescent="0.25">
      <c r="R610" s="75"/>
      <c r="S610" s="75"/>
    </row>
    <row r="611" spans="18:19" x14ac:dyDescent="0.25">
      <c r="R611" s="75"/>
      <c r="S611" s="75"/>
    </row>
    <row r="612" spans="18:19" x14ac:dyDescent="0.25">
      <c r="R612" s="75"/>
      <c r="S612" s="75"/>
    </row>
    <row r="613" spans="18:19" x14ac:dyDescent="0.25">
      <c r="R613" s="75"/>
      <c r="S613" s="75"/>
    </row>
    <row r="614" spans="18:19" x14ac:dyDescent="0.25">
      <c r="R614" s="75"/>
      <c r="S614" s="75"/>
    </row>
    <row r="615" spans="18:19" x14ac:dyDescent="0.25">
      <c r="R615" s="75"/>
      <c r="S615" s="75"/>
    </row>
    <row r="616" spans="18:19" x14ac:dyDescent="0.25">
      <c r="R616" s="75"/>
      <c r="S616" s="75"/>
    </row>
    <row r="617" spans="18:19" x14ac:dyDescent="0.25">
      <c r="R617" s="75"/>
      <c r="S617" s="75"/>
    </row>
    <row r="618" spans="18:19" x14ac:dyDescent="0.25">
      <c r="R618" s="75"/>
      <c r="S618" s="75"/>
    </row>
    <row r="619" spans="18:19" x14ac:dyDescent="0.25">
      <c r="R619" s="75"/>
      <c r="S619" s="75"/>
    </row>
    <row r="620" spans="18:19" x14ac:dyDescent="0.25">
      <c r="R620" s="75"/>
      <c r="S620" s="75"/>
    </row>
    <row r="621" spans="18:19" x14ac:dyDescent="0.25">
      <c r="R621" s="75"/>
      <c r="S621" s="75"/>
    </row>
    <row r="622" spans="18:19" x14ac:dyDescent="0.25">
      <c r="R622" s="75"/>
      <c r="S622" s="75"/>
    </row>
    <row r="623" spans="18:19" x14ac:dyDescent="0.25">
      <c r="R623" s="75"/>
      <c r="S623" s="75"/>
    </row>
    <row r="624" spans="18:19" x14ac:dyDescent="0.25">
      <c r="R624" s="75"/>
      <c r="S624" s="75"/>
    </row>
    <row r="625" spans="18:19" x14ac:dyDescent="0.25">
      <c r="R625" s="75"/>
      <c r="S625" s="75"/>
    </row>
    <row r="626" spans="18:19" x14ac:dyDescent="0.25">
      <c r="R626" s="75"/>
      <c r="S626" s="75"/>
    </row>
    <row r="627" spans="18:19" x14ac:dyDescent="0.25">
      <c r="R627" s="75"/>
      <c r="S627" s="75"/>
    </row>
    <row r="628" spans="18:19" x14ac:dyDescent="0.25">
      <c r="R628" s="75"/>
      <c r="S628" s="75"/>
    </row>
    <row r="629" spans="18:19" x14ac:dyDescent="0.25">
      <c r="R629" s="75"/>
      <c r="S629" s="75"/>
    </row>
    <row r="630" spans="18:19" x14ac:dyDescent="0.25">
      <c r="R630" s="75"/>
      <c r="S630" s="75"/>
    </row>
    <row r="631" spans="18:19" x14ac:dyDescent="0.25">
      <c r="R631" s="75"/>
      <c r="S631" s="75"/>
    </row>
    <row r="632" spans="18:19" x14ac:dyDescent="0.25">
      <c r="R632" s="75"/>
      <c r="S632" s="75"/>
    </row>
    <row r="633" spans="18:19" x14ac:dyDescent="0.25">
      <c r="R633" s="75"/>
      <c r="S633" s="75"/>
    </row>
    <row r="634" spans="18:19" x14ac:dyDescent="0.25">
      <c r="R634" s="75"/>
      <c r="S634" s="75"/>
    </row>
    <row r="635" spans="18:19" x14ac:dyDescent="0.25">
      <c r="R635" s="75"/>
      <c r="S635" s="75"/>
    </row>
    <row r="636" spans="18:19" x14ac:dyDescent="0.25">
      <c r="R636" s="75"/>
      <c r="S636" s="75"/>
    </row>
    <row r="637" spans="18:19" x14ac:dyDescent="0.25">
      <c r="R637" s="75"/>
      <c r="S637" s="75"/>
    </row>
    <row r="638" spans="18:19" x14ac:dyDescent="0.25">
      <c r="R638" s="75"/>
      <c r="S638" s="75"/>
    </row>
    <row r="639" spans="18:19" x14ac:dyDescent="0.25">
      <c r="R639" s="75"/>
      <c r="S639" s="75"/>
    </row>
    <row r="640" spans="18:19" x14ac:dyDescent="0.25">
      <c r="R640" s="75"/>
      <c r="S640" s="75"/>
    </row>
    <row r="641" spans="18:19" x14ac:dyDescent="0.25">
      <c r="R641" s="75"/>
      <c r="S641" s="75"/>
    </row>
    <row r="642" spans="18:19" x14ac:dyDescent="0.25">
      <c r="R642" s="75"/>
      <c r="S642" s="75"/>
    </row>
    <row r="643" spans="18:19" x14ac:dyDescent="0.25">
      <c r="R643" s="75"/>
      <c r="S643" s="75"/>
    </row>
    <row r="644" spans="18:19" x14ac:dyDescent="0.25">
      <c r="R644" s="75"/>
      <c r="S644" s="75"/>
    </row>
    <row r="645" spans="18:19" x14ac:dyDescent="0.25">
      <c r="R645" s="75"/>
      <c r="S645" s="75"/>
    </row>
    <row r="646" spans="18:19" x14ac:dyDescent="0.25">
      <c r="R646" s="75"/>
      <c r="S646" s="75"/>
    </row>
    <row r="647" spans="18:19" x14ac:dyDescent="0.25">
      <c r="R647" s="75"/>
      <c r="S647" s="75"/>
    </row>
    <row r="648" spans="18:19" x14ac:dyDescent="0.25">
      <c r="R648" s="75"/>
      <c r="S648" s="75"/>
    </row>
    <row r="649" spans="18:19" x14ac:dyDescent="0.25">
      <c r="R649" s="75"/>
      <c r="S649" s="75"/>
    </row>
    <row r="650" spans="18:19" x14ac:dyDescent="0.25">
      <c r="R650" s="75"/>
      <c r="S650" s="75"/>
    </row>
    <row r="651" spans="18:19" x14ac:dyDescent="0.25">
      <c r="R651" s="75"/>
      <c r="S651" s="75"/>
    </row>
    <row r="652" spans="18:19" x14ac:dyDescent="0.25">
      <c r="R652" s="75"/>
      <c r="S652" s="75"/>
    </row>
    <row r="653" spans="18:19" x14ac:dyDescent="0.25">
      <c r="R653" s="75"/>
      <c r="S653" s="75"/>
    </row>
    <row r="654" spans="18:19" x14ac:dyDescent="0.25">
      <c r="R654" s="75"/>
      <c r="S654" s="75"/>
    </row>
    <row r="655" spans="18:19" x14ac:dyDescent="0.25">
      <c r="R655" s="75"/>
      <c r="S655" s="75"/>
    </row>
    <row r="656" spans="18:19" x14ac:dyDescent="0.25">
      <c r="R656" s="75"/>
      <c r="S656" s="75"/>
    </row>
    <row r="657" spans="18:19" x14ac:dyDescent="0.25">
      <c r="R657" s="75"/>
      <c r="S657" s="75"/>
    </row>
    <row r="658" spans="18:19" x14ac:dyDescent="0.25">
      <c r="R658" s="75"/>
      <c r="S658" s="75"/>
    </row>
    <row r="659" spans="18:19" x14ac:dyDescent="0.25">
      <c r="R659" s="75"/>
      <c r="S659" s="75"/>
    </row>
    <row r="660" spans="18:19" x14ac:dyDescent="0.25">
      <c r="R660" s="75"/>
      <c r="S660" s="75"/>
    </row>
    <row r="661" spans="18:19" x14ac:dyDescent="0.25">
      <c r="R661" s="75"/>
      <c r="S661" s="75"/>
    </row>
    <row r="662" spans="18:19" x14ac:dyDescent="0.25">
      <c r="R662" s="75"/>
      <c r="S662" s="75"/>
    </row>
    <row r="663" spans="18:19" x14ac:dyDescent="0.25">
      <c r="R663" s="75"/>
      <c r="S663" s="75"/>
    </row>
    <row r="664" spans="18:19" x14ac:dyDescent="0.25">
      <c r="R664" s="75"/>
      <c r="S664" s="75"/>
    </row>
    <row r="665" spans="18:19" x14ac:dyDescent="0.25">
      <c r="R665" s="75"/>
      <c r="S665" s="75"/>
    </row>
    <row r="666" spans="18:19" x14ac:dyDescent="0.25">
      <c r="R666" s="75"/>
      <c r="S666" s="75"/>
    </row>
    <row r="667" spans="18:19" x14ac:dyDescent="0.25">
      <c r="R667" s="75"/>
      <c r="S667" s="75"/>
    </row>
    <row r="668" spans="18:19" x14ac:dyDescent="0.25">
      <c r="R668" s="75"/>
      <c r="S668" s="75"/>
    </row>
    <row r="669" spans="18:19" x14ac:dyDescent="0.25">
      <c r="R669" s="75"/>
      <c r="S669" s="75"/>
    </row>
    <row r="670" spans="18:19" x14ac:dyDescent="0.25">
      <c r="R670" s="75"/>
      <c r="S670" s="75"/>
    </row>
    <row r="671" spans="18:19" x14ac:dyDescent="0.25">
      <c r="R671" s="75"/>
      <c r="S671" s="75"/>
    </row>
    <row r="672" spans="18:19" x14ac:dyDescent="0.25">
      <c r="R672" s="75"/>
      <c r="S672" s="75"/>
    </row>
    <row r="673" spans="18:19" x14ac:dyDescent="0.25">
      <c r="R673" s="75"/>
      <c r="S673" s="75"/>
    </row>
    <row r="674" spans="18:19" x14ac:dyDescent="0.25">
      <c r="R674" s="75"/>
      <c r="S674" s="75"/>
    </row>
    <row r="675" spans="18:19" x14ac:dyDescent="0.25">
      <c r="R675" s="75"/>
      <c r="S675" s="75"/>
    </row>
    <row r="676" spans="18:19" x14ac:dyDescent="0.25">
      <c r="R676" s="75"/>
      <c r="S676" s="75"/>
    </row>
    <row r="677" spans="18:19" x14ac:dyDescent="0.25">
      <c r="R677" s="75"/>
      <c r="S677" s="75"/>
    </row>
    <row r="678" spans="18:19" x14ac:dyDescent="0.25">
      <c r="R678" s="75"/>
      <c r="S678" s="75"/>
    </row>
    <row r="679" spans="18:19" x14ac:dyDescent="0.25">
      <c r="R679" s="75"/>
      <c r="S679" s="75"/>
    </row>
    <row r="680" spans="18:19" x14ac:dyDescent="0.25">
      <c r="R680" s="75"/>
      <c r="S680" s="75"/>
    </row>
    <row r="681" spans="18:19" x14ac:dyDescent="0.25">
      <c r="R681" s="75"/>
      <c r="S681" s="75"/>
    </row>
    <row r="682" spans="18:19" x14ac:dyDescent="0.25">
      <c r="R682" s="75"/>
      <c r="S682" s="75"/>
    </row>
    <row r="683" spans="18:19" x14ac:dyDescent="0.25">
      <c r="R683" s="75"/>
      <c r="S683" s="75"/>
    </row>
    <row r="684" spans="18:19" x14ac:dyDescent="0.25">
      <c r="R684" s="75"/>
      <c r="S684" s="75"/>
    </row>
    <row r="685" spans="18:19" x14ac:dyDescent="0.25">
      <c r="R685" s="75"/>
      <c r="S685" s="75"/>
    </row>
    <row r="686" spans="18:19" x14ac:dyDescent="0.25">
      <c r="R686" s="75"/>
      <c r="S686" s="75"/>
    </row>
    <row r="687" spans="18:19" x14ac:dyDescent="0.25">
      <c r="R687" s="75"/>
      <c r="S687" s="75"/>
    </row>
    <row r="688" spans="18:19" x14ac:dyDescent="0.25">
      <c r="R688" s="75"/>
      <c r="S688" s="75"/>
    </row>
    <row r="689" spans="18:19" x14ac:dyDescent="0.25">
      <c r="R689" s="75"/>
      <c r="S689" s="75"/>
    </row>
    <row r="690" spans="18:19" x14ac:dyDescent="0.25">
      <c r="R690" s="75"/>
      <c r="S690" s="75"/>
    </row>
    <row r="691" spans="18:19" x14ac:dyDescent="0.25">
      <c r="R691" s="75"/>
      <c r="S691" s="75"/>
    </row>
    <row r="692" spans="18:19" x14ac:dyDescent="0.25">
      <c r="R692" s="75"/>
      <c r="S692" s="75"/>
    </row>
    <row r="693" spans="18:19" x14ac:dyDescent="0.25">
      <c r="R693" s="75"/>
      <c r="S693" s="75"/>
    </row>
    <row r="694" spans="18:19" x14ac:dyDescent="0.25">
      <c r="R694" s="75"/>
      <c r="S694" s="75"/>
    </row>
    <row r="695" spans="18:19" x14ac:dyDescent="0.25">
      <c r="R695" s="75"/>
      <c r="S695" s="75"/>
    </row>
    <row r="696" spans="18:19" x14ac:dyDescent="0.25">
      <c r="R696" s="75"/>
      <c r="S696" s="75"/>
    </row>
    <row r="697" spans="18:19" x14ac:dyDescent="0.25">
      <c r="R697" s="75"/>
      <c r="S697" s="75"/>
    </row>
    <row r="698" spans="18:19" x14ac:dyDescent="0.25">
      <c r="R698" s="75"/>
      <c r="S698" s="75"/>
    </row>
    <row r="699" spans="18:19" x14ac:dyDescent="0.25">
      <c r="R699" s="75"/>
      <c r="S699" s="75"/>
    </row>
    <row r="700" spans="18:19" x14ac:dyDescent="0.25">
      <c r="R700" s="75"/>
      <c r="S700" s="75"/>
    </row>
    <row r="701" spans="18:19" x14ac:dyDescent="0.25">
      <c r="R701" s="75"/>
      <c r="S701" s="75"/>
    </row>
    <row r="702" spans="18:19" x14ac:dyDescent="0.25">
      <c r="R702" s="75"/>
      <c r="S702" s="75"/>
    </row>
    <row r="703" spans="18:19" x14ac:dyDescent="0.25">
      <c r="R703" s="75"/>
      <c r="S703" s="75"/>
    </row>
    <row r="704" spans="18:19" x14ac:dyDescent="0.25">
      <c r="R704" s="75"/>
      <c r="S704" s="75"/>
    </row>
    <row r="705" spans="18:19" x14ac:dyDescent="0.25">
      <c r="R705" s="75"/>
      <c r="S705" s="75"/>
    </row>
    <row r="706" spans="18:19" x14ac:dyDescent="0.25">
      <c r="R706" s="75"/>
      <c r="S706" s="75"/>
    </row>
    <row r="707" spans="18:19" x14ac:dyDescent="0.25">
      <c r="R707" s="75"/>
      <c r="S707" s="75"/>
    </row>
    <row r="708" spans="18:19" x14ac:dyDescent="0.25">
      <c r="R708" s="75"/>
      <c r="S708" s="75"/>
    </row>
    <row r="709" spans="18:19" x14ac:dyDescent="0.25">
      <c r="R709" s="75"/>
      <c r="S709" s="75"/>
    </row>
    <row r="710" spans="18:19" x14ac:dyDescent="0.25">
      <c r="R710" s="75"/>
      <c r="S710" s="75"/>
    </row>
    <row r="711" spans="18:19" x14ac:dyDescent="0.25">
      <c r="R711" s="75"/>
      <c r="S711" s="75"/>
    </row>
    <row r="712" spans="18:19" x14ac:dyDescent="0.25">
      <c r="R712" s="75"/>
      <c r="S712" s="75"/>
    </row>
    <row r="713" spans="18:19" x14ac:dyDescent="0.25">
      <c r="R713" s="75"/>
      <c r="S713" s="75"/>
    </row>
    <row r="714" spans="18:19" x14ac:dyDescent="0.25">
      <c r="R714" s="75"/>
      <c r="S714" s="75"/>
    </row>
    <row r="715" spans="18:19" x14ac:dyDescent="0.25">
      <c r="R715" s="75"/>
      <c r="S715" s="75"/>
    </row>
    <row r="716" spans="18:19" x14ac:dyDescent="0.25">
      <c r="R716" s="75"/>
      <c r="S716" s="75"/>
    </row>
    <row r="717" spans="18:19" x14ac:dyDescent="0.25">
      <c r="R717" s="75"/>
      <c r="S717" s="75"/>
    </row>
    <row r="718" spans="18:19" x14ac:dyDescent="0.25">
      <c r="R718" s="75"/>
      <c r="S718" s="75"/>
    </row>
    <row r="719" spans="18:19" x14ac:dyDescent="0.25">
      <c r="R719" s="75"/>
      <c r="S719" s="75"/>
    </row>
    <row r="720" spans="18:19" x14ac:dyDescent="0.25">
      <c r="R720" s="75"/>
      <c r="S720" s="75"/>
    </row>
    <row r="721" spans="18:19" x14ac:dyDescent="0.25">
      <c r="R721" s="75"/>
      <c r="S721" s="75"/>
    </row>
    <row r="722" spans="18:19" x14ac:dyDescent="0.25">
      <c r="R722" s="75"/>
      <c r="S722" s="75"/>
    </row>
    <row r="723" spans="18:19" x14ac:dyDescent="0.25">
      <c r="R723" s="75"/>
      <c r="S723" s="75"/>
    </row>
    <row r="724" spans="18:19" x14ac:dyDescent="0.25">
      <c r="R724" s="75"/>
      <c r="S724" s="75"/>
    </row>
    <row r="725" spans="18:19" x14ac:dyDescent="0.25">
      <c r="R725" s="75"/>
      <c r="S725" s="75"/>
    </row>
    <row r="726" spans="18:19" x14ac:dyDescent="0.25">
      <c r="R726" s="75"/>
      <c r="S726" s="75"/>
    </row>
    <row r="727" spans="18:19" x14ac:dyDescent="0.25">
      <c r="R727" s="75"/>
      <c r="S727" s="75"/>
    </row>
    <row r="728" spans="18:19" x14ac:dyDescent="0.25">
      <c r="R728" s="75"/>
      <c r="S728" s="75"/>
    </row>
    <row r="729" spans="18:19" x14ac:dyDescent="0.25">
      <c r="R729" s="75"/>
      <c r="S729" s="75"/>
    </row>
    <row r="730" spans="18:19" x14ac:dyDescent="0.25">
      <c r="R730" s="75"/>
      <c r="S730" s="75"/>
    </row>
    <row r="731" spans="18:19" x14ac:dyDescent="0.25">
      <c r="R731" s="75"/>
      <c r="S731" s="75"/>
    </row>
    <row r="732" spans="18:19" x14ac:dyDescent="0.25">
      <c r="R732" s="75"/>
      <c r="S732" s="75"/>
    </row>
    <row r="733" spans="18:19" x14ac:dyDescent="0.25">
      <c r="R733" s="75"/>
      <c r="S733" s="75"/>
    </row>
    <row r="734" spans="18:19" x14ac:dyDescent="0.25">
      <c r="R734" s="75"/>
      <c r="S734" s="75"/>
    </row>
    <row r="735" spans="18:19" x14ac:dyDescent="0.25">
      <c r="R735" s="75"/>
      <c r="S735" s="75"/>
    </row>
    <row r="736" spans="18:19" x14ac:dyDescent="0.25">
      <c r="R736" s="75"/>
      <c r="S736" s="75"/>
    </row>
    <row r="737" spans="18:19" x14ac:dyDescent="0.25">
      <c r="R737" s="75"/>
      <c r="S737" s="75"/>
    </row>
    <row r="738" spans="18:19" x14ac:dyDescent="0.25">
      <c r="R738" s="75"/>
      <c r="S738" s="75"/>
    </row>
    <row r="739" spans="18:19" x14ac:dyDescent="0.25">
      <c r="R739" s="75"/>
      <c r="S739" s="75"/>
    </row>
    <row r="740" spans="18:19" x14ac:dyDescent="0.25">
      <c r="R740" s="75"/>
      <c r="S740" s="75"/>
    </row>
    <row r="741" spans="18:19" x14ac:dyDescent="0.25">
      <c r="R741" s="75"/>
      <c r="S741" s="75"/>
    </row>
    <row r="742" spans="18:19" x14ac:dyDescent="0.25">
      <c r="R742" s="75"/>
      <c r="S742" s="75"/>
    </row>
    <row r="743" spans="18:19" x14ac:dyDescent="0.25">
      <c r="R743" s="75"/>
      <c r="S743" s="75"/>
    </row>
    <row r="744" spans="18:19" x14ac:dyDescent="0.25">
      <c r="R744" s="75"/>
      <c r="S744" s="75"/>
    </row>
    <row r="745" spans="18:19" x14ac:dyDescent="0.25">
      <c r="R745" s="75"/>
      <c r="S745" s="75"/>
    </row>
    <row r="746" spans="18:19" x14ac:dyDescent="0.25">
      <c r="R746" s="75"/>
      <c r="S746" s="75"/>
    </row>
    <row r="747" spans="18:19" x14ac:dyDescent="0.25">
      <c r="R747" s="75"/>
      <c r="S747" s="75"/>
    </row>
    <row r="748" spans="18:19" x14ac:dyDescent="0.25">
      <c r="R748" s="75"/>
      <c r="S748" s="75"/>
    </row>
    <row r="749" spans="18:19" x14ac:dyDescent="0.25">
      <c r="R749" s="75"/>
      <c r="S749" s="75"/>
    </row>
    <row r="750" spans="18:19" x14ac:dyDescent="0.25">
      <c r="R750" s="75"/>
      <c r="S750" s="75"/>
    </row>
    <row r="751" spans="18:19" x14ac:dyDescent="0.25">
      <c r="R751" s="75"/>
      <c r="S751" s="75"/>
    </row>
    <row r="752" spans="18:19" x14ac:dyDescent="0.25">
      <c r="R752" s="75"/>
      <c r="S752" s="75"/>
    </row>
    <row r="753" spans="18:19" x14ac:dyDescent="0.25">
      <c r="R753" s="75"/>
      <c r="S753" s="75"/>
    </row>
    <row r="754" spans="18:19" x14ac:dyDescent="0.25">
      <c r="R754" s="75"/>
      <c r="S754" s="75"/>
    </row>
    <row r="755" spans="18:19" x14ac:dyDescent="0.25">
      <c r="R755" s="75"/>
      <c r="S755" s="75"/>
    </row>
    <row r="756" spans="18:19" x14ac:dyDescent="0.25">
      <c r="R756" s="75"/>
      <c r="S756" s="75"/>
    </row>
    <row r="757" spans="18:19" x14ac:dyDescent="0.25">
      <c r="R757" s="75"/>
      <c r="S757" s="75"/>
    </row>
    <row r="758" spans="18:19" x14ac:dyDescent="0.25">
      <c r="R758" s="75"/>
      <c r="S758" s="75"/>
    </row>
    <row r="759" spans="18:19" x14ac:dyDescent="0.25">
      <c r="R759" s="75"/>
      <c r="S759" s="75"/>
    </row>
    <row r="760" spans="18:19" x14ac:dyDescent="0.25">
      <c r="R760" s="75"/>
      <c r="S760" s="75"/>
    </row>
    <row r="761" spans="18:19" x14ac:dyDescent="0.25">
      <c r="R761" s="75"/>
      <c r="S761" s="75"/>
    </row>
    <row r="762" spans="18:19" x14ac:dyDescent="0.25">
      <c r="R762" s="75"/>
      <c r="S762" s="75"/>
    </row>
    <row r="763" spans="18:19" x14ac:dyDescent="0.25">
      <c r="R763" s="75"/>
      <c r="S763" s="75"/>
    </row>
    <row r="764" spans="18:19" x14ac:dyDescent="0.25">
      <c r="R764" s="75"/>
      <c r="S764" s="75"/>
    </row>
    <row r="765" spans="18:19" x14ac:dyDescent="0.25">
      <c r="R765" s="75"/>
      <c r="S765" s="75"/>
    </row>
    <row r="766" spans="18:19" x14ac:dyDescent="0.25">
      <c r="R766" s="75"/>
      <c r="S766" s="75"/>
    </row>
    <row r="767" spans="18:19" x14ac:dyDescent="0.25">
      <c r="R767" s="75"/>
      <c r="S767" s="75"/>
    </row>
    <row r="768" spans="18:19" x14ac:dyDescent="0.25">
      <c r="R768" s="75"/>
      <c r="S768" s="75"/>
    </row>
    <row r="769" spans="18:19" x14ac:dyDescent="0.25">
      <c r="R769" s="75"/>
      <c r="S769" s="75"/>
    </row>
    <row r="770" spans="18:19" x14ac:dyDescent="0.25">
      <c r="R770" s="75"/>
      <c r="S770" s="75"/>
    </row>
    <row r="771" spans="18:19" x14ac:dyDescent="0.25">
      <c r="R771" s="75"/>
      <c r="S771" s="75"/>
    </row>
    <row r="772" spans="18:19" x14ac:dyDescent="0.25">
      <c r="R772" s="75"/>
      <c r="S772" s="75"/>
    </row>
    <row r="773" spans="18:19" x14ac:dyDescent="0.25">
      <c r="R773" s="75"/>
      <c r="S773" s="75"/>
    </row>
    <row r="774" spans="18:19" x14ac:dyDescent="0.25">
      <c r="R774" s="75"/>
      <c r="S774" s="75"/>
    </row>
    <row r="775" spans="18:19" x14ac:dyDescent="0.25">
      <c r="R775" s="75"/>
      <c r="S775" s="75"/>
    </row>
    <row r="776" spans="18:19" x14ac:dyDescent="0.25">
      <c r="R776" s="75"/>
      <c r="S776" s="75"/>
    </row>
    <row r="777" spans="18:19" x14ac:dyDescent="0.25">
      <c r="R777" s="75"/>
      <c r="S777" s="75"/>
    </row>
    <row r="778" spans="18:19" x14ac:dyDescent="0.25">
      <c r="R778" s="75"/>
      <c r="S778" s="75"/>
    </row>
    <row r="779" spans="18:19" x14ac:dyDescent="0.25">
      <c r="R779" s="75"/>
      <c r="S779" s="75"/>
    </row>
    <row r="780" spans="18:19" x14ac:dyDescent="0.25">
      <c r="R780" s="75"/>
      <c r="S780" s="75"/>
    </row>
    <row r="781" spans="18:19" x14ac:dyDescent="0.25">
      <c r="R781" s="75"/>
      <c r="S781" s="75"/>
    </row>
    <row r="782" spans="18:19" x14ac:dyDescent="0.25">
      <c r="R782" s="75"/>
      <c r="S782" s="75"/>
    </row>
    <row r="783" spans="18:19" x14ac:dyDescent="0.25">
      <c r="R783" s="75"/>
      <c r="S783" s="75"/>
    </row>
    <row r="784" spans="18:19" x14ac:dyDescent="0.25">
      <c r="R784" s="75"/>
      <c r="S784" s="75"/>
    </row>
    <row r="785" spans="18:19" x14ac:dyDescent="0.25">
      <c r="R785" s="75"/>
      <c r="S785" s="75"/>
    </row>
    <row r="786" spans="18:19" x14ac:dyDescent="0.25">
      <c r="R786" s="75"/>
      <c r="S786" s="75"/>
    </row>
    <row r="787" spans="18:19" x14ac:dyDescent="0.25">
      <c r="R787" s="75"/>
      <c r="S787" s="75"/>
    </row>
    <row r="788" spans="18:19" x14ac:dyDescent="0.25">
      <c r="R788" s="75"/>
      <c r="S788" s="75"/>
    </row>
    <row r="789" spans="18:19" x14ac:dyDescent="0.25">
      <c r="R789" s="75"/>
      <c r="S789" s="75"/>
    </row>
    <row r="790" spans="18:19" x14ac:dyDescent="0.25">
      <c r="R790" s="75"/>
      <c r="S790" s="75"/>
    </row>
    <row r="791" spans="18:19" x14ac:dyDescent="0.25">
      <c r="R791" s="75"/>
      <c r="S791" s="75"/>
    </row>
    <row r="792" spans="18:19" x14ac:dyDescent="0.25">
      <c r="R792" s="75"/>
      <c r="S792" s="75"/>
    </row>
    <row r="793" spans="18:19" x14ac:dyDescent="0.25">
      <c r="R793" s="75"/>
      <c r="S793" s="75"/>
    </row>
    <row r="794" spans="18:19" x14ac:dyDescent="0.25">
      <c r="R794" s="75"/>
      <c r="S794" s="75"/>
    </row>
    <row r="795" spans="18:19" x14ac:dyDescent="0.25">
      <c r="R795" s="75"/>
      <c r="S795" s="75"/>
    </row>
    <row r="796" spans="18:19" x14ac:dyDescent="0.25">
      <c r="R796" s="75"/>
      <c r="S796" s="75"/>
    </row>
    <row r="797" spans="18:19" x14ac:dyDescent="0.25">
      <c r="R797" s="75"/>
      <c r="S797" s="75"/>
    </row>
    <row r="798" spans="18:19" x14ac:dyDescent="0.25">
      <c r="R798" s="75"/>
      <c r="S798" s="75"/>
    </row>
    <row r="799" spans="18:19" x14ac:dyDescent="0.25">
      <c r="R799" s="75"/>
      <c r="S799" s="75"/>
    </row>
    <row r="800" spans="18:19" x14ac:dyDescent="0.25">
      <c r="R800" s="75"/>
      <c r="S800" s="75"/>
    </row>
    <row r="801" spans="18:19" x14ac:dyDescent="0.25">
      <c r="R801" s="75"/>
      <c r="S801" s="75"/>
    </row>
    <row r="802" spans="18:19" x14ac:dyDescent="0.25">
      <c r="R802" s="75"/>
      <c r="S802" s="75"/>
    </row>
    <row r="803" spans="18:19" x14ac:dyDescent="0.25">
      <c r="R803" s="75"/>
      <c r="S803" s="75"/>
    </row>
    <row r="804" spans="18:19" x14ac:dyDescent="0.25">
      <c r="R804" s="75"/>
      <c r="S804" s="75"/>
    </row>
    <row r="805" spans="18:19" x14ac:dyDescent="0.25">
      <c r="R805" s="75"/>
      <c r="S805" s="75"/>
    </row>
    <row r="806" spans="18:19" x14ac:dyDescent="0.25">
      <c r="R806" s="75"/>
      <c r="S806" s="75"/>
    </row>
    <row r="807" spans="18:19" x14ac:dyDescent="0.25">
      <c r="R807" s="75"/>
      <c r="S807" s="75"/>
    </row>
    <row r="808" spans="18:19" x14ac:dyDescent="0.25">
      <c r="R808" s="75"/>
      <c r="S808" s="75"/>
    </row>
    <row r="809" spans="18:19" x14ac:dyDescent="0.25">
      <c r="R809" s="75"/>
      <c r="S809" s="75"/>
    </row>
    <row r="810" spans="18:19" x14ac:dyDescent="0.25">
      <c r="R810" s="75"/>
      <c r="S810" s="75"/>
    </row>
    <row r="811" spans="18:19" x14ac:dyDescent="0.25">
      <c r="R811" s="75"/>
      <c r="S811" s="75"/>
    </row>
    <row r="812" spans="18:19" x14ac:dyDescent="0.25">
      <c r="R812" s="75"/>
      <c r="S812" s="75"/>
    </row>
    <row r="813" spans="18:19" x14ac:dyDescent="0.25">
      <c r="R813" s="75"/>
      <c r="S813" s="75"/>
    </row>
    <row r="814" spans="18:19" x14ac:dyDescent="0.25">
      <c r="R814" s="75"/>
      <c r="S814" s="75"/>
    </row>
    <row r="815" spans="18:19" x14ac:dyDescent="0.25">
      <c r="R815" s="75"/>
      <c r="S815" s="75"/>
    </row>
    <row r="816" spans="18:19" x14ac:dyDescent="0.25">
      <c r="R816" s="75"/>
      <c r="S816" s="75"/>
    </row>
    <row r="817" spans="18:19" x14ac:dyDescent="0.25">
      <c r="R817" s="75"/>
      <c r="S817" s="75"/>
    </row>
    <row r="818" spans="18:19" x14ac:dyDescent="0.25">
      <c r="R818" s="75"/>
      <c r="S818" s="75"/>
    </row>
    <row r="819" spans="18:19" x14ac:dyDescent="0.25">
      <c r="R819" s="75"/>
      <c r="S819" s="75"/>
    </row>
    <row r="820" spans="18:19" x14ac:dyDescent="0.25">
      <c r="R820" s="75"/>
      <c r="S820" s="75"/>
    </row>
    <row r="821" spans="18:19" x14ac:dyDescent="0.25">
      <c r="R821" s="75"/>
      <c r="S821" s="75"/>
    </row>
    <row r="822" spans="18:19" x14ac:dyDescent="0.25">
      <c r="R822" s="75"/>
      <c r="S822" s="75"/>
    </row>
    <row r="823" spans="18:19" x14ac:dyDescent="0.25">
      <c r="R823" s="75"/>
      <c r="S823" s="75"/>
    </row>
    <row r="824" spans="18:19" x14ac:dyDescent="0.25">
      <c r="R824" s="75"/>
      <c r="S824" s="75"/>
    </row>
    <row r="825" spans="18:19" x14ac:dyDescent="0.25">
      <c r="R825" s="75"/>
      <c r="S825" s="75"/>
    </row>
    <row r="826" spans="18:19" x14ac:dyDescent="0.25">
      <c r="R826" s="75"/>
      <c r="S826" s="75"/>
    </row>
    <row r="827" spans="18:19" x14ac:dyDescent="0.25">
      <c r="R827" s="75"/>
      <c r="S827" s="75"/>
    </row>
    <row r="828" spans="18:19" x14ac:dyDescent="0.25">
      <c r="R828" s="75"/>
      <c r="S828" s="75"/>
    </row>
    <row r="829" spans="18:19" x14ac:dyDescent="0.25">
      <c r="R829" s="75"/>
      <c r="S829" s="75"/>
    </row>
    <row r="830" spans="18:19" x14ac:dyDescent="0.25">
      <c r="R830" s="75"/>
      <c r="S830" s="75"/>
    </row>
    <row r="831" spans="18:19" x14ac:dyDescent="0.25">
      <c r="R831" s="75"/>
      <c r="S831" s="75"/>
    </row>
    <row r="832" spans="18:19" x14ac:dyDescent="0.25">
      <c r="R832" s="75"/>
      <c r="S832" s="75"/>
    </row>
    <row r="833" spans="18:19" x14ac:dyDescent="0.25">
      <c r="R833" s="75"/>
      <c r="S833" s="75"/>
    </row>
    <row r="834" spans="18:19" x14ac:dyDescent="0.25">
      <c r="R834" s="75"/>
      <c r="S834" s="75"/>
    </row>
    <row r="835" spans="18:19" x14ac:dyDescent="0.25">
      <c r="R835" s="75"/>
      <c r="S835" s="75"/>
    </row>
    <row r="836" spans="18:19" x14ac:dyDescent="0.25">
      <c r="R836" s="75"/>
      <c r="S836" s="75"/>
    </row>
    <row r="837" spans="18:19" x14ac:dyDescent="0.25">
      <c r="R837" s="75"/>
      <c r="S837" s="75"/>
    </row>
    <row r="838" spans="18:19" x14ac:dyDescent="0.25">
      <c r="R838" s="75"/>
      <c r="S838" s="75"/>
    </row>
    <row r="839" spans="18:19" x14ac:dyDescent="0.25">
      <c r="R839" s="75"/>
      <c r="S839" s="75"/>
    </row>
    <row r="840" spans="18:19" x14ac:dyDescent="0.25">
      <c r="R840" s="75"/>
      <c r="S840" s="75"/>
    </row>
    <row r="841" spans="18:19" x14ac:dyDescent="0.25">
      <c r="R841" s="75"/>
      <c r="S841" s="75"/>
    </row>
    <row r="842" spans="18:19" x14ac:dyDescent="0.25">
      <c r="R842" s="75"/>
      <c r="S842" s="75"/>
    </row>
    <row r="843" spans="18:19" x14ac:dyDescent="0.25">
      <c r="R843" s="75"/>
      <c r="S843" s="75"/>
    </row>
    <row r="844" spans="18:19" x14ac:dyDescent="0.25">
      <c r="R844" s="75"/>
      <c r="S844" s="75"/>
    </row>
    <row r="845" spans="18:19" x14ac:dyDescent="0.25">
      <c r="R845" s="75"/>
      <c r="S845" s="75"/>
    </row>
    <row r="846" spans="18:19" x14ac:dyDescent="0.25">
      <c r="R846" s="75"/>
      <c r="S846" s="75"/>
    </row>
    <row r="847" spans="18:19" x14ac:dyDescent="0.25">
      <c r="R847" s="75"/>
      <c r="S847" s="75"/>
    </row>
    <row r="848" spans="18:19" x14ac:dyDescent="0.25">
      <c r="R848" s="75"/>
      <c r="S848" s="75"/>
    </row>
    <row r="849" spans="18:19" x14ac:dyDescent="0.25">
      <c r="R849" s="75"/>
      <c r="S849" s="75"/>
    </row>
    <row r="850" spans="18:19" x14ac:dyDescent="0.25">
      <c r="R850" s="75"/>
      <c r="S850" s="75"/>
    </row>
    <row r="851" spans="18:19" x14ac:dyDescent="0.25">
      <c r="R851" s="75"/>
      <c r="S851" s="75"/>
    </row>
    <row r="852" spans="18:19" x14ac:dyDescent="0.25">
      <c r="R852" s="75"/>
      <c r="S852" s="75"/>
    </row>
    <row r="853" spans="18:19" x14ac:dyDescent="0.25">
      <c r="R853" s="75"/>
      <c r="S853" s="75"/>
    </row>
    <row r="854" spans="18:19" x14ac:dyDescent="0.25">
      <c r="R854" s="75"/>
      <c r="S854" s="75"/>
    </row>
    <row r="855" spans="18:19" x14ac:dyDescent="0.25">
      <c r="R855" s="75"/>
      <c r="S855" s="75"/>
    </row>
    <row r="856" spans="18:19" x14ac:dyDescent="0.25">
      <c r="R856" s="75"/>
      <c r="S856" s="75"/>
    </row>
    <row r="857" spans="18:19" x14ac:dyDescent="0.25">
      <c r="R857" s="75"/>
      <c r="S857" s="75"/>
    </row>
    <row r="858" spans="18:19" x14ac:dyDescent="0.25">
      <c r="R858" s="75"/>
      <c r="S858" s="75"/>
    </row>
    <row r="859" spans="18:19" x14ac:dyDescent="0.25">
      <c r="R859" s="75"/>
      <c r="S859" s="75"/>
    </row>
    <row r="860" spans="18:19" x14ac:dyDescent="0.25">
      <c r="R860" s="75"/>
      <c r="S860" s="75"/>
    </row>
    <row r="861" spans="18:19" x14ac:dyDescent="0.25">
      <c r="R861" s="75"/>
      <c r="S861" s="75"/>
    </row>
    <row r="862" spans="18:19" x14ac:dyDescent="0.25">
      <c r="R862" s="75"/>
      <c r="S862" s="75"/>
    </row>
    <row r="863" spans="18:19" x14ac:dyDescent="0.25">
      <c r="R863" s="75"/>
      <c r="S863" s="75"/>
    </row>
    <row r="864" spans="18:19" x14ac:dyDescent="0.25">
      <c r="R864" s="75"/>
      <c r="S864" s="75"/>
    </row>
    <row r="865" spans="18:19" x14ac:dyDescent="0.25">
      <c r="R865" s="75"/>
      <c r="S865" s="75"/>
    </row>
    <row r="866" spans="18:19" x14ac:dyDescent="0.25">
      <c r="R866" s="75"/>
      <c r="S866" s="75"/>
    </row>
    <row r="867" spans="18:19" x14ac:dyDescent="0.25">
      <c r="R867" s="75"/>
      <c r="S867" s="75"/>
    </row>
    <row r="868" spans="18:19" x14ac:dyDescent="0.25">
      <c r="R868" s="75"/>
      <c r="S868" s="75"/>
    </row>
    <row r="869" spans="18:19" x14ac:dyDescent="0.25">
      <c r="R869" s="75"/>
      <c r="S869" s="75"/>
    </row>
    <row r="870" spans="18:19" x14ac:dyDescent="0.25">
      <c r="R870" s="75"/>
      <c r="S870" s="75"/>
    </row>
    <row r="871" spans="18:19" x14ac:dyDescent="0.25">
      <c r="R871" s="75"/>
      <c r="S871" s="75"/>
    </row>
    <row r="872" spans="18:19" x14ac:dyDescent="0.25">
      <c r="R872" s="75"/>
      <c r="S872" s="75"/>
    </row>
    <row r="873" spans="18:19" x14ac:dyDescent="0.25">
      <c r="R873" s="75"/>
      <c r="S873" s="75"/>
    </row>
    <row r="874" spans="18:19" x14ac:dyDescent="0.25">
      <c r="R874" s="75"/>
      <c r="S874" s="75"/>
    </row>
    <row r="875" spans="18:19" x14ac:dyDescent="0.25">
      <c r="R875" s="75"/>
      <c r="S875" s="75"/>
    </row>
    <row r="876" spans="18:19" x14ac:dyDescent="0.25">
      <c r="R876" s="75"/>
      <c r="S876" s="75"/>
    </row>
    <row r="877" spans="18:19" x14ac:dyDescent="0.25">
      <c r="R877" s="75"/>
      <c r="S877" s="75"/>
    </row>
    <row r="878" spans="18:19" x14ac:dyDescent="0.25">
      <c r="R878" s="75"/>
      <c r="S878" s="75"/>
    </row>
    <row r="879" spans="18:19" x14ac:dyDescent="0.25">
      <c r="R879" s="75"/>
      <c r="S879" s="75"/>
    </row>
    <row r="880" spans="18:19" x14ac:dyDescent="0.25">
      <c r="R880" s="75"/>
      <c r="S880" s="75"/>
    </row>
    <row r="881" spans="18:19" x14ac:dyDescent="0.25">
      <c r="R881" s="75"/>
      <c r="S881" s="75"/>
    </row>
    <row r="882" spans="18:19" x14ac:dyDescent="0.25">
      <c r="R882" s="75"/>
      <c r="S882" s="75"/>
    </row>
    <row r="883" spans="18:19" x14ac:dyDescent="0.25">
      <c r="R883" s="75"/>
      <c r="S883" s="75"/>
    </row>
    <row r="884" spans="18:19" x14ac:dyDescent="0.25">
      <c r="R884" s="75"/>
      <c r="S884" s="75"/>
    </row>
    <row r="885" spans="18:19" x14ac:dyDescent="0.25">
      <c r="R885" s="75"/>
      <c r="S885" s="75"/>
    </row>
    <row r="886" spans="18:19" x14ac:dyDescent="0.25">
      <c r="R886" s="75"/>
      <c r="S886" s="75"/>
    </row>
    <row r="887" spans="18:19" x14ac:dyDescent="0.25">
      <c r="R887" s="75"/>
      <c r="S887" s="75"/>
    </row>
    <row r="888" spans="18:19" x14ac:dyDescent="0.25">
      <c r="R888" s="75"/>
      <c r="S888" s="75"/>
    </row>
    <row r="889" spans="18:19" x14ac:dyDescent="0.25">
      <c r="R889" s="75"/>
      <c r="S889" s="75"/>
    </row>
    <row r="890" spans="18:19" x14ac:dyDescent="0.25">
      <c r="R890" s="75"/>
      <c r="S890" s="75"/>
    </row>
    <row r="891" spans="18:19" x14ac:dyDescent="0.25">
      <c r="R891" s="75"/>
      <c r="S891" s="75"/>
    </row>
    <row r="892" spans="18:19" x14ac:dyDescent="0.25">
      <c r="R892" s="75"/>
      <c r="S892" s="75"/>
    </row>
    <row r="893" spans="18:19" x14ac:dyDescent="0.25">
      <c r="R893" s="75"/>
      <c r="S893" s="75"/>
    </row>
    <row r="894" spans="18:19" x14ac:dyDescent="0.25">
      <c r="R894" s="75"/>
      <c r="S894" s="75"/>
    </row>
    <row r="895" spans="18:19" x14ac:dyDescent="0.25">
      <c r="R895" s="75"/>
      <c r="S895" s="75"/>
    </row>
    <row r="896" spans="18:19" x14ac:dyDescent="0.25">
      <c r="R896" s="75"/>
      <c r="S896" s="75"/>
    </row>
    <row r="897" spans="18:19" x14ac:dyDescent="0.25">
      <c r="R897" s="75"/>
      <c r="S897" s="75"/>
    </row>
    <row r="898" spans="18:19" x14ac:dyDescent="0.25">
      <c r="R898" s="75"/>
      <c r="S898" s="75"/>
    </row>
    <row r="899" spans="18:19" x14ac:dyDescent="0.25">
      <c r="R899" s="75"/>
      <c r="S899" s="75"/>
    </row>
    <row r="900" spans="18:19" x14ac:dyDescent="0.25">
      <c r="R900" s="75"/>
      <c r="S900" s="75"/>
    </row>
    <row r="901" spans="18:19" x14ac:dyDescent="0.25">
      <c r="R901" s="75"/>
      <c r="S901" s="75"/>
    </row>
    <row r="902" spans="18:19" x14ac:dyDescent="0.25">
      <c r="R902" s="75"/>
      <c r="S902" s="75"/>
    </row>
    <row r="903" spans="18:19" x14ac:dyDescent="0.25">
      <c r="R903" s="75"/>
      <c r="S903" s="75"/>
    </row>
    <row r="904" spans="18:19" x14ac:dyDescent="0.25">
      <c r="R904" s="75"/>
      <c r="S904" s="75"/>
    </row>
    <row r="905" spans="18:19" x14ac:dyDescent="0.25">
      <c r="R905" s="75"/>
      <c r="S905" s="75"/>
    </row>
    <row r="906" spans="18:19" x14ac:dyDescent="0.25">
      <c r="R906" s="75"/>
      <c r="S906" s="75"/>
    </row>
    <row r="907" spans="18:19" x14ac:dyDescent="0.25">
      <c r="R907" s="75"/>
      <c r="S907" s="75"/>
    </row>
    <row r="908" spans="18:19" x14ac:dyDescent="0.25">
      <c r="R908" s="75"/>
      <c r="S908" s="75"/>
    </row>
    <row r="909" spans="18:19" x14ac:dyDescent="0.25">
      <c r="R909" s="75"/>
      <c r="S909" s="75"/>
    </row>
    <row r="910" spans="18:19" x14ac:dyDescent="0.25">
      <c r="R910" s="75"/>
      <c r="S910" s="75"/>
    </row>
    <row r="911" spans="18:19" x14ac:dyDescent="0.25">
      <c r="R911" s="75"/>
      <c r="S911" s="75"/>
    </row>
    <row r="912" spans="18:19" x14ac:dyDescent="0.25">
      <c r="R912" s="75"/>
      <c r="S912" s="75"/>
    </row>
    <row r="913" spans="18:19" x14ac:dyDescent="0.25">
      <c r="R913" s="75"/>
      <c r="S913" s="75"/>
    </row>
    <row r="914" spans="18:19" x14ac:dyDescent="0.25">
      <c r="R914" s="75"/>
      <c r="S914" s="75"/>
    </row>
    <row r="915" spans="18:19" x14ac:dyDescent="0.25">
      <c r="R915" s="75"/>
      <c r="S915" s="75"/>
    </row>
    <row r="916" spans="18:19" x14ac:dyDescent="0.25">
      <c r="R916" s="75"/>
      <c r="S916" s="75"/>
    </row>
    <row r="917" spans="18:19" x14ac:dyDescent="0.25">
      <c r="R917" s="75"/>
      <c r="S917" s="75"/>
    </row>
    <row r="918" spans="18:19" x14ac:dyDescent="0.25">
      <c r="R918" s="75"/>
      <c r="S918" s="75"/>
    </row>
    <row r="919" spans="18:19" x14ac:dyDescent="0.25">
      <c r="R919" s="75"/>
      <c r="S919" s="75"/>
    </row>
    <row r="920" spans="18:19" x14ac:dyDescent="0.25">
      <c r="R920" s="75"/>
      <c r="S920" s="75"/>
    </row>
    <row r="921" spans="18:19" x14ac:dyDescent="0.25">
      <c r="R921" s="75"/>
      <c r="S921" s="75"/>
    </row>
    <row r="922" spans="18:19" x14ac:dyDescent="0.25">
      <c r="R922" s="75"/>
      <c r="S922" s="75"/>
    </row>
    <row r="923" spans="18:19" x14ac:dyDescent="0.25">
      <c r="R923" s="75"/>
      <c r="S923" s="75"/>
    </row>
    <row r="924" spans="18:19" x14ac:dyDescent="0.25">
      <c r="R924" s="75"/>
      <c r="S924" s="75"/>
    </row>
    <row r="925" spans="18:19" x14ac:dyDescent="0.25">
      <c r="R925" s="75"/>
      <c r="S925" s="75"/>
    </row>
    <row r="926" spans="18:19" x14ac:dyDescent="0.25">
      <c r="R926" s="75"/>
      <c r="S926" s="75"/>
    </row>
    <row r="927" spans="18:19" x14ac:dyDescent="0.25">
      <c r="R927" s="75"/>
      <c r="S927" s="75"/>
    </row>
    <row r="928" spans="18:19" x14ac:dyDescent="0.25">
      <c r="R928" s="75"/>
      <c r="S928" s="75"/>
    </row>
    <row r="929" spans="18:19" x14ac:dyDescent="0.25">
      <c r="R929" s="75"/>
      <c r="S929" s="75"/>
    </row>
    <row r="930" spans="18:19" x14ac:dyDescent="0.25">
      <c r="R930" s="75"/>
      <c r="S930" s="75"/>
    </row>
    <row r="931" spans="18:19" x14ac:dyDescent="0.25">
      <c r="R931" s="75"/>
      <c r="S931" s="75"/>
    </row>
    <row r="932" spans="18:19" x14ac:dyDescent="0.25">
      <c r="R932" s="75"/>
      <c r="S932" s="75"/>
    </row>
    <row r="933" spans="18:19" x14ac:dyDescent="0.25">
      <c r="R933" s="75"/>
      <c r="S933" s="75"/>
    </row>
    <row r="934" spans="18:19" x14ac:dyDescent="0.25">
      <c r="R934" s="75"/>
      <c r="S934" s="75"/>
    </row>
    <row r="935" spans="18:19" x14ac:dyDescent="0.25">
      <c r="R935" s="75"/>
      <c r="S935" s="75"/>
    </row>
    <row r="936" spans="18:19" x14ac:dyDescent="0.25">
      <c r="R936" s="75"/>
      <c r="S936" s="75"/>
    </row>
    <row r="937" spans="18:19" x14ac:dyDescent="0.25">
      <c r="R937" s="75"/>
      <c r="S937" s="75"/>
    </row>
    <row r="938" spans="18:19" x14ac:dyDescent="0.25">
      <c r="R938" s="75"/>
      <c r="S938" s="75"/>
    </row>
    <row r="939" spans="18:19" x14ac:dyDescent="0.25">
      <c r="R939" s="75"/>
      <c r="S939" s="75"/>
    </row>
    <row r="940" spans="18:19" x14ac:dyDescent="0.25">
      <c r="R940" s="75"/>
      <c r="S940" s="75"/>
    </row>
    <row r="941" spans="18:19" x14ac:dyDescent="0.25">
      <c r="R941" s="75"/>
      <c r="S941" s="75"/>
    </row>
    <row r="942" spans="18:19" x14ac:dyDescent="0.25">
      <c r="R942" s="75"/>
      <c r="S942" s="75"/>
    </row>
    <row r="943" spans="18:19" x14ac:dyDescent="0.25">
      <c r="R943" s="75"/>
      <c r="S943" s="75"/>
    </row>
    <row r="944" spans="18:19" x14ac:dyDescent="0.25">
      <c r="R944" s="75"/>
      <c r="S944" s="75"/>
    </row>
    <row r="945" spans="18:19" x14ac:dyDescent="0.25">
      <c r="R945" s="75"/>
      <c r="S945" s="75"/>
    </row>
    <row r="946" spans="18:19" x14ac:dyDescent="0.25">
      <c r="R946" s="75"/>
      <c r="S946" s="75"/>
    </row>
    <row r="947" spans="18:19" x14ac:dyDescent="0.25">
      <c r="R947" s="75"/>
      <c r="S947" s="75"/>
    </row>
    <row r="948" spans="18:19" x14ac:dyDescent="0.25">
      <c r="R948" s="75"/>
      <c r="S948" s="75"/>
    </row>
    <row r="949" spans="18:19" x14ac:dyDescent="0.25">
      <c r="R949" s="75"/>
      <c r="S949" s="75"/>
    </row>
    <row r="950" spans="18:19" x14ac:dyDescent="0.25">
      <c r="R950" s="75"/>
      <c r="S950" s="75"/>
    </row>
    <row r="951" spans="18:19" x14ac:dyDescent="0.25">
      <c r="R951" s="75"/>
      <c r="S951" s="75"/>
    </row>
    <row r="952" spans="18:19" x14ac:dyDescent="0.25">
      <c r="R952" s="75"/>
      <c r="S952" s="75"/>
    </row>
    <row r="953" spans="18:19" x14ac:dyDescent="0.25">
      <c r="R953" s="75"/>
      <c r="S953" s="75"/>
    </row>
    <row r="954" spans="18:19" x14ac:dyDescent="0.25">
      <c r="R954" s="75"/>
      <c r="S954" s="75"/>
    </row>
    <row r="955" spans="18:19" x14ac:dyDescent="0.25">
      <c r="R955" s="75"/>
      <c r="S955" s="75"/>
    </row>
    <row r="956" spans="18:19" x14ac:dyDescent="0.25">
      <c r="R956" s="75"/>
      <c r="S956" s="75"/>
    </row>
    <row r="957" spans="18:19" x14ac:dyDescent="0.25">
      <c r="R957" s="75"/>
      <c r="S957" s="75"/>
    </row>
    <row r="958" spans="18:19" x14ac:dyDescent="0.25">
      <c r="R958" s="75"/>
      <c r="S958" s="75"/>
    </row>
    <row r="959" spans="18:19" x14ac:dyDescent="0.25">
      <c r="R959" s="75"/>
      <c r="S959" s="75"/>
    </row>
    <row r="960" spans="18:19" x14ac:dyDescent="0.25">
      <c r="R960" s="75"/>
      <c r="S960" s="75"/>
    </row>
    <row r="961" spans="18:19" x14ac:dyDescent="0.25">
      <c r="R961" s="75"/>
      <c r="S961" s="75"/>
    </row>
    <row r="962" spans="18:19" x14ac:dyDescent="0.25">
      <c r="R962" s="75"/>
      <c r="S962" s="75"/>
    </row>
    <row r="963" spans="18:19" x14ac:dyDescent="0.25">
      <c r="R963" s="75"/>
      <c r="S963" s="75"/>
    </row>
    <row r="964" spans="18:19" x14ac:dyDescent="0.25">
      <c r="R964" s="75"/>
      <c r="S964" s="75"/>
    </row>
    <row r="965" spans="18:19" x14ac:dyDescent="0.25">
      <c r="R965" s="75"/>
      <c r="S965" s="75"/>
    </row>
    <row r="966" spans="18:19" x14ac:dyDescent="0.25">
      <c r="R966" s="75"/>
      <c r="S966" s="75"/>
    </row>
    <row r="967" spans="18:19" x14ac:dyDescent="0.25">
      <c r="R967" s="75"/>
      <c r="S967" s="75"/>
    </row>
    <row r="968" spans="18:19" x14ac:dyDescent="0.25">
      <c r="R968" s="75"/>
      <c r="S968" s="75"/>
    </row>
    <row r="969" spans="18:19" x14ac:dyDescent="0.25">
      <c r="R969" s="75"/>
      <c r="S969" s="75"/>
    </row>
    <row r="970" spans="18:19" x14ac:dyDescent="0.25">
      <c r="R970" s="75"/>
      <c r="S970" s="75"/>
    </row>
    <row r="971" spans="18:19" x14ac:dyDescent="0.25">
      <c r="R971" s="75"/>
      <c r="S971" s="75"/>
    </row>
    <row r="972" spans="18:19" x14ac:dyDescent="0.25">
      <c r="R972" s="75"/>
      <c r="S972" s="75"/>
    </row>
    <row r="973" spans="18:19" x14ac:dyDescent="0.25">
      <c r="R973" s="75"/>
      <c r="S973" s="75"/>
    </row>
    <row r="974" spans="18:19" x14ac:dyDescent="0.25">
      <c r="R974" s="75"/>
      <c r="S974" s="75"/>
    </row>
    <row r="975" spans="18:19" x14ac:dyDescent="0.25">
      <c r="R975" s="75"/>
      <c r="S975" s="75"/>
    </row>
    <row r="976" spans="18:19" x14ac:dyDescent="0.25">
      <c r="R976" s="75"/>
      <c r="S976" s="75"/>
    </row>
    <row r="977" spans="18:19" x14ac:dyDescent="0.25">
      <c r="R977" s="75"/>
      <c r="S977" s="75"/>
    </row>
    <row r="978" spans="18:19" x14ac:dyDescent="0.25">
      <c r="R978" s="75"/>
      <c r="S978" s="75"/>
    </row>
    <row r="979" spans="18:19" x14ac:dyDescent="0.25">
      <c r="R979" s="75"/>
      <c r="S979" s="75"/>
    </row>
    <row r="980" spans="18:19" x14ac:dyDescent="0.25">
      <c r="R980" s="75"/>
      <c r="S980" s="75"/>
    </row>
    <row r="981" spans="18:19" x14ac:dyDescent="0.25">
      <c r="R981" s="75"/>
      <c r="S981" s="75"/>
    </row>
    <row r="982" spans="18:19" x14ac:dyDescent="0.25">
      <c r="R982" s="75"/>
      <c r="S982" s="75"/>
    </row>
    <row r="983" spans="18:19" x14ac:dyDescent="0.25">
      <c r="R983" s="75"/>
      <c r="S983" s="75"/>
    </row>
    <row r="984" spans="18:19" x14ac:dyDescent="0.25">
      <c r="R984" s="75"/>
      <c r="S984" s="75"/>
    </row>
    <row r="985" spans="18:19" x14ac:dyDescent="0.25">
      <c r="R985" s="75"/>
      <c r="S985" s="75"/>
    </row>
    <row r="986" spans="18:19" x14ac:dyDescent="0.25">
      <c r="R986" s="75"/>
      <c r="S986" s="75"/>
    </row>
    <row r="987" spans="18:19" x14ac:dyDescent="0.25">
      <c r="R987" s="75"/>
      <c r="S987" s="75"/>
    </row>
    <row r="988" spans="18:19" x14ac:dyDescent="0.25">
      <c r="R988" s="75"/>
      <c r="S988" s="75"/>
    </row>
    <row r="989" spans="18:19" x14ac:dyDescent="0.25">
      <c r="R989" s="75"/>
      <c r="S989" s="75"/>
    </row>
    <row r="990" spans="18:19" x14ac:dyDescent="0.25">
      <c r="R990" s="75"/>
      <c r="S990" s="75"/>
    </row>
    <row r="991" spans="18:19" x14ac:dyDescent="0.25">
      <c r="R991" s="75"/>
      <c r="S991" s="75"/>
    </row>
    <row r="992" spans="18:19" x14ac:dyDescent="0.25">
      <c r="R992" s="75"/>
      <c r="S992" s="75"/>
    </row>
    <row r="993" spans="18:19" x14ac:dyDescent="0.25">
      <c r="R993" s="75"/>
      <c r="S993" s="75"/>
    </row>
    <row r="994" spans="18:19" x14ac:dyDescent="0.25">
      <c r="R994" s="75"/>
      <c r="S994" s="75"/>
    </row>
    <row r="995" spans="18:19" x14ac:dyDescent="0.25">
      <c r="R995" s="75"/>
      <c r="S995" s="75"/>
    </row>
    <row r="996" spans="18:19" x14ac:dyDescent="0.25">
      <c r="R996" s="75"/>
      <c r="S996" s="75"/>
    </row>
    <row r="997" spans="18:19" x14ac:dyDescent="0.25">
      <c r="R997" s="75"/>
      <c r="S997" s="75"/>
    </row>
    <row r="998" spans="18:19" x14ac:dyDescent="0.25">
      <c r="R998" s="75"/>
      <c r="S998" s="75"/>
    </row>
    <row r="999" spans="18:19" x14ac:dyDescent="0.25">
      <c r="R999" s="75"/>
      <c r="S999" s="75"/>
    </row>
    <row r="1000" spans="18:19" x14ac:dyDescent="0.25">
      <c r="R1000" s="75"/>
      <c r="S1000" s="75"/>
    </row>
    <row r="1001" spans="18:19" x14ac:dyDescent="0.25">
      <c r="R1001" s="75"/>
      <c r="S1001" s="75"/>
    </row>
    <row r="1002" spans="18:19" x14ac:dyDescent="0.25">
      <c r="R1002" s="75"/>
      <c r="S1002" s="75"/>
    </row>
    <row r="1003" spans="18:19" x14ac:dyDescent="0.25">
      <c r="R1003" s="75"/>
      <c r="S1003" s="75"/>
    </row>
    <row r="1004" spans="18:19" x14ac:dyDescent="0.25">
      <c r="R1004" s="75"/>
      <c r="S1004" s="75"/>
    </row>
    <row r="1005" spans="18:19" x14ac:dyDescent="0.25">
      <c r="R1005" s="75"/>
      <c r="S1005" s="75"/>
    </row>
    <row r="1006" spans="18:19" x14ac:dyDescent="0.25">
      <c r="R1006" s="75"/>
      <c r="S1006" s="75"/>
    </row>
    <row r="1007" spans="18:19" x14ac:dyDescent="0.25">
      <c r="R1007" s="75"/>
      <c r="S1007" s="75"/>
    </row>
    <row r="1008" spans="18:19" x14ac:dyDescent="0.25">
      <c r="R1008" s="75"/>
      <c r="S1008" s="75"/>
    </row>
    <row r="1009" spans="18:19" x14ac:dyDescent="0.25">
      <c r="R1009" s="75"/>
      <c r="S1009" s="75"/>
    </row>
    <row r="1010" spans="18:19" x14ac:dyDescent="0.25">
      <c r="R1010" s="75"/>
      <c r="S1010" s="75"/>
    </row>
    <row r="1011" spans="18:19" x14ac:dyDescent="0.25">
      <c r="R1011" s="75"/>
      <c r="S1011" s="75"/>
    </row>
    <row r="1012" spans="18:19" x14ac:dyDescent="0.25">
      <c r="R1012" s="75"/>
      <c r="S1012" s="75"/>
    </row>
    <row r="1013" spans="18:19" x14ac:dyDescent="0.25">
      <c r="R1013" s="75"/>
      <c r="S1013" s="75"/>
    </row>
    <row r="1014" spans="18:19" x14ac:dyDescent="0.25">
      <c r="R1014" s="75"/>
      <c r="S1014" s="75"/>
    </row>
    <row r="1015" spans="18:19" x14ac:dyDescent="0.25">
      <c r="R1015" s="75"/>
      <c r="S1015" s="75"/>
    </row>
    <row r="1016" spans="18:19" x14ac:dyDescent="0.25">
      <c r="R1016" s="75"/>
      <c r="S1016" s="75"/>
    </row>
    <row r="1017" spans="18:19" x14ac:dyDescent="0.25">
      <c r="R1017" s="75"/>
      <c r="S1017" s="75"/>
    </row>
    <row r="1018" spans="18:19" x14ac:dyDescent="0.25">
      <c r="R1018" s="75"/>
      <c r="S1018" s="75"/>
    </row>
    <row r="1019" spans="18:19" x14ac:dyDescent="0.25">
      <c r="R1019" s="75"/>
      <c r="S1019" s="75"/>
    </row>
    <row r="1020" spans="18:19" x14ac:dyDescent="0.25">
      <c r="R1020" s="75"/>
      <c r="S1020" s="75"/>
    </row>
    <row r="1021" spans="18:19" x14ac:dyDescent="0.25">
      <c r="R1021" s="75"/>
      <c r="S1021" s="75"/>
    </row>
    <row r="1022" spans="18:19" x14ac:dyDescent="0.25">
      <c r="R1022" s="75"/>
      <c r="S1022" s="75"/>
    </row>
    <row r="1023" spans="18:19" x14ac:dyDescent="0.25">
      <c r="R1023" s="75"/>
      <c r="S1023" s="75"/>
    </row>
    <row r="1024" spans="18:19" x14ac:dyDescent="0.25">
      <c r="R1024" s="75"/>
      <c r="S1024" s="75"/>
    </row>
    <row r="1025" spans="18:19" x14ac:dyDescent="0.25">
      <c r="R1025" s="75"/>
      <c r="S1025" s="75"/>
    </row>
    <row r="1026" spans="18:19" x14ac:dyDescent="0.25">
      <c r="R1026" s="75"/>
      <c r="S1026" s="75"/>
    </row>
    <row r="1027" spans="18:19" x14ac:dyDescent="0.25">
      <c r="R1027" s="75"/>
      <c r="S1027" s="75"/>
    </row>
    <row r="1028" spans="18:19" x14ac:dyDescent="0.25">
      <c r="R1028" s="75"/>
      <c r="S1028" s="75"/>
    </row>
    <row r="1029" spans="18:19" x14ac:dyDescent="0.25">
      <c r="R1029" s="75"/>
      <c r="S1029" s="75"/>
    </row>
    <row r="1030" spans="18:19" x14ac:dyDescent="0.25">
      <c r="R1030" s="75"/>
      <c r="S1030" s="75"/>
    </row>
    <row r="1031" spans="18:19" x14ac:dyDescent="0.25">
      <c r="R1031" s="75"/>
      <c r="S1031" s="75"/>
    </row>
    <row r="1032" spans="18:19" x14ac:dyDescent="0.25">
      <c r="R1032" s="75"/>
      <c r="S1032" s="75"/>
    </row>
    <row r="1033" spans="18:19" x14ac:dyDescent="0.25">
      <c r="R1033" s="75"/>
      <c r="S1033" s="75"/>
    </row>
    <row r="1034" spans="18:19" x14ac:dyDescent="0.25">
      <c r="R1034" s="75"/>
      <c r="S1034" s="75"/>
    </row>
    <row r="1035" spans="18:19" x14ac:dyDescent="0.25">
      <c r="R1035" s="75"/>
      <c r="S1035" s="75"/>
    </row>
    <row r="1036" spans="18:19" x14ac:dyDescent="0.25">
      <c r="R1036" s="75"/>
      <c r="S1036" s="75"/>
    </row>
    <row r="1037" spans="18:19" x14ac:dyDescent="0.25">
      <c r="R1037" s="75"/>
      <c r="S1037" s="75"/>
    </row>
    <row r="1038" spans="18:19" x14ac:dyDescent="0.25">
      <c r="R1038" s="75"/>
      <c r="S1038" s="75"/>
    </row>
    <row r="1039" spans="18:19" x14ac:dyDescent="0.25">
      <c r="R1039" s="75"/>
      <c r="S1039" s="75"/>
    </row>
    <row r="1040" spans="18:19" x14ac:dyDescent="0.25">
      <c r="R1040" s="75"/>
      <c r="S1040" s="75"/>
    </row>
    <row r="1041" spans="18:19" x14ac:dyDescent="0.25">
      <c r="R1041" s="75"/>
      <c r="S1041" s="75"/>
    </row>
    <row r="1042" spans="18:19" x14ac:dyDescent="0.25">
      <c r="R1042" s="75"/>
      <c r="S1042" s="75"/>
    </row>
    <row r="1043" spans="18:19" x14ac:dyDescent="0.25">
      <c r="R1043" s="75"/>
      <c r="S1043" s="75"/>
    </row>
    <row r="1044" spans="18:19" x14ac:dyDescent="0.25">
      <c r="R1044" s="75"/>
      <c r="S1044" s="75"/>
    </row>
    <row r="1045" spans="18:19" x14ac:dyDescent="0.25">
      <c r="R1045" s="75"/>
      <c r="S1045" s="75"/>
    </row>
    <row r="1046" spans="18:19" x14ac:dyDescent="0.25">
      <c r="R1046" s="75"/>
      <c r="S1046" s="75"/>
    </row>
    <row r="1047" spans="18:19" x14ac:dyDescent="0.25">
      <c r="R1047" s="75"/>
      <c r="S1047" s="75"/>
    </row>
    <row r="1048" spans="18:19" x14ac:dyDescent="0.25">
      <c r="R1048" s="75"/>
      <c r="S1048" s="75"/>
    </row>
    <row r="1049" spans="18:19" x14ac:dyDescent="0.25">
      <c r="R1049" s="75"/>
      <c r="S1049" s="75"/>
    </row>
    <row r="1050" spans="18:19" x14ac:dyDescent="0.25">
      <c r="R1050" s="75"/>
      <c r="S1050" s="75"/>
    </row>
    <row r="1051" spans="18:19" x14ac:dyDescent="0.25">
      <c r="R1051" s="75"/>
      <c r="S1051" s="75"/>
    </row>
    <row r="1052" spans="18:19" x14ac:dyDescent="0.25">
      <c r="R1052" s="75"/>
      <c r="S1052" s="75"/>
    </row>
    <row r="1053" spans="18:19" x14ac:dyDescent="0.25">
      <c r="R1053" s="75"/>
      <c r="S1053" s="75"/>
    </row>
    <row r="1054" spans="18:19" x14ac:dyDescent="0.25">
      <c r="R1054" s="75"/>
      <c r="S1054" s="75"/>
    </row>
    <row r="1055" spans="18:19" x14ac:dyDescent="0.25">
      <c r="R1055" s="75"/>
      <c r="S1055" s="75"/>
    </row>
    <row r="1056" spans="18:19" x14ac:dyDescent="0.25">
      <c r="R1056" s="75"/>
      <c r="S1056" s="75"/>
    </row>
    <row r="1057" spans="18:19" x14ac:dyDescent="0.25">
      <c r="R1057" s="75"/>
      <c r="S1057" s="75"/>
    </row>
    <row r="1058" spans="18:19" x14ac:dyDescent="0.25">
      <c r="R1058" s="75"/>
      <c r="S1058" s="75"/>
    </row>
    <row r="1059" spans="18:19" x14ac:dyDescent="0.25">
      <c r="R1059" s="75"/>
      <c r="S1059" s="75"/>
    </row>
    <row r="1060" spans="18:19" x14ac:dyDescent="0.25">
      <c r="R1060" s="75"/>
      <c r="S1060" s="75"/>
    </row>
    <row r="1061" spans="18:19" x14ac:dyDescent="0.25">
      <c r="R1061" s="75"/>
      <c r="S1061" s="75"/>
    </row>
    <row r="1062" spans="18:19" x14ac:dyDescent="0.25">
      <c r="R1062" s="75"/>
      <c r="S1062" s="75"/>
    </row>
    <row r="1063" spans="18:19" x14ac:dyDescent="0.25">
      <c r="R1063" s="75"/>
      <c r="S1063" s="75"/>
    </row>
    <row r="1064" spans="18:19" x14ac:dyDescent="0.25">
      <c r="R1064" s="75"/>
      <c r="S1064" s="75"/>
    </row>
    <row r="1065" spans="18:19" x14ac:dyDescent="0.25">
      <c r="R1065" s="75"/>
      <c r="S1065" s="75"/>
    </row>
    <row r="1066" spans="18:19" x14ac:dyDescent="0.25">
      <c r="R1066" s="75"/>
      <c r="S1066" s="75"/>
    </row>
    <row r="1067" spans="18:19" x14ac:dyDescent="0.25">
      <c r="R1067" s="75"/>
      <c r="S1067" s="75"/>
    </row>
    <row r="1068" spans="18:19" x14ac:dyDescent="0.25">
      <c r="R1068" s="75"/>
      <c r="S1068" s="75"/>
    </row>
    <row r="1069" spans="18:19" x14ac:dyDescent="0.25">
      <c r="R1069" s="75"/>
      <c r="S1069" s="75"/>
    </row>
    <row r="1070" spans="18:19" x14ac:dyDescent="0.25">
      <c r="R1070" s="75"/>
      <c r="S1070" s="75"/>
    </row>
    <row r="1071" spans="18:19" x14ac:dyDescent="0.25">
      <c r="R1071" s="75"/>
      <c r="S1071" s="75"/>
    </row>
    <row r="1072" spans="18:19" x14ac:dyDescent="0.25">
      <c r="R1072" s="75"/>
      <c r="S1072" s="75"/>
    </row>
    <row r="1073" spans="18:19" x14ac:dyDescent="0.25">
      <c r="R1073" s="75"/>
      <c r="S1073" s="75"/>
    </row>
    <row r="1074" spans="18:19" x14ac:dyDescent="0.25">
      <c r="R1074" s="75"/>
      <c r="S1074" s="75"/>
    </row>
    <row r="1075" spans="18:19" x14ac:dyDescent="0.25">
      <c r="R1075" s="75"/>
      <c r="S1075" s="75"/>
    </row>
    <row r="1076" spans="18:19" x14ac:dyDescent="0.25">
      <c r="R1076" s="75"/>
      <c r="S1076" s="75"/>
    </row>
    <row r="1077" spans="18:19" x14ac:dyDescent="0.25">
      <c r="R1077" s="75"/>
      <c r="S1077" s="75"/>
    </row>
    <row r="1078" spans="18:19" x14ac:dyDescent="0.25">
      <c r="R1078" s="75"/>
      <c r="S1078" s="75"/>
    </row>
    <row r="1079" spans="18:19" x14ac:dyDescent="0.25">
      <c r="R1079" s="75"/>
      <c r="S1079" s="75"/>
    </row>
    <row r="1080" spans="18:19" x14ac:dyDescent="0.25">
      <c r="R1080" s="75"/>
      <c r="S1080" s="75"/>
    </row>
    <row r="1081" spans="18:19" x14ac:dyDescent="0.25">
      <c r="R1081" s="75"/>
      <c r="S1081" s="75"/>
    </row>
    <row r="1082" spans="18:19" x14ac:dyDescent="0.25">
      <c r="R1082" s="75"/>
      <c r="S1082" s="75"/>
    </row>
    <row r="1083" spans="18:19" x14ac:dyDescent="0.25">
      <c r="R1083" s="75"/>
      <c r="S1083" s="75"/>
    </row>
    <row r="1084" spans="18:19" x14ac:dyDescent="0.25">
      <c r="R1084" s="75"/>
      <c r="S1084" s="75"/>
    </row>
    <row r="1085" spans="18:19" x14ac:dyDescent="0.25">
      <c r="R1085" s="75"/>
      <c r="S1085" s="75"/>
    </row>
    <row r="1086" spans="18:19" x14ac:dyDescent="0.25">
      <c r="R1086" s="75"/>
      <c r="S1086" s="75"/>
    </row>
    <row r="1087" spans="18:19" x14ac:dyDescent="0.25">
      <c r="R1087" s="75"/>
      <c r="S1087" s="75"/>
    </row>
    <row r="1088" spans="18:19" x14ac:dyDescent="0.25">
      <c r="R1088" s="75"/>
      <c r="S1088" s="75"/>
    </row>
    <row r="1089" spans="18:19" x14ac:dyDescent="0.25">
      <c r="R1089" s="75"/>
      <c r="S1089" s="75"/>
    </row>
    <row r="1090" spans="18:19" x14ac:dyDescent="0.25">
      <c r="R1090" s="75"/>
      <c r="S1090" s="75"/>
    </row>
    <row r="1091" spans="18:19" x14ac:dyDescent="0.25">
      <c r="R1091" s="75"/>
      <c r="S1091" s="75"/>
    </row>
    <row r="1092" spans="18:19" x14ac:dyDescent="0.25">
      <c r="R1092" s="75"/>
      <c r="S1092" s="75"/>
    </row>
    <row r="1093" spans="18:19" x14ac:dyDescent="0.25">
      <c r="R1093" s="75"/>
      <c r="S1093" s="75"/>
    </row>
    <row r="1094" spans="18:19" x14ac:dyDescent="0.25">
      <c r="R1094" s="75"/>
      <c r="S1094" s="75"/>
    </row>
    <row r="1095" spans="18:19" x14ac:dyDescent="0.25">
      <c r="R1095" s="75"/>
      <c r="S1095" s="75"/>
    </row>
    <row r="1096" spans="18:19" x14ac:dyDescent="0.25">
      <c r="R1096" s="75"/>
      <c r="S1096" s="75"/>
    </row>
    <row r="1097" spans="18:19" x14ac:dyDescent="0.25">
      <c r="R1097" s="75"/>
      <c r="S1097" s="75"/>
    </row>
    <row r="1098" spans="18:19" x14ac:dyDescent="0.25">
      <c r="R1098" s="75"/>
      <c r="S1098" s="75"/>
    </row>
    <row r="1099" spans="18:19" x14ac:dyDescent="0.25">
      <c r="R1099" s="75"/>
      <c r="S1099" s="75"/>
    </row>
    <row r="1100" spans="18:19" x14ac:dyDescent="0.25">
      <c r="R1100" s="75"/>
      <c r="S1100" s="75"/>
    </row>
    <row r="1101" spans="18:19" x14ac:dyDescent="0.25">
      <c r="R1101" s="75"/>
      <c r="S1101" s="75"/>
    </row>
    <row r="1102" spans="18:19" x14ac:dyDescent="0.25">
      <c r="R1102" s="75"/>
      <c r="S1102" s="75"/>
    </row>
    <row r="1103" spans="18:19" x14ac:dyDescent="0.25">
      <c r="R1103" s="75"/>
      <c r="S1103" s="75"/>
    </row>
    <row r="1104" spans="18:19" x14ac:dyDescent="0.25">
      <c r="R1104" s="75"/>
      <c r="S1104" s="75"/>
    </row>
    <row r="1105" spans="18:19" x14ac:dyDescent="0.25">
      <c r="R1105" s="75"/>
      <c r="S1105" s="75"/>
    </row>
    <row r="1106" spans="18:19" x14ac:dyDescent="0.25">
      <c r="R1106" s="75"/>
      <c r="S1106" s="75"/>
    </row>
    <row r="1107" spans="18:19" x14ac:dyDescent="0.25">
      <c r="R1107" s="75"/>
      <c r="S1107" s="75"/>
    </row>
    <row r="1108" spans="18:19" x14ac:dyDescent="0.25">
      <c r="R1108" s="75"/>
      <c r="S1108" s="75"/>
    </row>
    <row r="1109" spans="18:19" x14ac:dyDescent="0.25">
      <c r="R1109" s="75"/>
      <c r="S1109" s="75"/>
    </row>
    <row r="1110" spans="18:19" x14ac:dyDescent="0.25">
      <c r="R1110" s="75"/>
      <c r="S1110" s="75"/>
    </row>
    <row r="1111" spans="18:19" x14ac:dyDescent="0.25">
      <c r="R1111" s="75"/>
      <c r="S1111" s="75"/>
    </row>
    <row r="1112" spans="18:19" x14ac:dyDescent="0.25">
      <c r="R1112" s="75"/>
      <c r="S1112" s="75"/>
    </row>
    <row r="1113" spans="18:19" x14ac:dyDescent="0.25">
      <c r="R1113" s="75"/>
      <c r="S1113" s="75"/>
    </row>
    <row r="1114" spans="18:19" x14ac:dyDescent="0.25">
      <c r="R1114" s="75"/>
      <c r="S1114" s="75"/>
    </row>
    <row r="1115" spans="18:19" x14ac:dyDescent="0.25">
      <c r="R1115" s="75"/>
      <c r="S1115" s="75"/>
    </row>
    <row r="1116" spans="18:19" x14ac:dyDescent="0.25">
      <c r="R1116" s="75"/>
      <c r="S1116" s="75"/>
    </row>
    <row r="1117" spans="18:19" x14ac:dyDescent="0.25">
      <c r="R1117" s="75"/>
      <c r="S1117" s="75"/>
    </row>
    <row r="1118" spans="18:19" x14ac:dyDescent="0.25">
      <c r="R1118" s="75"/>
      <c r="S1118" s="75"/>
    </row>
    <row r="1119" spans="18:19" x14ac:dyDescent="0.25">
      <c r="R1119" s="75"/>
      <c r="S1119" s="75"/>
    </row>
    <row r="1120" spans="18:19" x14ac:dyDescent="0.25">
      <c r="R1120" s="75"/>
      <c r="S1120" s="75"/>
    </row>
    <row r="1121" spans="18:19" x14ac:dyDescent="0.25">
      <c r="R1121" s="75"/>
      <c r="S1121" s="75"/>
    </row>
    <row r="1122" spans="18:19" x14ac:dyDescent="0.25">
      <c r="R1122" s="75"/>
      <c r="S1122" s="75"/>
    </row>
    <row r="1123" spans="18:19" x14ac:dyDescent="0.25">
      <c r="R1123" s="75"/>
      <c r="S1123" s="75"/>
    </row>
    <row r="1124" spans="18:19" x14ac:dyDescent="0.25">
      <c r="R1124" s="75"/>
      <c r="S1124" s="75"/>
    </row>
    <row r="1125" spans="18:19" x14ac:dyDescent="0.25">
      <c r="R1125" s="75"/>
      <c r="S1125" s="75"/>
    </row>
    <row r="1126" spans="18:19" x14ac:dyDescent="0.25">
      <c r="R1126" s="75"/>
      <c r="S1126" s="75"/>
    </row>
    <row r="1127" spans="18:19" x14ac:dyDescent="0.25">
      <c r="R1127" s="75"/>
      <c r="S1127" s="75"/>
    </row>
    <row r="1128" spans="18:19" x14ac:dyDescent="0.25">
      <c r="R1128" s="75"/>
      <c r="S1128" s="75"/>
    </row>
    <row r="1129" spans="18:19" x14ac:dyDescent="0.25">
      <c r="R1129" s="75"/>
      <c r="S1129" s="75"/>
    </row>
    <row r="1130" spans="18:19" x14ac:dyDescent="0.25">
      <c r="R1130" s="75"/>
      <c r="S1130" s="75"/>
    </row>
    <row r="1131" spans="18:19" x14ac:dyDescent="0.25">
      <c r="R1131" s="75"/>
      <c r="S1131" s="75"/>
    </row>
    <row r="1132" spans="18:19" x14ac:dyDescent="0.25">
      <c r="R1132" s="75"/>
      <c r="S1132" s="75"/>
    </row>
    <row r="1133" spans="18:19" x14ac:dyDescent="0.25">
      <c r="R1133" s="75"/>
      <c r="S1133" s="75"/>
    </row>
    <row r="1134" spans="18:19" x14ac:dyDescent="0.25">
      <c r="R1134" s="75"/>
      <c r="S1134" s="75"/>
    </row>
    <row r="1135" spans="18:19" x14ac:dyDescent="0.25">
      <c r="R1135" s="75"/>
      <c r="S1135" s="75"/>
    </row>
    <row r="1136" spans="18:19" x14ac:dyDescent="0.25">
      <c r="R1136" s="75"/>
      <c r="S1136" s="75"/>
    </row>
    <row r="1137" spans="18:19" x14ac:dyDescent="0.25">
      <c r="R1137" s="75"/>
      <c r="S1137" s="75"/>
    </row>
    <row r="1138" spans="18:19" x14ac:dyDescent="0.25">
      <c r="R1138" s="75"/>
      <c r="S1138" s="75"/>
    </row>
    <row r="1139" spans="18:19" x14ac:dyDescent="0.25">
      <c r="R1139" s="75"/>
      <c r="S1139" s="75"/>
    </row>
    <row r="1140" spans="18:19" x14ac:dyDescent="0.25">
      <c r="R1140" s="75"/>
      <c r="S1140" s="75"/>
    </row>
    <row r="1141" spans="18:19" x14ac:dyDescent="0.25">
      <c r="R1141" s="75"/>
      <c r="S1141" s="75"/>
    </row>
    <row r="1142" spans="18:19" x14ac:dyDescent="0.25">
      <c r="R1142" s="75"/>
      <c r="S1142" s="75"/>
    </row>
    <row r="1143" spans="18:19" x14ac:dyDescent="0.25">
      <c r="R1143" s="75"/>
      <c r="S1143" s="75"/>
    </row>
    <row r="1144" spans="18:19" x14ac:dyDescent="0.25">
      <c r="R1144" s="75"/>
      <c r="S1144" s="75"/>
    </row>
    <row r="1145" spans="18:19" x14ac:dyDescent="0.25">
      <c r="R1145" s="75"/>
      <c r="S1145" s="75"/>
    </row>
    <row r="1146" spans="18:19" x14ac:dyDescent="0.25">
      <c r="R1146" s="75"/>
      <c r="S1146" s="75"/>
    </row>
    <row r="1147" spans="18:19" x14ac:dyDescent="0.25">
      <c r="R1147" s="75"/>
      <c r="S1147" s="75"/>
    </row>
    <row r="1148" spans="18:19" x14ac:dyDescent="0.25">
      <c r="R1148" s="75"/>
      <c r="S1148" s="75"/>
    </row>
    <row r="1149" spans="18:19" x14ac:dyDescent="0.25">
      <c r="R1149" s="75"/>
      <c r="S1149" s="75"/>
    </row>
    <row r="1150" spans="18:19" x14ac:dyDescent="0.25">
      <c r="R1150" s="75"/>
      <c r="S1150" s="75"/>
    </row>
    <row r="1151" spans="18:19" x14ac:dyDescent="0.25">
      <c r="R1151" s="75"/>
      <c r="S1151" s="75"/>
    </row>
    <row r="1152" spans="18:19" x14ac:dyDescent="0.25">
      <c r="R1152" s="75"/>
      <c r="S1152" s="75"/>
    </row>
    <row r="1153" spans="18:19" x14ac:dyDescent="0.25">
      <c r="R1153" s="75"/>
      <c r="S1153" s="75"/>
    </row>
    <row r="1154" spans="18:19" x14ac:dyDescent="0.25">
      <c r="R1154" s="75"/>
      <c r="S1154" s="75"/>
    </row>
    <row r="1155" spans="18:19" x14ac:dyDescent="0.25">
      <c r="R1155" s="75"/>
      <c r="S1155" s="75"/>
    </row>
    <row r="1156" spans="18:19" x14ac:dyDescent="0.25">
      <c r="R1156" s="75"/>
      <c r="S1156" s="75"/>
    </row>
    <row r="1157" spans="18:19" x14ac:dyDescent="0.25">
      <c r="R1157" s="75"/>
      <c r="S1157" s="75"/>
    </row>
    <row r="1158" spans="18:19" x14ac:dyDescent="0.25">
      <c r="R1158" s="75"/>
      <c r="S1158" s="75"/>
    </row>
    <row r="1159" spans="18:19" x14ac:dyDescent="0.25">
      <c r="R1159" s="75"/>
      <c r="S1159" s="75"/>
    </row>
    <row r="1160" spans="18:19" x14ac:dyDescent="0.25">
      <c r="R1160" s="75"/>
      <c r="S1160" s="75"/>
    </row>
    <row r="1161" spans="18:19" x14ac:dyDescent="0.25">
      <c r="R1161" s="75"/>
      <c r="S1161" s="75"/>
    </row>
    <row r="1162" spans="18:19" x14ac:dyDescent="0.25">
      <c r="R1162" s="75"/>
      <c r="S1162" s="75"/>
    </row>
    <row r="1163" spans="18:19" x14ac:dyDescent="0.25">
      <c r="R1163" s="75"/>
      <c r="S1163" s="75"/>
    </row>
    <row r="1164" spans="18:19" x14ac:dyDescent="0.25">
      <c r="R1164" s="75"/>
      <c r="S1164" s="75"/>
    </row>
    <row r="1165" spans="18:19" x14ac:dyDescent="0.25">
      <c r="R1165" s="75"/>
      <c r="S1165" s="75"/>
    </row>
    <row r="1166" spans="18:19" x14ac:dyDescent="0.25">
      <c r="R1166" s="75"/>
      <c r="S1166" s="75"/>
    </row>
    <row r="1167" spans="18:19" x14ac:dyDescent="0.25">
      <c r="R1167" s="75"/>
      <c r="S1167" s="75"/>
    </row>
    <row r="1168" spans="18:19" x14ac:dyDescent="0.25">
      <c r="R1168" s="75"/>
      <c r="S1168" s="75"/>
    </row>
    <row r="1169" spans="18:19" x14ac:dyDescent="0.25">
      <c r="R1169" s="75"/>
      <c r="S1169" s="75"/>
    </row>
    <row r="1170" spans="18:19" x14ac:dyDescent="0.25">
      <c r="R1170" s="75"/>
      <c r="S1170" s="75"/>
    </row>
    <row r="1171" spans="18:19" x14ac:dyDescent="0.25">
      <c r="R1171" s="75"/>
      <c r="S1171" s="75"/>
    </row>
    <row r="1172" spans="18:19" x14ac:dyDescent="0.25">
      <c r="R1172" s="75"/>
      <c r="S1172" s="75"/>
    </row>
    <row r="1173" spans="18:19" x14ac:dyDescent="0.25">
      <c r="R1173" s="75"/>
      <c r="S1173" s="75"/>
    </row>
    <row r="1174" spans="18:19" x14ac:dyDescent="0.25">
      <c r="R1174" s="75"/>
      <c r="S1174" s="75"/>
    </row>
    <row r="1175" spans="18:19" x14ac:dyDescent="0.25">
      <c r="R1175" s="75"/>
      <c r="S1175" s="75"/>
    </row>
    <row r="1176" spans="18:19" x14ac:dyDescent="0.25">
      <c r="R1176" s="75"/>
      <c r="S1176" s="75"/>
    </row>
    <row r="1177" spans="18:19" x14ac:dyDescent="0.25">
      <c r="R1177" s="75"/>
      <c r="S1177" s="75"/>
    </row>
    <row r="1178" spans="18:19" x14ac:dyDescent="0.25">
      <c r="R1178" s="75"/>
      <c r="S1178" s="75"/>
    </row>
    <row r="1179" spans="18:19" x14ac:dyDescent="0.25">
      <c r="R1179" s="75"/>
      <c r="S1179" s="75"/>
    </row>
    <row r="1180" spans="18:19" x14ac:dyDescent="0.25">
      <c r="R1180" s="75"/>
      <c r="S1180" s="75"/>
    </row>
    <row r="1181" spans="18:19" x14ac:dyDescent="0.25">
      <c r="R1181" s="75"/>
      <c r="S1181" s="75"/>
    </row>
    <row r="1182" spans="18:19" x14ac:dyDescent="0.25">
      <c r="R1182" s="75"/>
      <c r="S1182" s="75"/>
    </row>
    <row r="1183" spans="18:19" x14ac:dyDescent="0.25">
      <c r="R1183" s="75"/>
      <c r="S1183" s="75"/>
    </row>
    <row r="1184" spans="18:19" x14ac:dyDescent="0.25">
      <c r="R1184" s="75"/>
      <c r="S1184" s="75"/>
    </row>
    <row r="1185" spans="18:19" x14ac:dyDescent="0.25">
      <c r="R1185" s="75"/>
      <c r="S1185" s="75"/>
    </row>
    <row r="1186" spans="18:19" x14ac:dyDescent="0.25">
      <c r="R1186" s="75"/>
      <c r="S1186" s="75"/>
    </row>
    <row r="1187" spans="18:19" x14ac:dyDescent="0.25">
      <c r="R1187" s="75"/>
      <c r="S1187" s="75"/>
    </row>
    <row r="1188" spans="18:19" x14ac:dyDescent="0.25">
      <c r="R1188" s="75"/>
      <c r="S1188" s="75"/>
    </row>
    <row r="1189" spans="18:19" x14ac:dyDescent="0.25">
      <c r="R1189" s="75"/>
      <c r="S1189" s="75"/>
    </row>
    <row r="1190" spans="18:19" x14ac:dyDescent="0.25">
      <c r="R1190" s="75"/>
      <c r="S1190" s="75"/>
    </row>
    <row r="1191" spans="18:19" x14ac:dyDescent="0.25">
      <c r="R1191" s="75"/>
      <c r="S1191" s="75"/>
    </row>
    <row r="1192" spans="18:19" x14ac:dyDescent="0.25">
      <c r="R1192" s="75"/>
      <c r="S1192" s="75"/>
    </row>
    <row r="1193" spans="18:19" x14ac:dyDescent="0.25">
      <c r="R1193" s="75"/>
      <c r="S1193" s="75"/>
    </row>
    <row r="1194" spans="18:19" x14ac:dyDescent="0.25">
      <c r="R1194" s="75"/>
      <c r="S1194" s="75"/>
    </row>
    <row r="1195" spans="18:19" x14ac:dyDescent="0.25">
      <c r="R1195" s="75"/>
      <c r="S1195" s="75"/>
    </row>
    <row r="1196" spans="18:19" x14ac:dyDescent="0.25">
      <c r="R1196" s="75"/>
      <c r="S1196" s="75"/>
    </row>
    <row r="1197" spans="18:19" x14ac:dyDescent="0.25">
      <c r="R1197" s="75"/>
      <c r="S1197" s="75"/>
    </row>
    <row r="1198" spans="18:19" x14ac:dyDescent="0.25">
      <c r="R1198" s="75"/>
      <c r="S1198" s="75"/>
    </row>
    <row r="1199" spans="18:19" x14ac:dyDescent="0.25">
      <c r="R1199" s="75"/>
      <c r="S1199" s="75"/>
    </row>
    <row r="1200" spans="18:19" x14ac:dyDescent="0.25">
      <c r="R1200" s="75"/>
      <c r="S1200" s="75"/>
    </row>
    <row r="1201" spans="18:19" x14ac:dyDescent="0.25">
      <c r="R1201" s="75"/>
      <c r="S1201" s="75"/>
    </row>
    <row r="1202" spans="18:19" x14ac:dyDescent="0.25">
      <c r="R1202" s="75"/>
      <c r="S1202" s="75"/>
    </row>
    <row r="1203" spans="18:19" x14ac:dyDescent="0.25">
      <c r="R1203" s="75"/>
      <c r="S1203" s="75"/>
    </row>
    <row r="1204" spans="18:19" x14ac:dyDescent="0.25">
      <c r="R1204" s="75"/>
      <c r="S1204" s="75"/>
    </row>
    <row r="1205" spans="18:19" x14ac:dyDescent="0.25">
      <c r="R1205" s="75"/>
      <c r="S1205" s="75"/>
    </row>
    <row r="1206" spans="18:19" x14ac:dyDescent="0.25">
      <c r="R1206" s="75"/>
      <c r="S1206" s="75"/>
    </row>
    <row r="1207" spans="18:19" x14ac:dyDescent="0.25">
      <c r="R1207" s="75"/>
      <c r="S1207" s="75"/>
    </row>
    <row r="1208" spans="18:19" x14ac:dyDescent="0.25">
      <c r="R1208" s="75"/>
      <c r="S1208" s="75"/>
    </row>
    <row r="1209" spans="18:19" x14ac:dyDescent="0.25">
      <c r="R1209" s="75"/>
      <c r="S1209" s="75"/>
    </row>
    <row r="1210" spans="18:19" x14ac:dyDescent="0.25">
      <c r="R1210" s="75"/>
      <c r="S1210" s="75"/>
    </row>
    <row r="1211" spans="18:19" x14ac:dyDescent="0.25">
      <c r="R1211" s="75"/>
      <c r="S1211" s="75"/>
    </row>
    <row r="1212" spans="18:19" x14ac:dyDescent="0.25">
      <c r="R1212" s="75"/>
      <c r="S1212" s="75"/>
    </row>
    <row r="1213" spans="18:19" x14ac:dyDescent="0.25">
      <c r="R1213" s="75"/>
      <c r="S1213" s="75"/>
    </row>
    <row r="1214" spans="18:19" x14ac:dyDescent="0.25">
      <c r="R1214" s="75"/>
      <c r="S1214" s="75"/>
    </row>
    <row r="1215" spans="18:19" x14ac:dyDescent="0.25">
      <c r="R1215" s="75"/>
      <c r="S1215" s="75"/>
    </row>
    <row r="1216" spans="18:19" x14ac:dyDescent="0.25">
      <c r="R1216" s="75"/>
      <c r="S1216" s="75"/>
    </row>
    <row r="1217" spans="18:19" x14ac:dyDescent="0.25">
      <c r="R1217" s="75"/>
      <c r="S1217" s="75"/>
    </row>
    <row r="1218" spans="18:19" x14ac:dyDescent="0.25">
      <c r="R1218" s="75"/>
      <c r="S1218" s="75"/>
    </row>
    <row r="1219" spans="18:19" x14ac:dyDescent="0.25">
      <c r="R1219" s="75"/>
      <c r="S1219" s="75"/>
    </row>
    <row r="1220" spans="18:19" x14ac:dyDescent="0.25">
      <c r="R1220" s="75"/>
      <c r="S1220" s="75"/>
    </row>
    <row r="1221" spans="18:19" x14ac:dyDescent="0.25">
      <c r="R1221" s="75"/>
      <c r="S1221" s="75"/>
    </row>
    <row r="1222" spans="18:19" x14ac:dyDescent="0.25">
      <c r="R1222" s="75"/>
      <c r="S1222" s="75"/>
    </row>
    <row r="1223" spans="18:19" x14ac:dyDescent="0.25">
      <c r="R1223" s="75"/>
      <c r="S1223" s="75"/>
    </row>
    <row r="1224" spans="18:19" x14ac:dyDescent="0.25">
      <c r="R1224" s="75"/>
      <c r="S1224" s="75"/>
    </row>
    <row r="1225" spans="18:19" x14ac:dyDescent="0.25">
      <c r="R1225" s="75"/>
      <c r="S1225" s="75"/>
    </row>
    <row r="1226" spans="18:19" x14ac:dyDescent="0.25">
      <c r="R1226" s="75"/>
      <c r="S1226" s="75"/>
    </row>
    <row r="1227" spans="18:19" x14ac:dyDescent="0.25">
      <c r="R1227" s="75"/>
      <c r="S1227" s="75"/>
    </row>
    <row r="1228" spans="18:19" x14ac:dyDescent="0.25">
      <c r="R1228" s="75"/>
      <c r="S1228" s="75"/>
    </row>
    <row r="1229" spans="18:19" x14ac:dyDescent="0.25">
      <c r="R1229" s="75"/>
      <c r="S1229" s="75"/>
    </row>
    <row r="1230" spans="18:19" x14ac:dyDescent="0.25">
      <c r="R1230" s="75"/>
      <c r="S1230" s="75"/>
    </row>
    <row r="1231" spans="18:19" x14ac:dyDescent="0.25">
      <c r="R1231" s="75"/>
      <c r="S1231" s="75"/>
    </row>
    <row r="1232" spans="18:19" x14ac:dyDescent="0.25">
      <c r="R1232" s="75"/>
      <c r="S1232" s="75"/>
    </row>
    <row r="1233" spans="18:19" x14ac:dyDescent="0.25">
      <c r="R1233" s="75"/>
      <c r="S1233" s="75"/>
    </row>
    <row r="1234" spans="18:19" x14ac:dyDescent="0.25">
      <c r="R1234" s="75"/>
      <c r="S1234" s="75"/>
    </row>
    <row r="1235" spans="18:19" x14ac:dyDescent="0.25">
      <c r="R1235" s="75"/>
      <c r="S1235" s="75"/>
    </row>
    <row r="1236" spans="18:19" x14ac:dyDescent="0.25">
      <c r="R1236" s="75"/>
      <c r="S1236" s="75"/>
    </row>
    <row r="1237" spans="18:19" x14ac:dyDescent="0.25">
      <c r="R1237" s="75"/>
      <c r="S1237" s="75"/>
    </row>
    <row r="1238" spans="18:19" x14ac:dyDescent="0.25">
      <c r="R1238" s="75"/>
      <c r="S1238" s="75"/>
    </row>
    <row r="1239" spans="18:19" x14ac:dyDescent="0.25">
      <c r="R1239" s="75"/>
      <c r="S1239" s="75"/>
    </row>
    <row r="1240" spans="18:19" x14ac:dyDescent="0.25">
      <c r="R1240" s="75"/>
      <c r="S1240" s="75"/>
    </row>
    <row r="1241" spans="18:19" x14ac:dyDescent="0.25">
      <c r="R1241" s="75"/>
      <c r="S1241" s="75"/>
    </row>
    <row r="1242" spans="18:19" x14ac:dyDescent="0.25">
      <c r="R1242" s="75"/>
      <c r="S1242" s="75"/>
    </row>
    <row r="1243" spans="18:19" x14ac:dyDescent="0.25">
      <c r="R1243" s="75"/>
      <c r="S1243" s="75"/>
    </row>
    <row r="1244" spans="18:19" x14ac:dyDescent="0.25">
      <c r="R1244" s="75"/>
      <c r="S1244" s="75"/>
    </row>
    <row r="1245" spans="18:19" x14ac:dyDescent="0.25">
      <c r="R1245" s="75"/>
      <c r="S1245" s="75"/>
    </row>
    <row r="1246" spans="18:19" x14ac:dyDescent="0.25">
      <c r="R1246" s="75"/>
      <c r="S1246" s="75"/>
    </row>
    <row r="1247" spans="18:19" x14ac:dyDescent="0.25">
      <c r="R1247" s="75"/>
      <c r="S1247" s="75"/>
    </row>
    <row r="1248" spans="18:19" x14ac:dyDescent="0.25">
      <c r="R1248" s="75"/>
      <c r="S1248" s="75"/>
    </row>
    <row r="1249" spans="18:19" x14ac:dyDescent="0.25">
      <c r="R1249" s="75"/>
      <c r="S1249" s="75"/>
    </row>
    <row r="1250" spans="18:19" x14ac:dyDescent="0.25">
      <c r="R1250" s="75"/>
      <c r="S1250" s="75"/>
    </row>
    <row r="1251" spans="18:19" x14ac:dyDescent="0.25">
      <c r="R1251" s="75"/>
      <c r="S1251" s="75"/>
    </row>
    <row r="1252" spans="18:19" x14ac:dyDescent="0.25">
      <c r="R1252" s="75"/>
      <c r="S1252" s="75"/>
    </row>
    <row r="1253" spans="18:19" x14ac:dyDescent="0.25">
      <c r="R1253" s="75"/>
      <c r="S1253" s="75"/>
    </row>
    <row r="1254" spans="18:19" x14ac:dyDescent="0.25">
      <c r="R1254" s="75"/>
      <c r="S1254" s="75"/>
    </row>
    <row r="1255" spans="18:19" x14ac:dyDescent="0.25">
      <c r="R1255" s="75"/>
      <c r="S1255" s="75"/>
    </row>
    <row r="1256" spans="18:19" x14ac:dyDescent="0.25">
      <c r="R1256" s="75"/>
      <c r="S1256" s="75"/>
    </row>
    <row r="1257" spans="18:19" x14ac:dyDescent="0.25">
      <c r="R1257" s="75"/>
      <c r="S1257" s="75"/>
    </row>
    <row r="1258" spans="18:19" x14ac:dyDescent="0.25">
      <c r="R1258" s="75"/>
      <c r="S1258" s="75"/>
    </row>
    <row r="1259" spans="18:19" x14ac:dyDescent="0.25">
      <c r="R1259" s="75"/>
      <c r="S1259" s="75"/>
    </row>
    <row r="1260" spans="18:19" x14ac:dyDescent="0.25">
      <c r="R1260" s="75"/>
      <c r="S1260" s="75"/>
    </row>
    <row r="1261" spans="18:19" x14ac:dyDescent="0.25">
      <c r="R1261" s="75"/>
      <c r="S1261" s="75"/>
    </row>
    <row r="1262" spans="18:19" x14ac:dyDescent="0.25">
      <c r="R1262" s="75"/>
      <c r="S1262" s="75"/>
    </row>
    <row r="1263" spans="18:19" x14ac:dyDescent="0.25">
      <c r="R1263" s="75"/>
      <c r="S1263" s="75"/>
    </row>
    <row r="1264" spans="18:19" x14ac:dyDescent="0.25">
      <c r="R1264" s="75"/>
      <c r="S1264" s="75"/>
    </row>
    <row r="1265" spans="18:19" x14ac:dyDescent="0.25">
      <c r="R1265" s="75"/>
      <c r="S1265" s="75"/>
    </row>
    <row r="1266" spans="18:19" x14ac:dyDescent="0.25">
      <c r="R1266" s="75"/>
      <c r="S1266" s="75"/>
    </row>
    <row r="1267" spans="18:19" x14ac:dyDescent="0.25">
      <c r="R1267" s="75"/>
      <c r="S1267" s="75"/>
    </row>
    <row r="1268" spans="18:19" x14ac:dyDescent="0.25">
      <c r="R1268" s="75"/>
      <c r="S1268" s="75"/>
    </row>
    <row r="1269" spans="18:19" x14ac:dyDescent="0.25">
      <c r="R1269" s="75"/>
      <c r="S1269" s="75"/>
    </row>
    <row r="1270" spans="18:19" x14ac:dyDescent="0.25">
      <c r="R1270" s="75"/>
      <c r="S1270" s="75"/>
    </row>
    <row r="1271" spans="18:19" x14ac:dyDescent="0.25">
      <c r="R1271" s="75"/>
      <c r="S1271" s="75"/>
    </row>
    <row r="1272" spans="18:19" x14ac:dyDescent="0.25">
      <c r="R1272" s="75"/>
      <c r="S1272" s="75"/>
    </row>
    <row r="1273" spans="18:19" x14ac:dyDescent="0.25">
      <c r="R1273" s="75"/>
      <c r="S1273" s="75"/>
    </row>
    <row r="1274" spans="18:19" x14ac:dyDescent="0.25">
      <c r="R1274" s="75"/>
      <c r="S1274" s="75"/>
    </row>
    <row r="1275" spans="18:19" x14ac:dyDescent="0.25">
      <c r="R1275" s="75"/>
      <c r="S1275" s="75"/>
    </row>
    <row r="1276" spans="18:19" x14ac:dyDescent="0.25">
      <c r="R1276" s="75"/>
      <c r="S1276" s="75"/>
    </row>
    <row r="1277" spans="18:19" x14ac:dyDescent="0.25">
      <c r="R1277" s="75"/>
      <c r="S1277" s="75"/>
    </row>
    <row r="1278" spans="18:19" x14ac:dyDescent="0.25">
      <c r="R1278" s="75"/>
      <c r="S1278" s="75"/>
    </row>
    <row r="1279" spans="18:19" x14ac:dyDescent="0.25">
      <c r="R1279" s="75"/>
      <c r="S1279" s="75"/>
    </row>
    <row r="1280" spans="18:19" x14ac:dyDescent="0.25">
      <c r="R1280" s="75"/>
      <c r="S1280" s="75"/>
    </row>
    <row r="1281" spans="18:19" x14ac:dyDescent="0.25">
      <c r="R1281" s="75"/>
      <c r="S1281" s="75"/>
    </row>
    <row r="1282" spans="18:19" x14ac:dyDescent="0.25">
      <c r="R1282" s="75"/>
      <c r="S1282" s="75"/>
    </row>
    <row r="1283" spans="18:19" x14ac:dyDescent="0.25">
      <c r="R1283" s="75"/>
      <c r="S1283" s="75"/>
    </row>
    <row r="1284" spans="18:19" x14ac:dyDescent="0.25">
      <c r="R1284" s="75"/>
      <c r="S1284" s="75"/>
    </row>
    <row r="1285" spans="18:19" x14ac:dyDescent="0.25">
      <c r="R1285" s="75"/>
      <c r="S1285" s="75"/>
    </row>
    <row r="1286" spans="18:19" x14ac:dyDescent="0.25">
      <c r="R1286" s="75"/>
      <c r="S1286" s="75"/>
    </row>
    <row r="1287" spans="18:19" x14ac:dyDescent="0.25">
      <c r="R1287" s="75"/>
      <c r="S1287" s="75"/>
    </row>
    <row r="1288" spans="18:19" x14ac:dyDescent="0.25">
      <c r="R1288" s="75"/>
      <c r="S1288" s="75"/>
    </row>
    <row r="1289" spans="18:19" x14ac:dyDescent="0.25">
      <c r="R1289" s="75"/>
      <c r="S1289" s="75"/>
    </row>
    <row r="1290" spans="18:19" x14ac:dyDescent="0.25">
      <c r="R1290" s="75"/>
      <c r="S1290" s="75"/>
    </row>
    <row r="1291" spans="18:19" x14ac:dyDescent="0.25">
      <c r="R1291" s="75"/>
      <c r="S1291" s="75"/>
    </row>
    <row r="1292" spans="18:19" x14ac:dyDescent="0.25">
      <c r="R1292" s="75"/>
      <c r="S1292" s="75"/>
    </row>
    <row r="1293" spans="18:19" x14ac:dyDescent="0.25">
      <c r="R1293" s="75"/>
      <c r="S1293" s="75"/>
    </row>
    <row r="1294" spans="18:19" x14ac:dyDescent="0.25">
      <c r="R1294" s="75"/>
      <c r="S1294" s="75"/>
    </row>
    <row r="1295" spans="18:19" x14ac:dyDescent="0.25">
      <c r="R1295" s="75"/>
      <c r="S1295" s="75"/>
    </row>
    <row r="1296" spans="18:19" x14ac:dyDescent="0.25">
      <c r="R1296" s="75"/>
      <c r="S1296" s="75"/>
    </row>
    <row r="1297" spans="18:19" x14ac:dyDescent="0.25">
      <c r="R1297" s="75"/>
      <c r="S1297" s="75"/>
    </row>
    <row r="1298" spans="18:19" x14ac:dyDescent="0.25">
      <c r="R1298" s="75"/>
      <c r="S1298" s="75"/>
    </row>
    <row r="1299" spans="18:19" x14ac:dyDescent="0.25">
      <c r="R1299" s="75"/>
      <c r="S1299" s="75"/>
    </row>
    <row r="1300" spans="18:19" x14ac:dyDescent="0.25">
      <c r="R1300" s="75"/>
      <c r="S1300" s="75"/>
    </row>
    <row r="1301" spans="18:19" x14ac:dyDescent="0.25">
      <c r="R1301" s="75"/>
      <c r="S1301" s="75"/>
    </row>
    <row r="1302" spans="18:19" x14ac:dyDescent="0.25">
      <c r="R1302" s="75"/>
      <c r="S1302" s="75"/>
    </row>
    <row r="1303" spans="18:19" x14ac:dyDescent="0.25">
      <c r="R1303" s="75"/>
      <c r="S1303" s="75"/>
    </row>
    <row r="1304" spans="18:19" x14ac:dyDescent="0.25">
      <c r="R1304" s="75"/>
      <c r="S1304" s="75"/>
    </row>
    <row r="1305" spans="18:19" x14ac:dyDescent="0.25">
      <c r="R1305" s="75"/>
      <c r="S1305" s="75"/>
    </row>
    <row r="1306" spans="18:19" x14ac:dyDescent="0.25">
      <c r="R1306" s="75"/>
      <c r="S1306" s="75"/>
    </row>
    <row r="1307" spans="18:19" x14ac:dyDescent="0.25">
      <c r="R1307" s="75"/>
      <c r="S1307" s="75"/>
    </row>
    <row r="1308" spans="18:19" x14ac:dyDescent="0.25">
      <c r="R1308" s="75"/>
      <c r="S1308" s="75"/>
    </row>
    <row r="1309" spans="18:19" x14ac:dyDescent="0.25">
      <c r="R1309" s="75"/>
      <c r="S1309" s="75"/>
    </row>
    <row r="1310" spans="18:19" x14ac:dyDescent="0.25">
      <c r="R1310" s="75"/>
      <c r="S1310" s="75"/>
    </row>
    <row r="1311" spans="18:19" x14ac:dyDescent="0.25">
      <c r="R1311" s="75"/>
      <c r="S1311" s="75"/>
    </row>
    <row r="1312" spans="18:19" x14ac:dyDescent="0.25">
      <c r="R1312" s="75"/>
      <c r="S1312" s="75"/>
    </row>
    <row r="1313" spans="18:19" x14ac:dyDescent="0.25">
      <c r="R1313" s="75"/>
      <c r="S1313" s="75"/>
    </row>
    <row r="1314" spans="18:19" x14ac:dyDescent="0.25">
      <c r="R1314" s="75"/>
      <c r="S1314" s="75"/>
    </row>
    <row r="1315" spans="18:19" x14ac:dyDescent="0.25">
      <c r="R1315" s="75"/>
      <c r="S1315" s="75"/>
    </row>
    <row r="1316" spans="18:19" x14ac:dyDescent="0.25">
      <c r="R1316" s="75"/>
      <c r="S1316" s="75"/>
    </row>
    <row r="1317" spans="18:19" x14ac:dyDescent="0.25">
      <c r="R1317" s="75"/>
      <c r="S1317" s="75"/>
    </row>
    <row r="1318" spans="18:19" x14ac:dyDescent="0.25">
      <c r="R1318" s="75"/>
      <c r="S1318" s="75"/>
    </row>
    <row r="1319" spans="18:19" x14ac:dyDescent="0.25">
      <c r="R1319" s="75"/>
      <c r="S1319" s="75"/>
    </row>
    <row r="1320" spans="18:19" x14ac:dyDescent="0.25">
      <c r="R1320" s="75"/>
      <c r="S1320" s="75"/>
    </row>
    <row r="1321" spans="18:19" x14ac:dyDescent="0.25">
      <c r="R1321" s="75"/>
      <c r="S1321" s="75"/>
    </row>
    <row r="1322" spans="18:19" x14ac:dyDescent="0.25">
      <c r="R1322" s="75"/>
      <c r="S1322" s="75"/>
    </row>
    <row r="1323" spans="18:19" x14ac:dyDescent="0.25">
      <c r="R1323" s="75"/>
      <c r="S1323" s="75"/>
    </row>
    <row r="1324" spans="18:19" x14ac:dyDescent="0.25">
      <c r="R1324" s="75"/>
      <c r="S1324" s="75"/>
    </row>
    <row r="1325" spans="18:19" x14ac:dyDescent="0.25">
      <c r="R1325" s="75"/>
      <c r="S1325" s="75"/>
    </row>
    <row r="1326" spans="18:19" x14ac:dyDescent="0.25">
      <c r="R1326" s="75"/>
      <c r="S1326" s="75"/>
    </row>
    <row r="1327" spans="18:19" x14ac:dyDescent="0.25">
      <c r="R1327" s="75"/>
      <c r="S1327" s="75"/>
    </row>
    <row r="1328" spans="18:19" x14ac:dyDescent="0.25">
      <c r="R1328" s="75"/>
      <c r="S1328" s="75"/>
    </row>
    <row r="1329" spans="18:19" x14ac:dyDescent="0.25">
      <c r="R1329" s="75"/>
      <c r="S1329" s="75"/>
    </row>
    <row r="1330" spans="18:19" x14ac:dyDescent="0.25">
      <c r="R1330" s="75"/>
      <c r="S1330" s="75"/>
    </row>
    <row r="1331" spans="18:19" x14ac:dyDescent="0.25">
      <c r="R1331" s="75"/>
      <c r="S1331" s="75"/>
    </row>
    <row r="1332" spans="18:19" x14ac:dyDescent="0.25">
      <c r="R1332" s="75"/>
      <c r="S1332" s="75"/>
    </row>
    <row r="1333" spans="18:19" x14ac:dyDescent="0.25">
      <c r="R1333" s="75"/>
      <c r="S1333" s="75"/>
    </row>
    <row r="1334" spans="18:19" x14ac:dyDescent="0.25">
      <c r="R1334" s="75"/>
      <c r="S1334" s="75"/>
    </row>
    <row r="1335" spans="18:19" x14ac:dyDescent="0.25">
      <c r="R1335" s="75"/>
      <c r="S1335" s="75"/>
    </row>
    <row r="1336" spans="18:19" x14ac:dyDescent="0.25">
      <c r="R1336" s="75"/>
      <c r="S1336" s="75"/>
    </row>
    <row r="1337" spans="18:19" x14ac:dyDescent="0.25">
      <c r="R1337" s="75"/>
      <c r="S1337" s="75"/>
    </row>
    <row r="1338" spans="18:19" x14ac:dyDescent="0.25">
      <c r="R1338" s="75"/>
      <c r="S1338" s="75"/>
    </row>
    <row r="1339" spans="18:19" x14ac:dyDescent="0.25">
      <c r="R1339" s="75"/>
      <c r="S1339" s="75"/>
    </row>
    <row r="1340" spans="18:19" x14ac:dyDescent="0.25">
      <c r="R1340" s="75"/>
      <c r="S1340" s="75"/>
    </row>
    <row r="1341" spans="18:19" x14ac:dyDescent="0.25">
      <c r="R1341" s="75"/>
      <c r="S1341" s="75"/>
    </row>
    <row r="1342" spans="18:19" x14ac:dyDescent="0.25">
      <c r="R1342" s="75"/>
      <c r="S1342" s="75"/>
    </row>
    <row r="1343" spans="18:19" x14ac:dyDescent="0.25">
      <c r="R1343" s="75"/>
      <c r="S1343" s="75"/>
    </row>
    <row r="1344" spans="18:19" x14ac:dyDescent="0.25">
      <c r="R1344" s="75"/>
      <c r="S1344" s="75"/>
    </row>
    <row r="1345" spans="18:19" x14ac:dyDescent="0.25">
      <c r="R1345" s="75"/>
      <c r="S1345" s="75"/>
    </row>
    <row r="1346" spans="18:19" x14ac:dyDescent="0.25">
      <c r="R1346" s="75"/>
      <c r="S1346" s="75"/>
    </row>
    <row r="1347" spans="18:19" x14ac:dyDescent="0.25">
      <c r="R1347" s="75"/>
      <c r="S1347" s="75"/>
    </row>
    <row r="1348" spans="18:19" x14ac:dyDescent="0.25">
      <c r="R1348" s="75"/>
      <c r="S1348" s="75"/>
    </row>
    <row r="1349" spans="18:19" x14ac:dyDescent="0.25">
      <c r="R1349" s="75"/>
      <c r="S1349" s="75"/>
    </row>
    <row r="1350" spans="18:19" x14ac:dyDescent="0.25">
      <c r="R1350" s="75"/>
      <c r="S1350" s="75"/>
    </row>
    <row r="1351" spans="18:19" x14ac:dyDescent="0.25">
      <c r="R1351" s="75"/>
      <c r="S1351" s="75"/>
    </row>
    <row r="1352" spans="18:19" x14ac:dyDescent="0.25">
      <c r="R1352" s="75"/>
      <c r="S1352" s="75"/>
    </row>
    <row r="1353" spans="18:19" x14ac:dyDescent="0.25">
      <c r="R1353" s="75"/>
      <c r="S1353" s="75"/>
    </row>
    <row r="1354" spans="18:19" x14ac:dyDescent="0.25">
      <c r="R1354" s="75"/>
      <c r="S1354" s="75"/>
    </row>
    <row r="1355" spans="18:19" x14ac:dyDescent="0.25">
      <c r="R1355" s="75"/>
      <c r="S1355" s="75"/>
    </row>
    <row r="1356" spans="18:19" x14ac:dyDescent="0.25">
      <c r="R1356" s="75"/>
      <c r="S1356" s="75"/>
    </row>
    <row r="1357" spans="18:19" x14ac:dyDescent="0.25">
      <c r="R1357" s="75"/>
      <c r="S1357" s="75"/>
    </row>
    <row r="1358" spans="18:19" x14ac:dyDescent="0.25">
      <c r="R1358" s="75"/>
      <c r="S1358" s="75"/>
    </row>
    <row r="1359" spans="18:19" x14ac:dyDescent="0.25">
      <c r="R1359" s="75"/>
      <c r="S1359" s="75"/>
    </row>
    <row r="1360" spans="18:19" x14ac:dyDescent="0.25">
      <c r="R1360" s="75"/>
      <c r="S1360" s="75"/>
    </row>
    <row r="1361" spans="18:19" x14ac:dyDescent="0.25">
      <c r="R1361" s="75"/>
      <c r="S1361" s="75"/>
    </row>
    <row r="1362" spans="18:19" x14ac:dyDescent="0.25">
      <c r="R1362" s="75"/>
      <c r="S1362" s="75"/>
    </row>
    <row r="1363" spans="18:19" x14ac:dyDescent="0.25">
      <c r="R1363" s="75"/>
      <c r="S1363" s="75"/>
    </row>
    <row r="1364" spans="18:19" x14ac:dyDescent="0.25">
      <c r="R1364" s="75"/>
      <c r="S1364" s="75"/>
    </row>
    <row r="1365" spans="18:19" x14ac:dyDescent="0.25">
      <c r="R1365" s="75"/>
      <c r="S1365" s="75"/>
    </row>
    <row r="1366" spans="18:19" x14ac:dyDescent="0.25">
      <c r="R1366" s="75"/>
      <c r="S1366" s="75"/>
    </row>
    <row r="1367" spans="18:19" x14ac:dyDescent="0.25">
      <c r="R1367" s="75"/>
      <c r="S1367" s="75"/>
    </row>
    <row r="1368" spans="18:19" x14ac:dyDescent="0.25">
      <c r="R1368" s="75"/>
      <c r="S1368" s="75"/>
    </row>
    <row r="1369" spans="18:19" x14ac:dyDescent="0.25">
      <c r="R1369" s="75"/>
      <c r="S1369" s="75"/>
    </row>
    <row r="1370" spans="18:19" x14ac:dyDescent="0.25">
      <c r="R1370" s="75"/>
      <c r="S1370" s="75"/>
    </row>
    <row r="1371" spans="18:19" x14ac:dyDescent="0.25">
      <c r="R1371" s="75"/>
      <c r="S1371" s="75"/>
    </row>
    <row r="1372" spans="18:19" x14ac:dyDescent="0.25">
      <c r="R1372" s="75"/>
      <c r="S1372" s="75"/>
    </row>
    <row r="1373" spans="18:19" x14ac:dyDescent="0.25">
      <c r="R1373" s="75"/>
      <c r="S1373" s="75"/>
    </row>
    <row r="1374" spans="18:19" x14ac:dyDescent="0.25">
      <c r="R1374" s="75"/>
      <c r="S1374" s="75"/>
    </row>
    <row r="1375" spans="18:19" x14ac:dyDescent="0.25">
      <c r="R1375" s="75"/>
      <c r="S1375" s="75"/>
    </row>
    <row r="1376" spans="18:19" x14ac:dyDescent="0.25">
      <c r="R1376" s="75"/>
      <c r="S1376" s="75"/>
    </row>
    <row r="1377" spans="18:19" x14ac:dyDescent="0.25">
      <c r="R1377" s="75"/>
      <c r="S1377" s="75"/>
    </row>
    <row r="1378" spans="18:19" x14ac:dyDescent="0.25">
      <c r="R1378" s="75"/>
      <c r="S1378" s="75"/>
    </row>
    <row r="1379" spans="18:19" x14ac:dyDescent="0.25">
      <c r="R1379" s="75"/>
      <c r="S1379" s="75"/>
    </row>
    <row r="1380" spans="18:19" x14ac:dyDescent="0.25">
      <c r="R1380" s="75"/>
      <c r="S1380" s="75"/>
    </row>
    <row r="1381" spans="18:19" x14ac:dyDescent="0.25">
      <c r="R1381" s="75"/>
      <c r="S1381" s="75"/>
    </row>
    <row r="1382" spans="18:19" x14ac:dyDescent="0.25">
      <c r="R1382" s="75"/>
      <c r="S1382" s="75"/>
    </row>
    <row r="1383" spans="18:19" x14ac:dyDescent="0.25">
      <c r="R1383" s="75"/>
      <c r="S1383" s="75"/>
    </row>
    <row r="1384" spans="18:19" x14ac:dyDescent="0.25">
      <c r="R1384" s="75"/>
      <c r="S1384" s="75"/>
    </row>
    <row r="1385" spans="18:19" x14ac:dyDescent="0.25">
      <c r="R1385" s="75"/>
      <c r="S1385" s="75"/>
    </row>
    <row r="1386" spans="18:19" x14ac:dyDescent="0.25">
      <c r="R1386" s="75"/>
      <c r="S1386" s="75"/>
    </row>
    <row r="1387" spans="18:19" x14ac:dyDescent="0.25">
      <c r="R1387" s="75"/>
      <c r="S1387" s="75"/>
    </row>
    <row r="1388" spans="18:19" x14ac:dyDescent="0.25">
      <c r="R1388" s="75"/>
      <c r="S1388" s="75"/>
    </row>
    <row r="1389" spans="18:19" x14ac:dyDescent="0.25">
      <c r="R1389" s="75"/>
      <c r="S1389" s="75"/>
    </row>
    <row r="1390" spans="18:19" x14ac:dyDescent="0.25">
      <c r="R1390" s="75"/>
      <c r="S1390" s="75"/>
    </row>
    <row r="1391" spans="18:19" x14ac:dyDescent="0.25">
      <c r="R1391" s="75"/>
      <c r="S1391" s="75"/>
    </row>
    <row r="1392" spans="18:19" x14ac:dyDescent="0.25">
      <c r="R1392" s="75"/>
      <c r="S1392" s="75"/>
    </row>
    <row r="1393" spans="18:19" x14ac:dyDescent="0.25">
      <c r="R1393" s="75"/>
      <c r="S1393" s="75"/>
    </row>
    <row r="1394" spans="18:19" x14ac:dyDescent="0.25">
      <c r="R1394" s="75"/>
      <c r="S1394" s="75"/>
    </row>
    <row r="1395" spans="18:19" x14ac:dyDescent="0.25">
      <c r="R1395" s="75"/>
      <c r="S1395" s="75"/>
    </row>
    <row r="1396" spans="18:19" x14ac:dyDescent="0.25">
      <c r="R1396" s="75"/>
      <c r="S1396" s="75"/>
    </row>
    <row r="1397" spans="18:19" x14ac:dyDescent="0.25">
      <c r="R1397" s="75"/>
      <c r="S1397" s="75"/>
    </row>
    <row r="1398" spans="18:19" x14ac:dyDescent="0.25">
      <c r="R1398" s="75"/>
      <c r="S1398" s="75"/>
    </row>
    <row r="1399" spans="18:19" x14ac:dyDescent="0.25">
      <c r="R1399" s="75"/>
      <c r="S1399" s="75"/>
    </row>
    <row r="1400" spans="18:19" x14ac:dyDescent="0.25">
      <c r="R1400" s="75"/>
      <c r="S1400" s="75"/>
    </row>
    <row r="1401" spans="18:19" x14ac:dyDescent="0.25">
      <c r="R1401" s="75"/>
      <c r="S1401" s="75"/>
    </row>
    <row r="1402" spans="18:19" x14ac:dyDescent="0.25">
      <c r="R1402" s="75"/>
      <c r="S1402" s="75"/>
    </row>
    <row r="1403" spans="18:19" x14ac:dyDescent="0.25">
      <c r="R1403" s="75"/>
      <c r="S1403" s="75"/>
    </row>
    <row r="1404" spans="18:19" x14ac:dyDescent="0.25">
      <c r="R1404" s="75"/>
      <c r="S1404" s="75"/>
    </row>
    <row r="1405" spans="18:19" x14ac:dyDescent="0.25">
      <c r="R1405" s="75"/>
      <c r="S1405" s="75"/>
    </row>
    <row r="1406" spans="18:19" x14ac:dyDescent="0.25">
      <c r="R1406" s="75"/>
      <c r="S1406" s="75"/>
    </row>
    <row r="1407" spans="18:19" x14ac:dyDescent="0.25">
      <c r="R1407" s="75"/>
      <c r="S1407" s="75"/>
    </row>
    <row r="1408" spans="18:19" x14ac:dyDescent="0.25">
      <c r="R1408" s="75"/>
      <c r="S1408" s="75"/>
    </row>
    <row r="1409" spans="18:19" x14ac:dyDescent="0.25">
      <c r="R1409" s="75"/>
      <c r="S1409" s="75"/>
    </row>
    <row r="1410" spans="18:19" x14ac:dyDescent="0.25">
      <c r="R1410" s="75"/>
      <c r="S1410" s="75"/>
    </row>
    <row r="1411" spans="18:19" x14ac:dyDescent="0.25">
      <c r="R1411" s="75"/>
      <c r="S1411" s="75"/>
    </row>
    <row r="1412" spans="18:19" x14ac:dyDescent="0.25">
      <c r="R1412" s="75"/>
      <c r="S1412" s="75"/>
    </row>
    <row r="1413" spans="18:19" x14ac:dyDescent="0.25">
      <c r="R1413" s="75"/>
      <c r="S1413" s="75"/>
    </row>
    <row r="1414" spans="18:19" x14ac:dyDescent="0.25">
      <c r="R1414" s="75"/>
      <c r="S1414" s="75"/>
    </row>
    <row r="1415" spans="18:19" x14ac:dyDescent="0.25">
      <c r="R1415" s="75"/>
      <c r="S1415" s="75"/>
    </row>
    <row r="1416" spans="18:19" x14ac:dyDescent="0.25">
      <c r="R1416" s="75"/>
      <c r="S1416" s="75"/>
    </row>
    <row r="1417" spans="18:19" x14ac:dyDescent="0.25">
      <c r="R1417" s="75"/>
      <c r="S1417" s="75"/>
    </row>
    <row r="1418" spans="18:19" x14ac:dyDescent="0.25">
      <c r="R1418" s="75"/>
      <c r="S1418" s="75"/>
    </row>
    <row r="1419" spans="18:19" x14ac:dyDescent="0.25">
      <c r="R1419" s="75"/>
      <c r="S1419" s="75"/>
    </row>
    <row r="1420" spans="18:19" x14ac:dyDescent="0.25">
      <c r="R1420" s="75"/>
      <c r="S1420" s="75"/>
    </row>
    <row r="1421" spans="18:19" x14ac:dyDescent="0.25">
      <c r="R1421" s="75"/>
      <c r="S1421" s="75"/>
    </row>
    <row r="1422" spans="18:19" x14ac:dyDescent="0.25">
      <c r="R1422" s="75"/>
      <c r="S1422" s="75"/>
    </row>
    <row r="1423" spans="18:19" x14ac:dyDescent="0.25">
      <c r="R1423" s="75"/>
      <c r="S1423" s="75"/>
    </row>
    <row r="1424" spans="18:19" x14ac:dyDescent="0.25">
      <c r="R1424" s="75"/>
      <c r="S1424" s="75"/>
    </row>
    <row r="1425" spans="18:19" x14ac:dyDescent="0.25">
      <c r="R1425" s="75"/>
      <c r="S1425" s="75"/>
    </row>
    <row r="1426" spans="18:19" x14ac:dyDescent="0.25">
      <c r="R1426" s="75"/>
      <c r="S1426" s="75"/>
    </row>
    <row r="1427" spans="18:19" x14ac:dyDescent="0.25">
      <c r="R1427" s="75"/>
      <c r="S1427" s="75"/>
    </row>
    <row r="1428" spans="18:19" x14ac:dyDescent="0.25">
      <c r="R1428" s="75"/>
      <c r="S1428" s="75"/>
    </row>
    <row r="1429" spans="18:19" x14ac:dyDescent="0.25">
      <c r="R1429" s="75"/>
      <c r="S1429" s="75"/>
    </row>
    <row r="1430" spans="18:19" x14ac:dyDescent="0.25">
      <c r="R1430" s="75"/>
      <c r="S1430" s="75"/>
    </row>
    <row r="1431" spans="18:19" x14ac:dyDescent="0.25">
      <c r="R1431" s="75"/>
      <c r="S1431" s="75"/>
    </row>
    <row r="1432" spans="18:19" x14ac:dyDescent="0.25">
      <c r="R1432" s="75"/>
      <c r="S1432" s="75"/>
    </row>
    <row r="1433" spans="18:19" x14ac:dyDescent="0.25">
      <c r="R1433" s="75"/>
      <c r="S1433" s="75"/>
    </row>
    <row r="1434" spans="18:19" x14ac:dyDescent="0.25">
      <c r="R1434" s="75"/>
      <c r="S1434" s="75"/>
    </row>
    <row r="1435" spans="18:19" x14ac:dyDescent="0.25">
      <c r="R1435" s="75"/>
      <c r="S1435" s="75"/>
    </row>
    <row r="1436" spans="18:19" x14ac:dyDescent="0.25">
      <c r="R1436" s="75"/>
      <c r="S1436" s="75"/>
    </row>
    <row r="1437" spans="18:19" x14ac:dyDescent="0.25">
      <c r="R1437" s="75"/>
      <c r="S1437" s="75"/>
    </row>
    <row r="1438" spans="18:19" x14ac:dyDescent="0.25">
      <c r="R1438" s="75"/>
      <c r="S1438" s="75"/>
    </row>
    <row r="1439" spans="18:19" x14ac:dyDescent="0.25">
      <c r="R1439" s="75"/>
      <c r="S1439" s="75"/>
    </row>
    <row r="1440" spans="18:19" x14ac:dyDescent="0.25">
      <c r="R1440" s="75"/>
      <c r="S1440" s="75"/>
    </row>
    <row r="1441" spans="18:19" x14ac:dyDescent="0.25">
      <c r="R1441" s="75"/>
      <c r="S1441" s="75"/>
    </row>
    <row r="1442" spans="18:19" x14ac:dyDescent="0.25">
      <c r="R1442" s="75"/>
      <c r="S1442" s="75"/>
    </row>
    <row r="1443" spans="18:19" x14ac:dyDescent="0.25">
      <c r="R1443" s="75"/>
      <c r="S1443" s="75"/>
    </row>
    <row r="1444" spans="18:19" x14ac:dyDescent="0.25">
      <c r="R1444" s="75"/>
      <c r="S1444" s="75"/>
    </row>
    <row r="1445" spans="18:19" x14ac:dyDescent="0.25">
      <c r="R1445" s="75"/>
      <c r="S1445" s="75"/>
    </row>
    <row r="1446" spans="18:19" x14ac:dyDescent="0.25">
      <c r="R1446" s="75"/>
      <c r="S1446" s="75"/>
    </row>
    <row r="1447" spans="18:19" x14ac:dyDescent="0.25">
      <c r="R1447" s="75"/>
      <c r="S1447" s="75"/>
    </row>
    <row r="1448" spans="18:19" x14ac:dyDescent="0.25">
      <c r="R1448" s="75"/>
      <c r="S1448" s="75"/>
    </row>
    <row r="1449" spans="18:19" x14ac:dyDescent="0.25">
      <c r="R1449" s="75"/>
      <c r="S1449" s="75"/>
    </row>
    <row r="1450" spans="18:19" x14ac:dyDescent="0.25">
      <c r="R1450" s="75"/>
      <c r="S1450" s="75"/>
    </row>
    <row r="1451" spans="18:19" x14ac:dyDescent="0.25">
      <c r="R1451" s="75"/>
      <c r="S1451" s="75"/>
    </row>
    <row r="1452" spans="18:19" x14ac:dyDescent="0.25">
      <c r="R1452" s="75"/>
      <c r="S1452" s="75"/>
    </row>
    <row r="1453" spans="18:19" x14ac:dyDescent="0.25">
      <c r="R1453" s="75"/>
      <c r="S1453" s="75"/>
    </row>
    <row r="1454" spans="18:19" x14ac:dyDescent="0.25">
      <c r="R1454" s="75"/>
      <c r="S1454" s="75"/>
    </row>
    <row r="1455" spans="18:19" x14ac:dyDescent="0.25">
      <c r="R1455" s="75"/>
      <c r="S1455" s="75"/>
    </row>
    <row r="1456" spans="18:19" x14ac:dyDescent="0.25">
      <c r="R1456" s="75"/>
      <c r="S1456" s="75"/>
    </row>
    <row r="1457" spans="18:19" x14ac:dyDescent="0.25">
      <c r="R1457" s="75"/>
      <c r="S1457" s="75"/>
    </row>
    <row r="1458" spans="18:19" x14ac:dyDescent="0.25">
      <c r="R1458" s="75"/>
      <c r="S1458" s="75"/>
    </row>
    <row r="1459" spans="18:19" x14ac:dyDescent="0.25">
      <c r="R1459" s="75"/>
      <c r="S1459" s="75"/>
    </row>
    <row r="1460" spans="18:19" x14ac:dyDescent="0.25">
      <c r="R1460" s="75"/>
      <c r="S1460" s="75"/>
    </row>
    <row r="1461" spans="18:19" x14ac:dyDescent="0.25">
      <c r="R1461" s="75"/>
      <c r="S1461" s="75"/>
    </row>
    <row r="1462" spans="18:19" x14ac:dyDescent="0.25">
      <c r="R1462" s="75"/>
      <c r="S1462" s="75"/>
    </row>
    <row r="1463" spans="18:19" x14ac:dyDescent="0.25">
      <c r="R1463" s="75"/>
      <c r="S1463" s="75"/>
    </row>
    <row r="1464" spans="18:19" x14ac:dyDescent="0.25">
      <c r="R1464" s="75"/>
      <c r="S1464" s="75"/>
    </row>
    <row r="1465" spans="18:19" x14ac:dyDescent="0.25">
      <c r="R1465" s="75"/>
      <c r="S1465" s="75"/>
    </row>
    <row r="1466" spans="18:19" x14ac:dyDescent="0.25">
      <c r="R1466" s="75"/>
      <c r="S1466" s="75"/>
    </row>
    <row r="1467" spans="18:19" x14ac:dyDescent="0.25">
      <c r="R1467" s="75"/>
      <c r="S1467" s="75"/>
    </row>
    <row r="1468" spans="18:19" x14ac:dyDescent="0.25">
      <c r="R1468" s="75"/>
      <c r="S1468" s="75"/>
    </row>
    <row r="1469" spans="18:19" x14ac:dyDescent="0.25">
      <c r="R1469" s="75"/>
      <c r="S1469" s="75"/>
    </row>
    <row r="1470" spans="18:19" x14ac:dyDescent="0.25">
      <c r="R1470" s="75"/>
      <c r="S1470" s="75"/>
    </row>
    <row r="1471" spans="18:19" x14ac:dyDescent="0.25">
      <c r="R1471" s="75"/>
      <c r="S1471" s="75"/>
    </row>
    <row r="1472" spans="18:19" x14ac:dyDescent="0.25">
      <c r="R1472" s="75"/>
      <c r="S1472" s="75"/>
    </row>
    <row r="1473" spans="18:19" x14ac:dyDescent="0.25">
      <c r="R1473" s="75"/>
      <c r="S1473" s="75"/>
    </row>
    <row r="1474" spans="18:19" x14ac:dyDescent="0.25">
      <c r="R1474" s="75"/>
      <c r="S1474" s="75"/>
    </row>
    <row r="1475" spans="18:19" x14ac:dyDescent="0.25">
      <c r="R1475" s="75"/>
      <c r="S1475" s="75"/>
    </row>
    <row r="1476" spans="18:19" x14ac:dyDescent="0.25">
      <c r="R1476" s="75"/>
      <c r="S1476" s="75"/>
    </row>
    <row r="1477" spans="18:19" x14ac:dyDescent="0.25">
      <c r="R1477" s="75"/>
      <c r="S1477" s="75"/>
    </row>
    <row r="1478" spans="18:19" x14ac:dyDescent="0.25">
      <c r="R1478" s="75"/>
      <c r="S1478" s="75"/>
    </row>
    <row r="1479" spans="18:19" x14ac:dyDescent="0.25">
      <c r="R1479" s="75"/>
      <c r="S1479" s="75"/>
    </row>
    <row r="1480" spans="18:19" x14ac:dyDescent="0.25">
      <c r="R1480" s="75"/>
      <c r="S1480" s="75"/>
    </row>
    <row r="1481" spans="18:19" x14ac:dyDescent="0.25">
      <c r="R1481" s="75"/>
      <c r="S1481" s="75"/>
    </row>
    <row r="1482" spans="18:19" x14ac:dyDescent="0.25">
      <c r="R1482" s="75"/>
      <c r="S1482" s="75"/>
    </row>
    <row r="1483" spans="18:19" x14ac:dyDescent="0.25">
      <c r="R1483" s="75"/>
      <c r="S1483" s="75"/>
    </row>
    <row r="1484" spans="18:19" x14ac:dyDescent="0.25">
      <c r="R1484" s="75"/>
      <c r="S1484" s="75"/>
    </row>
    <row r="1485" spans="18:19" x14ac:dyDescent="0.25">
      <c r="R1485" s="75"/>
      <c r="S1485" s="75"/>
    </row>
    <row r="1486" spans="18:19" x14ac:dyDescent="0.25">
      <c r="R1486" s="75"/>
      <c r="S1486" s="75"/>
    </row>
    <row r="1487" spans="18:19" x14ac:dyDescent="0.25">
      <c r="R1487" s="75"/>
      <c r="S1487" s="75"/>
    </row>
    <row r="1488" spans="18:19" x14ac:dyDescent="0.25">
      <c r="R1488" s="75"/>
      <c r="S1488" s="75"/>
    </row>
    <row r="1489" spans="18:19" x14ac:dyDescent="0.25">
      <c r="R1489" s="75"/>
      <c r="S1489" s="75"/>
    </row>
    <row r="1490" spans="18:19" x14ac:dyDescent="0.25">
      <c r="R1490" s="75"/>
      <c r="S1490" s="75"/>
    </row>
    <row r="1491" spans="18:19" x14ac:dyDescent="0.25">
      <c r="R1491" s="75"/>
      <c r="S1491" s="75"/>
    </row>
    <row r="1492" spans="18:19" x14ac:dyDescent="0.25">
      <c r="R1492" s="75"/>
      <c r="S1492" s="75"/>
    </row>
    <row r="1493" spans="18:19" x14ac:dyDescent="0.25">
      <c r="R1493" s="75"/>
      <c r="S1493" s="75"/>
    </row>
    <row r="1494" spans="18:19" x14ac:dyDescent="0.25">
      <c r="R1494" s="75"/>
      <c r="S1494" s="75"/>
    </row>
    <row r="1495" spans="18:19" x14ac:dyDescent="0.25">
      <c r="R1495" s="75"/>
      <c r="S1495" s="75"/>
    </row>
    <row r="1496" spans="18:19" x14ac:dyDescent="0.25">
      <c r="R1496" s="75"/>
      <c r="S1496" s="75"/>
    </row>
    <row r="1497" spans="18:19" x14ac:dyDescent="0.25">
      <c r="R1497" s="75"/>
      <c r="S1497" s="75"/>
    </row>
    <row r="1498" spans="18:19" x14ac:dyDescent="0.25">
      <c r="R1498" s="75"/>
      <c r="S1498" s="75"/>
    </row>
    <row r="1499" spans="18:19" x14ac:dyDescent="0.25">
      <c r="R1499" s="75"/>
      <c r="S1499" s="75"/>
    </row>
    <row r="1500" spans="18:19" x14ac:dyDescent="0.25">
      <c r="R1500" s="75"/>
      <c r="S1500" s="75"/>
    </row>
    <row r="1501" spans="18:19" x14ac:dyDescent="0.25">
      <c r="R1501" s="75"/>
      <c r="S1501" s="75"/>
    </row>
    <row r="1502" spans="18:19" x14ac:dyDescent="0.25">
      <c r="R1502" s="75"/>
      <c r="S1502" s="75"/>
    </row>
    <row r="1503" spans="18:19" x14ac:dyDescent="0.25">
      <c r="R1503" s="75"/>
      <c r="S1503" s="75"/>
    </row>
    <row r="1504" spans="18:19" x14ac:dyDescent="0.25">
      <c r="R1504" s="75"/>
      <c r="S1504" s="75"/>
    </row>
    <row r="1505" spans="18:19" x14ac:dyDescent="0.25">
      <c r="R1505" s="75"/>
      <c r="S1505" s="75"/>
    </row>
    <row r="1506" spans="18:19" x14ac:dyDescent="0.25">
      <c r="R1506" s="75"/>
      <c r="S1506" s="75"/>
    </row>
    <row r="1507" spans="18:19" x14ac:dyDescent="0.25">
      <c r="R1507" s="75"/>
      <c r="S1507" s="75"/>
    </row>
    <row r="1508" spans="18:19" x14ac:dyDescent="0.25">
      <c r="R1508" s="75"/>
      <c r="S1508" s="75"/>
    </row>
    <row r="1509" spans="18:19" x14ac:dyDescent="0.25">
      <c r="R1509" s="75"/>
      <c r="S1509" s="75"/>
    </row>
    <row r="1510" spans="18:19" x14ac:dyDescent="0.25">
      <c r="R1510" s="75"/>
      <c r="S1510" s="75"/>
    </row>
    <row r="1511" spans="18:19" x14ac:dyDescent="0.25">
      <c r="R1511" s="75"/>
      <c r="S1511" s="75"/>
    </row>
    <row r="1512" spans="18:19" x14ac:dyDescent="0.25">
      <c r="R1512" s="75"/>
      <c r="S1512" s="75"/>
    </row>
    <row r="1513" spans="18:19" x14ac:dyDescent="0.25">
      <c r="R1513" s="75"/>
      <c r="S1513" s="75"/>
    </row>
    <row r="1514" spans="18:19" x14ac:dyDescent="0.25">
      <c r="R1514" s="75"/>
      <c r="S1514" s="75"/>
    </row>
    <row r="1515" spans="18:19" x14ac:dyDescent="0.25">
      <c r="R1515" s="75"/>
      <c r="S1515" s="75"/>
    </row>
    <row r="1516" spans="18:19" x14ac:dyDescent="0.25">
      <c r="R1516" s="75"/>
      <c r="S1516" s="75"/>
    </row>
    <row r="1517" spans="18:19" x14ac:dyDescent="0.25">
      <c r="R1517" s="75"/>
      <c r="S1517" s="75"/>
    </row>
    <row r="1518" spans="18:19" x14ac:dyDescent="0.25">
      <c r="R1518" s="75"/>
      <c r="S1518" s="75"/>
    </row>
    <row r="1519" spans="18:19" x14ac:dyDescent="0.25">
      <c r="R1519" s="75"/>
      <c r="S1519" s="75"/>
    </row>
    <row r="1520" spans="18:19" x14ac:dyDescent="0.25">
      <c r="R1520" s="75"/>
      <c r="S1520" s="75"/>
    </row>
    <row r="1521" spans="18:19" x14ac:dyDescent="0.25">
      <c r="R1521" s="75"/>
      <c r="S1521" s="75"/>
    </row>
    <row r="1522" spans="18:19" x14ac:dyDescent="0.25">
      <c r="R1522" s="75"/>
      <c r="S1522" s="75"/>
    </row>
    <row r="1523" spans="18:19" x14ac:dyDescent="0.25">
      <c r="R1523" s="75"/>
      <c r="S1523" s="75"/>
    </row>
    <row r="1524" spans="18:19" x14ac:dyDescent="0.25">
      <c r="R1524" s="75"/>
      <c r="S1524" s="75"/>
    </row>
    <row r="1525" spans="18:19" x14ac:dyDescent="0.25">
      <c r="R1525" s="75"/>
      <c r="S1525" s="75"/>
    </row>
    <row r="1526" spans="18:19" x14ac:dyDescent="0.25">
      <c r="R1526" s="75"/>
      <c r="S1526" s="75"/>
    </row>
    <row r="1527" spans="18:19" x14ac:dyDescent="0.25">
      <c r="R1527" s="75"/>
      <c r="S1527" s="75"/>
    </row>
    <row r="1528" spans="18:19" x14ac:dyDescent="0.25">
      <c r="R1528" s="75"/>
      <c r="S1528" s="75"/>
    </row>
    <row r="1529" spans="18:19" x14ac:dyDescent="0.25">
      <c r="R1529" s="75"/>
      <c r="S1529" s="75"/>
    </row>
    <row r="1530" spans="18:19" x14ac:dyDescent="0.25">
      <c r="R1530" s="75"/>
      <c r="S1530" s="75"/>
    </row>
    <row r="1531" spans="18:19" x14ac:dyDescent="0.25">
      <c r="R1531" s="75"/>
      <c r="S1531" s="75"/>
    </row>
    <row r="1532" spans="18:19" x14ac:dyDescent="0.25">
      <c r="R1532" s="75"/>
      <c r="S1532" s="75"/>
    </row>
    <row r="1533" spans="18:19" x14ac:dyDescent="0.25">
      <c r="R1533" s="75"/>
      <c r="S1533" s="75"/>
    </row>
    <row r="1534" spans="18:19" x14ac:dyDescent="0.25">
      <c r="R1534" s="75"/>
      <c r="S1534" s="75"/>
    </row>
    <row r="1535" spans="18:19" x14ac:dyDescent="0.25">
      <c r="R1535" s="75"/>
      <c r="S1535" s="75"/>
    </row>
    <row r="1536" spans="18:19" x14ac:dyDescent="0.25">
      <c r="R1536" s="75"/>
      <c r="S1536" s="75"/>
    </row>
    <row r="1537" spans="18:19" x14ac:dyDescent="0.25">
      <c r="R1537" s="75"/>
      <c r="S1537" s="75"/>
    </row>
    <row r="1538" spans="18:19" x14ac:dyDescent="0.25">
      <c r="R1538" s="75"/>
      <c r="S1538" s="75"/>
    </row>
    <row r="1539" spans="18:19" x14ac:dyDescent="0.25">
      <c r="R1539" s="75"/>
      <c r="S1539" s="75"/>
    </row>
    <row r="1540" spans="18:19" x14ac:dyDescent="0.25">
      <c r="R1540" s="75"/>
      <c r="S1540" s="75"/>
    </row>
    <row r="1541" spans="18:19" x14ac:dyDescent="0.25">
      <c r="R1541" s="75"/>
      <c r="S1541" s="75"/>
    </row>
    <row r="1542" spans="18:19" x14ac:dyDescent="0.25">
      <c r="R1542" s="75"/>
      <c r="S1542" s="75"/>
    </row>
    <row r="1543" spans="18:19" x14ac:dyDescent="0.25">
      <c r="R1543" s="75"/>
      <c r="S1543" s="75"/>
    </row>
    <row r="1544" spans="18:19" x14ac:dyDescent="0.25">
      <c r="R1544" s="75"/>
      <c r="S1544" s="75"/>
    </row>
    <row r="1545" spans="18:19" x14ac:dyDescent="0.25">
      <c r="R1545" s="75"/>
      <c r="S1545" s="75"/>
    </row>
    <row r="1546" spans="18:19" x14ac:dyDescent="0.25">
      <c r="R1546" s="75"/>
      <c r="S1546" s="75"/>
    </row>
    <row r="1547" spans="18:19" x14ac:dyDescent="0.25">
      <c r="R1547" s="75"/>
      <c r="S1547" s="75"/>
    </row>
    <row r="1548" spans="18:19" x14ac:dyDescent="0.25">
      <c r="R1548" s="75"/>
      <c r="S1548" s="75"/>
    </row>
    <row r="1549" spans="18:19" x14ac:dyDescent="0.25">
      <c r="R1549" s="75"/>
      <c r="S1549" s="75"/>
    </row>
    <row r="1550" spans="18:19" x14ac:dyDescent="0.25">
      <c r="R1550" s="75"/>
      <c r="S1550" s="75"/>
    </row>
    <row r="1551" spans="18:19" x14ac:dyDescent="0.25">
      <c r="R1551" s="75"/>
      <c r="S1551" s="75"/>
    </row>
    <row r="1552" spans="18:19" x14ac:dyDescent="0.25">
      <c r="R1552" s="75"/>
      <c r="S1552" s="75"/>
    </row>
    <row r="1553" spans="18:19" x14ac:dyDescent="0.25">
      <c r="R1553" s="75"/>
      <c r="S1553" s="75"/>
    </row>
    <row r="1554" spans="18:19" x14ac:dyDescent="0.25">
      <c r="R1554" s="75"/>
      <c r="S1554" s="75"/>
    </row>
    <row r="1555" spans="18:19" x14ac:dyDescent="0.25">
      <c r="R1555" s="75"/>
      <c r="S1555" s="75"/>
    </row>
    <row r="1556" spans="18:19" x14ac:dyDescent="0.25">
      <c r="R1556" s="75"/>
      <c r="S1556" s="75"/>
    </row>
    <row r="1557" spans="18:19" x14ac:dyDescent="0.25">
      <c r="R1557" s="75"/>
      <c r="S1557" s="75"/>
    </row>
    <row r="1558" spans="18:19" x14ac:dyDescent="0.25">
      <c r="R1558" s="75"/>
      <c r="S1558" s="75"/>
    </row>
    <row r="1559" spans="18:19" x14ac:dyDescent="0.25">
      <c r="R1559" s="75"/>
      <c r="S1559" s="75"/>
    </row>
    <row r="1560" spans="18:19" x14ac:dyDescent="0.25">
      <c r="R1560" s="75"/>
      <c r="S1560" s="75"/>
    </row>
    <row r="1561" spans="18:19" x14ac:dyDescent="0.25">
      <c r="R1561" s="75"/>
      <c r="S1561" s="75"/>
    </row>
    <row r="1562" spans="18:19" x14ac:dyDescent="0.25">
      <c r="R1562" s="75"/>
      <c r="S1562" s="75"/>
    </row>
    <row r="1563" spans="18:19" x14ac:dyDescent="0.25">
      <c r="R1563" s="75"/>
      <c r="S1563" s="75"/>
    </row>
    <row r="1564" spans="18:19" x14ac:dyDescent="0.25">
      <c r="R1564" s="75"/>
      <c r="S1564" s="75"/>
    </row>
    <row r="1565" spans="18:19" x14ac:dyDescent="0.25">
      <c r="R1565" s="75"/>
      <c r="S1565" s="75"/>
    </row>
    <row r="1566" spans="18:19" x14ac:dyDescent="0.25">
      <c r="R1566" s="75"/>
      <c r="S1566" s="75"/>
    </row>
    <row r="1567" spans="18:19" x14ac:dyDescent="0.25">
      <c r="R1567" s="75"/>
      <c r="S1567" s="75"/>
    </row>
    <row r="1568" spans="18:19" x14ac:dyDescent="0.25">
      <c r="R1568" s="75"/>
      <c r="S1568" s="75"/>
    </row>
    <row r="1569" spans="18:19" x14ac:dyDescent="0.25">
      <c r="R1569" s="75"/>
      <c r="S1569" s="75"/>
    </row>
    <row r="1570" spans="18:19" x14ac:dyDescent="0.25">
      <c r="R1570" s="75"/>
      <c r="S1570" s="75"/>
    </row>
    <row r="1571" spans="18:19" x14ac:dyDescent="0.25">
      <c r="R1571" s="75"/>
      <c r="S1571" s="75"/>
    </row>
    <row r="1572" spans="18:19" x14ac:dyDescent="0.25">
      <c r="R1572" s="75"/>
      <c r="S1572" s="75"/>
    </row>
    <row r="1573" spans="18:19" x14ac:dyDescent="0.25">
      <c r="R1573" s="75"/>
      <c r="S1573" s="75"/>
    </row>
    <row r="1574" spans="18:19" x14ac:dyDescent="0.25">
      <c r="R1574" s="75"/>
      <c r="S1574" s="75"/>
    </row>
    <row r="1575" spans="18:19" x14ac:dyDescent="0.25">
      <c r="R1575" s="75"/>
      <c r="S1575" s="75"/>
    </row>
    <row r="1576" spans="18:19" x14ac:dyDescent="0.25">
      <c r="R1576" s="75"/>
      <c r="S1576" s="75"/>
    </row>
    <row r="1577" spans="18:19" x14ac:dyDescent="0.25">
      <c r="R1577" s="75"/>
      <c r="S1577" s="75"/>
    </row>
    <row r="1578" spans="18:19" x14ac:dyDescent="0.25">
      <c r="R1578" s="75"/>
      <c r="S1578" s="75"/>
    </row>
    <row r="1579" spans="18:19" x14ac:dyDescent="0.25">
      <c r="R1579" s="75"/>
      <c r="S1579" s="75"/>
    </row>
    <row r="1580" spans="18:19" x14ac:dyDescent="0.25">
      <c r="R1580" s="75"/>
      <c r="S1580" s="75"/>
    </row>
    <row r="1581" spans="18:19" x14ac:dyDescent="0.25">
      <c r="R1581" s="75"/>
      <c r="S1581" s="75"/>
    </row>
    <row r="1582" spans="18:19" x14ac:dyDescent="0.25">
      <c r="R1582" s="75"/>
      <c r="S1582" s="75"/>
    </row>
    <row r="1583" spans="18:19" x14ac:dyDescent="0.25">
      <c r="R1583" s="75"/>
      <c r="S1583" s="75"/>
    </row>
    <row r="1584" spans="18:19" x14ac:dyDescent="0.25">
      <c r="R1584" s="75"/>
      <c r="S1584" s="75"/>
    </row>
    <row r="1585" spans="18:19" x14ac:dyDescent="0.25">
      <c r="R1585" s="75"/>
      <c r="S1585" s="75"/>
    </row>
    <row r="1586" spans="18:19" x14ac:dyDescent="0.25">
      <c r="R1586" s="75"/>
      <c r="S1586" s="75"/>
    </row>
    <row r="1587" spans="18:19" x14ac:dyDescent="0.25">
      <c r="R1587" s="75"/>
      <c r="S1587" s="75"/>
    </row>
    <row r="1588" spans="18:19" x14ac:dyDescent="0.25">
      <c r="R1588" s="75"/>
      <c r="S1588" s="75"/>
    </row>
    <row r="1589" spans="18:19" x14ac:dyDescent="0.25">
      <c r="R1589" s="75"/>
      <c r="S1589" s="75"/>
    </row>
    <row r="1590" spans="18:19" x14ac:dyDescent="0.25">
      <c r="R1590" s="75"/>
      <c r="S1590" s="75"/>
    </row>
    <row r="1591" spans="18:19" x14ac:dyDescent="0.25">
      <c r="R1591" s="75"/>
      <c r="S1591" s="75"/>
    </row>
    <row r="1592" spans="18:19" x14ac:dyDescent="0.25">
      <c r="R1592" s="75"/>
      <c r="S1592" s="75"/>
    </row>
    <row r="1593" spans="18:19" x14ac:dyDescent="0.25">
      <c r="R1593" s="75"/>
      <c r="S1593" s="75"/>
    </row>
    <row r="1594" spans="18:19" x14ac:dyDescent="0.25">
      <c r="R1594" s="75"/>
      <c r="S1594" s="75"/>
    </row>
    <row r="1595" spans="18:19" x14ac:dyDescent="0.25">
      <c r="R1595" s="75"/>
      <c r="S1595" s="75"/>
    </row>
    <row r="1596" spans="18:19" x14ac:dyDescent="0.25">
      <c r="R1596" s="75"/>
      <c r="S1596" s="75"/>
    </row>
    <row r="1597" spans="18:19" x14ac:dyDescent="0.25">
      <c r="R1597" s="75"/>
      <c r="S1597" s="75"/>
    </row>
    <row r="1598" spans="18:19" x14ac:dyDescent="0.25">
      <c r="R1598" s="75"/>
      <c r="S1598" s="75"/>
    </row>
    <row r="1599" spans="18:19" x14ac:dyDescent="0.25">
      <c r="R1599" s="75"/>
      <c r="S1599" s="75"/>
    </row>
    <row r="1600" spans="18:19" x14ac:dyDescent="0.25">
      <c r="R1600" s="75"/>
      <c r="S1600" s="75"/>
    </row>
    <row r="1601" spans="18:19" x14ac:dyDescent="0.25">
      <c r="R1601" s="75"/>
      <c r="S1601" s="75"/>
    </row>
    <row r="1602" spans="18:19" x14ac:dyDescent="0.25">
      <c r="R1602" s="75"/>
      <c r="S1602" s="75"/>
    </row>
    <row r="1603" spans="18:19" x14ac:dyDescent="0.25">
      <c r="R1603" s="75"/>
      <c r="S1603" s="75"/>
    </row>
    <row r="1604" spans="18:19" x14ac:dyDescent="0.25">
      <c r="R1604" s="75"/>
      <c r="S1604" s="75"/>
    </row>
    <row r="1605" spans="18:19" x14ac:dyDescent="0.25">
      <c r="R1605" s="75"/>
      <c r="S1605" s="75"/>
    </row>
    <row r="1606" spans="18:19" x14ac:dyDescent="0.25">
      <c r="R1606" s="75"/>
      <c r="S1606" s="75"/>
    </row>
    <row r="1607" spans="18:19" x14ac:dyDescent="0.25">
      <c r="R1607" s="75"/>
      <c r="S1607" s="75"/>
    </row>
    <row r="1608" spans="18:19" x14ac:dyDescent="0.25">
      <c r="R1608" s="75"/>
      <c r="S1608" s="75"/>
    </row>
    <row r="1609" spans="18:19" x14ac:dyDescent="0.25">
      <c r="R1609" s="75"/>
      <c r="S1609" s="75"/>
    </row>
    <row r="1610" spans="18:19" x14ac:dyDescent="0.25">
      <c r="R1610" s="75"/>
      <c r="S1610" s="75"/>
    </row>
    <row r="1611" spans="18:19" x14ac:dyDescent="0.25">
      <c r="R1611" s="75"/>
      <c r="S1611" s="75"/>
    </row>
    <row r="1612" spans="18:19" x14ac:dyDescent="0.25">
      <c r="R1612" s="75"/>
      <c r="S1612" s="75"/>
    </row>
    <row r="1613" spans="18:19" x14ac:dyDescent="0.25">
      <c r="R1613" s="75"/>
      <c r="S1613" s="75"/>
    </row>
    <row r="1614" spans="18:19" x14ac:dyDescent="0.25">
      <c r="R1614" s="75"/>
      <c r="S1614" s="75"/>
    </row>
    <row r="1615" spans="18:19" x14ac:dyDescent="0.25">
      <c r="R1615" s="75"/>
      <c r="S1615" s="75"/>
    </row>
    <row r="1616" spans="18:19" x14ac:dyDescent="0.25">
      <c r="R1616" s="75"/>
      <c r="S1616" s="75"/>
    </row>
    <row r="1617" spans="18:19" x14ac:dyDescent="0.25">
      <c r="R1617" s="75"/>
      <c r="S1617" s="75"/>
    </row>
    <row r="1618" spans="18:19" x14ac:dyDescent="0.25">
      <c r="R1618" s="75"/>
      <c r="S1618" s="75"/>
    </row>
    <row r="1619" spans="18:19" x14ac:dyDescent="0.25">
      <c r="R1619" s="75"/>
      <c r="S1619" s="75"/>
    </row>
    <row r="1620" spans="18:19" x14ac:dyDescent="0.25">
      <c r="R1620" s="75"/>
      <c r="S1620" s="75"/>
    </row>
    <row r="1621" spans="18:19" x14ac:dyDescent="0.25">
      <c r="R1621" s="75"/>
      <c r="S1621" s="75"/>
    </row>
    <row r="1622" spans="18:19" x14ac:dyDescent="0.25">
      <c r="R1622" s="75"/>
      <c r="S1622" s="75"/>
    </row>
    <row r="1623" spans="18:19" x14ac:dyDescent="0.25">
      <c r="R1623" s="75"/>
      <c r="S1623" s="75"/>
    </row>
    <row r="1624" spans="18:19" x14ac:dyDescent="0.25">
      <c r="R1624" s="75"/>
      <c r="S1624" s="75"/>
    </row>
    <row r="1625" spans="18:19" x14ac:dyDescent="0.25">
      <c r="R1625" s="75"/>
      <c r="S1625" s="75"/>
    </row>
    <row r="1626" spans="18:19" x14ac:dyDescent="0.25">
      <c r="R1626" s="75"/>
      <c r="S1626" s="75"/>
    </row>
    <row r="1627" spans="18:19" x14ac:dyDescent="0.25">
      <c r="R1627" s="75"/>
      <c r="S1627" s="75"/>
    </row>
    <row r="1628" spans="18:19" x14ac:dyDescent="0.25">
      <c r="R1628" s="75"/>
      <c r="S1628" s="75"/>
    </row>
    <row r="1629" spans="18:19" x14ac:dyDescent="0.25">
      <c r="R1629" s="75"/>
      <c r="S1629" s="75"/>
    </row>
    <row r="1630" spans="18:19" x14ac:dyDescent="0.25">
      <c r="R1630" s="75"/>
      <c r="S1630" s="75"/>
    </row>
    <row r="1631" spans="18:19" x14ac:dyDescent="0.25">
      <c r="R1631" s="75"/>
      <c r="S1631" s="75"/>
    </row>
    <row r="1632" spans="18:19" x14ac:dyDescent="0.25">
      <c r="R1632" s="75"/>
      <c r="S1632" s="75"/>
    </row>
    <row r="1633" spans="18:19" x14ac:dyDescent="0.25">
      <c r="R1633" s="75"/>
      <c r="S1633" s="75"/>
    </row>
    <row r="1634" spans="18:19" x14ac:dyDescent="0.25">
      <c r="R1634" s="75"/>
      <c r="S1634" s="75"/>
    </row>
    <row r="1635" spans="18:19" x14ac:dyDescent="0.25">
      <c r="R1635" s="75"/>
      <c r="S1635" s="75"/>
    </row>
    <row r="1636" spans="18:19" x14ac:dyDescent="0.25">
      <c r="R1636" s="75"/>
      <c r="S1636" s="75"/>
    </row>
    <row r="1637" spans="18:19" x14ac:dyDescent="0.25">
      <c r="R1637" s="75"/>
      <c r="S1637" s="75"/>
    </row>
    <row r="1638" spans="18:19" x14ac:dyDescent="0.25">
      <c r="R1638" s="75"/>
      <c r="S1638" s="75"/>
    </row>
    <row r="1639" spans="18:19" x14ac:dyDescent="0.25">
      <c r="R1639" s="75"/>
      <c r="S1639" s="75"/>
    </row>
    <row r="1640" spans="18:19" x14ac:dyDescent="0.25">
      <c r="R1640" s="75"/>
      <c r="S1640" s="75"/>
    </row>
    <row r="1641" spans="18:19" x14ac:dyDescent="0.25">
      <c r="R1641" s="75"/>
      <c r="S1641" s="75"/>
    </row>
    <row r="1642" spans="18:19" x14ac:dyDescent="0.25">
      <c r="R1642" s="75"/>
      <c r="S1642" s="75"/>
    </row>
    <row r="1643" spans="18:19" x14ac:dyDescent="0.25">
      <c r="R1643" s="75"/>
      <c r="S1643" s="75"/>
    </row>
    <row r="1644" spans="18:19" x14ac:dyDescent="0.25">
      <c r="R1644" s="75"/>
      <c r="S1644" s="75"/>
    </row>
    <row r="1645" spans="18:19" x14ac:dyDescent="0.25">
      <c r="R1645" s="75"/>
      <c r="S1645" s="75"/>
    </row>
    <row r="1646" spans="18:19" x14ac:dyDescent="0.25">
      <c r="R1646" s="75"/>
      <c r="S1646" s="75"/>
    </row>
    <row r="1647" spans="18:19" x14ac:dyDescent="0.25">
      <c r="R1647" s="75"/>
      <c r="S1647" s="75"/>
    </row>
    <row r="1648" spans="18:19" x14ac:dyDescent="0.25">
      <c r="R1648" s="75"/>
      <c r="S1648" s="75"/>
    </row>
    <row r="1649" spans="18:19" x14ac:dyDescent="0.25">
      <c r="R1649" s="75"/>
      <c r="S1649" s="75"/>
    </row>
    <row r="1650" spans="18:19" x14ac:dyDescent="0.25">
      <c r="R1650" s="75"/>
      <c r="S1650" s="75"/>
    </row>
    <row r="1651" spans="18:19" x14ac:dyDescent="0.25">
      <c r="R1651" s="75"/>
      <c r="S1651" s="75"/>
    </row>
    <row r="1652" spans="18:19" x14ac:dyDescent="0.25">
      <c r="R1652" s="75"/>
      <c r="S1652" s="75"/>
    </row>
    <row r="1653" spans="18:19" x14ac:dyDescent="0.25">
      <c r="R1653" s="75"/>
      <c r="S1653" s="75"/>
    </row>
    <row r="1654" spans="18:19" x14ac:dyDescent="0.25">
      <c r="R1654" s="75"/>
      <c r="S1654" s="75"/>
    </row>
    <row r="1655" spans="18:19" x14ac:dyDescent="0.25">
      <c r="R1655" s="75"/>
      <c r="S1655" s="75"/>
    </row>
    <row r="1656" spans="18:19" x14ac:dyDescent="0.25">
      <c r="R1656" s="75"/>
      <c r="S1656" s="75"/>
    </row>
    <row r="1657" spans="18:19" x14ac:dyDescent="0.25">
      <c r="R1657" s="75"/>
      <c r="S1657" s="75"/>
    </row>
    <row r="1658" spans="18:19" x14ac:dyDescent="0.25">
      <c r="R1658" s="75"/>
      <c r="S1658" s="75"/>
    </row>
    <row r="1659" spans="18:19" x14ac:dyDescent="0.25">
      <c r="R1659" s="75"/>
      <c r="S1659" s="75"/>
    </row>
    <row r="1660" spans="18:19" x14ac:dyDescent="0.25">
      <c r="R1660" s="75"/>
      <c r="S1660" s="75"/>
    </row>
    <row r="1661" spans="18:19" x14ac:dyDescent="0.25">
      <c r="R1661" s="75"/>
      <c r="S1661" s="75"/>
    </row>
    <row r="1662" spans="18:19" x14ac:dyDescent="0.25">
      <c r="R1662" s="75"/>
      <c r="S1662" s="75"/>
    </row>
    <row r="1663" spans="18:19" x14ac:dyDescent="0.25">
      <c r="R1663" s="75"/>
      <c r="S1663" s="75"/>
    </row>
    <row r="1664" spans="18:19" x14ac:dyDescent="0.25">
      <c r="R1664" s="75"/>
      <c r="S1664" s="75"/>
    </row>
    <row r="1665" spans="18:19" x14ac:dyDescent="0.25">
      <c r="R1665" s="75"/>
      <c r="S1665" s="75"/>
    </row>
    <row r="1666" spans="18:19" x14ac:dyDescent="0.25">
      <c r="R1666" s="75"/>
      <c r="S1666" s="75"/>
    </row>
    <row r="1667" spans="18:19" x14ac:dyDescent="0.25">
      <c r="R1667" s="75"/>
      <c r="S1667" s="75"/>
    </row>
    <row r="1668" spans="18:19" x14ac:dyDescent="0.25">
      <c r="R1668" s="75"/>
      <c r="S1668" s="75"/>
    </row>
    <row r="1669" spans="18:19" x14ac:dyDescent="0.25">
      <c r="R1669" s="75"/>
      <c r="S1669" s="75"/>
    </row>
    <row r="1670" spans="18:19" x14ac:dyDescent="0.25">
      <c r="R1670" s="75"/>
      <c r="S1670" s="75"/>
    </row>
    <row r="1671" spans="18:19" x14ac:dyDescent="0.25">
      <c r="R1671" s="75"/>
      <c r="S1671" s="75"/>
    </row>
    <row r="1672" spans="18:19" x14ac:dyDescent="0.25">
      <c r="R1672" s="75"/>
      <c r="S1672" s="75"/>
    </row>
    <row r="1673" spans="18:19" x14ac:dyDescent="0.25">
      <c r="R1673" s="75"/>
      <c r="S1673" s="75"/>
    </row>
    <row r="1674" spans="18:19" x14ac:dyDescent="0.25">
      <c r="R1674" s="75"/>
      <c r="S1674" s="75"/>
    </row>
    <row r="1675" spans="18:19" x14ac:dyDescent="0.25">
      <c r="R1675" s="75"/>
      <c r="S1675" s="75"/>
    </row>
    <row r="1676" spans="18:19" x14ac:dyDescent="0.25">
      <c r="R1676" s="75"/>
      <c r="S1676" s="75"/>
    </row>
    <row r="1677" spans="18:19" x14ac:dyDescent="0.25">
      <c r="R1677" s="75"/>
      <c r="S1677" s="75"/>
    </row>
    <row r="1678" spans="18:19" x14ac:dyDescent="0.25">
      <c r="R1678" s="75"/>
      <c r="S1678" s="75"/>
    </row>
    <row r="1679" spans="18:19" x14ac:dyDescent="0.25">
      <c r="R1679" s="75"/>
      <c r="S1679" s="75"/>
    </row>
    <row r="1680" spans="18:19" x14ac:dyDescent="0.25">
      <c r="R1680" s="75"/>
      <c r="S1680" s="75"/>
    </row>
    <row r="1681" spans="18:19" x14ac:dyDescent="0.25">
      <c r="R1681" s="75"/>
      <c r="S1681" s="75"/>
    </row>
    <row r="1682" spans="18:19" x14ac:dyDescent="0.25">
      <c r="R1682" s="75"/>
      <c r="S1682" s="75"/>
    </row>
    <row r="1683" spans="18:19" x14ac:dyDescent="0.25">
      <c r="R1683" s="75"/>
      <c r="S1683" s="75"/>
    </row>
    <row r="1684" spans="18:19" x14ac:dyDescent="0.25">
      <c r="R1684" s="75"/>
      <c r="S1684" s="75"/>
    </row>
    <row r="1685" spans="18:19" x14ac:dyDescent="0.25">
      <c r="R1685" s="75"/>
      <c r="S1685" s="75"/>
    </row>
    <row r="1686" spans="18:19" x14ac:dyDescent="0.25">
      <c r="R1686" s="75"/>
      <c r="S1686" s="75"/>
    </row>
    <row r="1687" spans="18:19" x14ac:dyDescent="0.25">
      <c r="R1687" s="75"/>
      <c r="S1687" s="75"/>
    </row>
    <row r="1688" spans="18:19" x14ac:dyDescent="0.25">
      <c r="R1688" s="75"/>
      <c r="S1688" s="75"/>
    </row>
    <row r="1689" spans="18:19" x14ac:dyDescent="0.25">
      <c r="R1689" s="75"/>
      <c r="S1689" s="75"/>
    </row>
    <row r="1690" spans="18:19" x14ac:dyDescent="0.25">
      <c r="R1690" s="75"/>
      <c r="S1690" s="75"/>
    </row>
    <row r="1691" spans="18:19" x14ac:dyDescent="0.25">
      <c r="R1691" s="75"/>
      <c r="S1691" s="75"/>
    </row>
    <row r="1692" spans="18:19" x14ac:dyDescent="0.25">
      <c r="R1692" s="75"/>
      <c r="S1692" s="75"/>
    </row>
    <row r="1693" spans="18:19" x14ac:dyDescent="0.25">
      <c r="R1693" s="75"/>
      <c r="S1693" s="75"/>
    </row>
    <row r="1694" spans="18:19" x14ac:dyDescent="0.25">
      <c r="R1694" s="75"/>
      <c r="S1694" s="75"/>
    </row>
    <row r="1695" spans="18:19" x14ac:dyDescent="0.25">
      <c r="R1695" s="75"/>
      <c r="S1695" s="75"/>
    </row>
    <row r="1696" spans="18:19" x14ac:dyDescent="0.25">
      <c r="R1696" s="75"/>
      <c r="S1696" s="75"/>
    </row>
    <row r="1697" spans="18:19" x14ac:dyDescent="0.25">
      <c r="R1697" s="75"/>
      <c r="S1697" s="75"/>
    </row>
    <row r="1698" spans="18:19" x14ac:dyDescent="0.25">
      <c r="R1698" s="75"/>
      <c r="S1698" s="75"/>
    </row>
    <row r="1699" spans="18:19" x14ac:dyDescent="0.25">
      <c r="R1699" s="75"/>
      <c r="S1699" s="75"/>
    </row>
    <row r="1700" spans="18:19" x14ac:dyDescent="0.25">
      <c r="R1700" s="75"/>
      <c r="S1700" s="75"/>
    </row>
    <row r="1701" spans="18:19" x14ac:dyDescent="0.25">
      <c r="R1701" s="75"/>
      <c r="S1701" s="75"/>
    </row>
    <row r="1702" spans="18:19" x14ac:dyDescent="0.25">
      <c r="R1702" s="75"/>
      <c r="S1702" s="75"/>
    </row>
    <row r="1703" spans="18:19" x14ac:dyDescent="0.25">
      <c r="R1703" s="75"/>
      <c r="S1703" s="75"/>
    </row>
    <row r="1704" spans="18:19" x14ac:dyDescent="0.25">
      <c r="R1704" s="75"/>
      <c r="S1704" s="75"/>
    </row>
    <row r="1705" spans="18:19" x14ac:dyDescent="0.25">
      <c r="R1705" s="75"/>
      <c r="S1705" s="75"/>
    </row>
    <row r="1706" spans="18:19" x14ac:dyDescent="0.25">
      <c r="R1706" s="75"/>
      <c r="S1706" s="75"/>
    </row>
    <row r="1707" spans="18:19" x14ac:dyDescent="0.25">
      <c r="R1707" s="75"/>
      <c r="S1707" s="75"/>
    </row>
    <row r="1708" spans="18:19" x14ac:dyDescent="0.25">
      <c r="R1708" s="75"/>
      <c r="S1708" s="75"/>
    </row>
    <row r="1709" spans="18:19" x14ac:dyDescent="0.25">
      <c r="R1709" s="75"/>
      <c r="S1709" s="75"/>
    </row>
    <row r="1710" spans="18:19" x14ac:dyDescent="0.25">
      <c r="R1710" s="75"/>
      <c r="S1710" s="75"/>
    </row>
    <row r="1711" spans="18:19" x14ac:dyDescent="0.25">
      <c r="R1711" s="75"/>
      <c r="S1711" s="75"/>
    </row>
    <row r="1712" spans="18:19" x14ac:dyDescent="0.25">
      <c r="R1712" s="75"/>
      <c r="S1712" s="75"/>
    </row>
    <row r="1713" spans="18:19" x14ac:dyDescent="0.25">
      <c r="R1713" s="75"/>
      <c r="S1713" s="75"/>
    </row>
    <row r="1714" spans="18:19" x14ac:dyDescent="0.25">
      <c r="R1714" s="75"/>
      <c r="S1714" s="75"/>
    </row>
    <row r="1715" spans="18:19" x14ac:dyDescent="0.25">
      <c r="R1715" s="75"/>
      <c r="S1715" s="75"/>
    </row>
    <row r="1716" spans="18:19" x14ac:dyDescent="0.25">
      <c r="R1716" s="75"/>
      <c r="S1716" s="75"/>
    </row>
    <row r="1717" spans="18:19" x14ac:dyDescent="0.25">
      <c r="R1717" s="75"/>
      <c r="S1717" s="75"/>
    </row>
    <row r="1718" spans="18:19" x14ac:dyDescent="0.25">
      <c r="R1718" s="75"/>
      <c r="S1718" s="75"/>
    </row>
    <row r="1719" spans="18:19" x14ac:dyDescent="0.25">
      <c r="R1719" s="75"/>
      <c r="S1719" s="75"/>
    </row>
    <row r="1720" spans="18:19" x14ac:dyDescent="0.25">
      <c r="R1720" s="75"/>
      <c r="S1720" s="75"/>
    </row>
    <row r="1721" spans="18:19" x14ac:dyDescent="0.25">
      <c r="R1721" s="75"/>
      <c r="S1721" s="75"/>
    </row>
    <row r="1722" spans="18:19" x14ac:dyDescent="0.25">
      <c r="R1722" s="75"/>
      <c r="S1722" s="75"/>
    </row>
    <row r="1723" spans="18:19" x14ac:dyDescent="0.25">
      <c r="R1723" s="75"/>
      <c r="S1723" s="75"/>
    </row>
    <row r="1724" spans="18:19" x14ac:dyDescent="0.25">
      <c r="R1724" s="75"/>
      <c r="S1724" s="75"/>
    </row>
    <row r="1725" spans="18:19" x14ac:dyDescent="0.25">
      <c r="R1725" s="75"/>
      <c r="S1725" s="75"/>
    </row>
    <row r="1726" spans="18:19" x14ac:dyDescent="0.25">
      <c r="R1726" s="75"/>
      <c r="S1726" s="75"/>
    </row>
    <row r="1727" spans="18:19" x14ac:dyDescent="0.25">
      <c r="R1727" s="75"/>
      <c r="S1727" s="75"/>
    </row>
    <row r="1728" spans="18:19" x14ac:dyDescent="0.25">
      <c r="R1728" s="75"/>
      <c r="S1728" s="75"/>
    </row>
    <row r="1729" spans="18:19" x14ac:dyDescent="0.25">
      <c r="R1729" s="75"/>
      <c r="S1729" s="75"/>
    </row>
    <row r="1730" spans="18:19" x14ac:dyDescent="0.25">
      <c r="R1730" s="75"/>
      <c r="S1730" s="75"/>
    </row>
    <row r="1731" spans="18:19" x14ac:dyDescent="0.25">
      <c r="R1731" s="75"/>
      <c r="S1731" s="75"/>
    </row>
    <row r="1732" spans="18:19" x14ac:dyDescent="0.25">
      <c r="R1732" s="75"/>
      <c r="S1732" s="75"/>
    </row>
    <row r="1733" spans="18:19" x14ac:dyDescent="0.25">
      <c r="R1733" s="75"/>
      <c r="S1733" s="75"/>
    </row>
    <row r="1734" spans="18:19" x14ac:dyDescent="0.25">
      <c r="R1734" s="75"/>
      <c r="S1734" s="75"/>
    </row>
    <row r="1735" spans="18:19" x14ac:dyDescent="0.25">
      <c r="R1735" s="75"/>
      <c r="S1735" s="75"/>
    </row>
    <row r="1736" spans="18:19" x14ac:dyDescent="0.25">
      <c r="R1736" s="75"/>
      <c r="S1736" s="75"/>
    </row>
    <row r="1737" spans="18:19" x14ac:dyDescent="0.25">
      <c r="R1737" s="75"/>
      <c r="S1737" s="75"/>
    </row>
    <row r="1738" spans="18:19" x14ac:dyDescent="0.25">
      <c r="R1738" s="75"/>
      <c r="S1738" s="75"/>
    </row>
    <row r="1739" spans="18:19" x14ac:dyDescent="0.25">
      <c r="R1739" s="75"/>
      <c r="S1739" s="75"/>
    </row>
    <row r="1740" spans="18:19" x14ac:dyDescent="0.25">
      <c r="R1740" s="75"/>
      <c r="S1740" s="75"/>
    </row>
    <row r="1741" spans="18:19" x14ac:dyDescent="0.25">
      <c r="R1741" s="75"/>
      <c r="S1741" s="75"/>
    </row>
    <row r="1742" spans="18:19" x14ac:dyDescent="0.25">
      <c r="R1742" s="75"/>
      <c r="S1742" s="75"/>
    </row>
    <row r="1743" spans="18:19" x14ac:dyDescent="0.25">
      <c r="R1743" s="75"/>
      <c r="S1743" s="75"/>
    </row>
    <row r="1744" spans="18:19" x14ac:dyDescent="0.25">
      <c r="R1744" s="75"/>
      <c r="S1744" s="75"/>
    </row>
    <row r="1745" spans="18:19" x14ac:dyDescent="0.25">
      <c r="R1745" s="75"/>
      <c r="S1745" s="75"/>
    </row>
    <row r="1746" spans="18:19" x14ac:dyDescent="0.25">
      <c r="R1746" s="75"/>
      <c r="S1746" s="75"/>
    </row>
    <row r="1747" spans="18:19" x14ac:dyDescent="0.25">
      <c r="R1747" s="75"/>
      <c r="S1747" s="75"/>
    </row>
    <row r="1748" spans="18:19" x14ac:dyDescent="0.25">
      <c r="R1748" s="75"/>
      <c r="S1748" s="75"/>
    </row>
    <row r="1749" spans="18:19" x14ac:dyDescent="0.25">
      <c r="R1749" s="75"/>
      <c r="S1749" s="75"/>
    </row>
    <row r="1750" spans="18:19" x14ac:dyDescent="0.25">
      <c r="R1750" s="75"/>
      <c r="S1750" s="75"/>
    </row>
    <row r="1751" spans="18:19" x14ac:dyDescent="0.25">
      <c r="R1751" s="75"/>
      <c r="S1751" s="75"/>
    </row>
    <row r="1752" spans="18:19" x14ac:dyDescent="0.25">
      <c r="R1752" s="75"/>
      <c r="S1752" s="75"/>
    </row>
    <row r="1753" spans="18:19" x14ac:dyDescent="0.25">
      <c r="R1753" s="75"/>
      <c r="S1753" s="75"/>
    </row>
    <row r="1754" spans="18:19" x14ac:dyDescent="0.25">
      <c r="R1754" s="75"/>
      <c r="S1754" s="75"/>
    </row>
    <row r="1755" spans="18:19" x14ac:dyDescent="0.25">
      <c r="R1755" s="75"/>
      <c r="S1755" s="75"/>
    </row>
    <row r="1756" spans="18:19" x14ac:dyDescent="0.25">
      <c r="R1756" s="75"/>
      <c r="S1756" s="75"/>
    </row>
    <row r="1757" spans="18:19" x14ac:dyDescent="0.25">
      <c r="R1757" s="75"/>
      <c r="S1757" s="75"/>
    </row>
    <row r="1758" spans="18:19" x14ac:dyDescent="0.25">
      <c r="R1758" s="75"/>
      <c r="S1758" s="75"/>
    </row>
    <row r="1759" spans="18:19" x14ac:dyDescent="0.25">
      <c r="R1759" s="75"/>
      <c r="S1759" s="75"/>
    </row>
    <row r="1760" spans="18:19" x14ac:dyDescent="0.25">
      <c r="R1760" s="75"/>
      <c r="S1760" s="75"/>
    </row>
    <row r="1761" spans="18:19" x14ac:dyDescent="0.25">
      <c r="R1761" s="75"/>
      <c r="S1761" s="75"/>
    </row>
    <row r="1762" spans="18:19" x14ac:dyDescent="0.25">
      <c r="R1762" s="75"/>
      <c r="S1762" s="75"/>
    </row>
    <row r="1763" spans="18:19" x14ac:dyDescent="0.25">
      <c r="R1763" s="75"/>
      <c r="S1763" s="75"/>
    </row>
    <row r="1764" spans="18:19" x14ac:dyDescent="0.25">
      <c r="R1764" s="75"/>
      <c r="S1764" s="75"/>
    </row>
    <row r="1765" spans="18:19" x14ac:dyDescent="0.25">
      <c r="R1765" s="75"/>
      <c r="S1765" s="75"/>
    </row>
    <row r="1766" spans="18:19" x14ac:dyDescent="0.25">
      <c r="R1766" s="75"/>
      <c r="S1766" s="75"/>
    </row>
    <row r="1767" spans="18:19" x14ac:dyDescent="0.25">
      <c r="R1767" s="75"/>
      <c r="S1767" s="75"/>
    </row>
    <row r="1768" spans="18:19" x14ac:dyDescent="0.25">
      <c r="R1768" s="75"/>
      <c r="S1768" s="75"/>
    </row>
    <row r="1769" spans="18:19" x14ac:dyDescent="0.25">
      <c r="R1769" s="75"/>
      <c r="S1769" s="75"/>
    </row>
    <row r="1770" spans="18:19" x14ac:dyDescent="0.25">
      <c r="R1770" s="75"/>
      <c r="S1770" s="75"/>
    </row>
    <row r="1771" spans="18:19" x14ac:dyDescent="0.25">
      <c r="R1771" s="75"/>
      <c r="S1771" s="75"/>
    </row>
    <row r="1772" spans="18:19" x14ac:dyDescent="0.25">
      <c r="R1772" s="75"/>
      <c r="S1772" s="75"/>
    </row>
    <row r="1773" spans="18:19" x14ac:dyDescent="0.25">
      <c r="R1773" s="75"/>
      <c r="S1773" s="75"/>
    </row>
    <row r="1774" spans="18:19" x14ac:dyDescent="0.25">
      <c r="R1774" s="75"/>
      <c r="S1774" s="75"/>
    </row>
    <row r="1775" spans="18:19" x14ac:dyDescent="0.25">
      <c r="R1775" s="75"/>
      <c r="S1775" s="75"/>
    </row>
    <row r="1776" spans="18:19" x14ac:dyDescent="0.25">
      <c r="R1776" s="75"/>
      <c r="S1776" s="75"/>
    </row>
    <row r="1777" spans="18:19" x14ac:dyDescent="0.25">
      <c r="R1777" s="75"/>
      <c r="S1777" s="75"/>
    </row>
    <row r="1778" spans="18:19" x14ac:dyDescent="0.25">
      <c r="R1778" s="75"/>
      <c r="S1778" s="75"/>
    </row>
    <row r="1779" spans="18:19" x14ac:dyDescent="0.25">
      <c r="R1779" s="75"/>
      <c r="S1779" s="75"/>
    </row>
    <row r="1780" spans="18:19" x14ac:dyDescent="0.25">
      <c r="R1780" s="75"/>
      <c r="S1780" s="75"/>
    </row>
    <row r="1781" spans="18:19" x14ac:dyDescent="0.25">
      <c r="R1781" s="75"/>
      <c r="S1781" s="75"/>
    </row>
    <row r="1782" spans="18:19" x14ac:dyDescent="0.25">
      <c r="R1782" s="75"/>
      <c r="S1782" s="75"/>
    </row>
    <row r="1783" spans="18:19" x14ac:dyDescent="0.25">
      <c r="R1783" s="75"/>
      <c r="S1783" s="75"/>
    </row>
    <row r="1784" spans="18:19" x14ac:dyDescent="0.25">
      <c r="R1784" s="75"/>
      <c r="S1784" s="75"/>
    </row>
    <row r="1785" spans="18:19" x14ac:dyDescent="0.25">
      <c r="R1785" s="75"/>
      <c r="S1785" s="75"/>
    </row>
    <row r="1786" spans="18:19" x14ac:dyDescent="0.25">
      <c r="R1786" s="75"/>
      <c r="S1786" s="75"/>
    </row>
    <row r="1787" spans="18:19" x14ac:dyDescent="0.25">
      <c r="R1787" s="75"/>
      <c r="S1787" s="75"/>
    </row>
    <row r="1788" spans="18:19" x14ac:dyDescent="0.25">
      <c r="R1788" s="75"/>
      <c r="S1788" s="75"/>
    </row>
    <row r="1789" spans="18:19" x14ac:dyDescent="0.25">
      <c r="R1789" s="75"/>
      <c r="S1789" s="75"/>
    </row>
    <row r="1790" spans="18:19" x14ac:dyDescent="0.25">
      <c r="R1790" s="75"/>
      <c r="S1790" s="75"/>
    </row>
    <row r="1791" spans="18:19" x14ac:dyDescent="0.25">
      <c r="R1791" s="75"/>
      <c r="S1791" s="75"/>
    </row>
    <row r="1792" spans="18:19" x14ac:dyDescent="0.25">
      <c r="R1792" s="75"/>
      <c r="S1792" s="75"/>
    </row>
    <row r="1793" spans="18:19" x14ac:dyDescent="0.25">
      <c r="R1793" s="75"/>
      <c r="S1793" s="75"/>
    </row>
    <row r="1794" spans="18:19" x14ac:dyDescent="0.25">
      <c r="R1794" s="75"/>
      <c r="S1794" s="75"/>
    </row>
    <row r="1795" spans="18:19" x14ac:dyDescent="0.25">
      <c r="R1795" s="75"/>
      <c r="S1795" s="75"/>
    </row>
    <row r="1796" spans="18:19" x14ac:dyDescent="0.25">
      <c r="R1796" s="75"/>
      <c r="S1796" s="75"/>
    </row>
    <row r="1797" spans="18:19" x14ac:dyDescent="0.25">
      <c r="R1797" s="75"/>
      <c r="S1797" s="75"/>
    </row>
    <row r="1798" spans="18:19" x14ac:dyDescent="0.25">
      <c r="R1798" s="75"/>
      <c r="S1798" s="75"/>
    </row>
    <row r="1799" spans="18:19" x14ac:dyDescent="0.25">
      <c r="R1799" s="75"/>
      <c r="S1799" s="75"/>
    </row>
    <row r="1800" spans="18:19" x14ac:dyDescent="0.25">
      <c r="R1800" s="75"/>
      <c r="S1800" s="75"/>
    </row>
    <row r="1801" spans="18:19" x14ac:dyDescent="0.25">
      <c r="R1801" s="75"/>
      <c r="S1801" s="75"/>
    </row>
    <row r="1802" spans="18:19" x14ac:dyDescent="0.25">
      <c r="R1802" s="75"/>
      <c r="S1802" s="75"/>
    </row>
    <row r="1803" spans="18:19" x14ac:dyDescent="0.25">
      <c r="R1803" s="75"/>
      <c r="S1803" s="75"/>
    </row>
    <row r="1804" spans="18:19" x14ac:dyDescent="0.25">
      <c r="R1804" s="75"/>
      <c r="S1804" s="75"/>
    </row>
    <row r="1805" spans="18:19" x14ac:dyDescent="0.25">
      <c r="R1805" s="75"/>
      <c r="S1805" s="75"/>
    </row>
    <row r="1806" spans="18:19" x14ac:dyDescent="0.25">
      <c r="R1806" s="75"/>
      <c r="S1806" s="75"/>
    </row>
    <row r="1807" spans="18:19" x14ac:dyDescent="0.25">
      <c r="R1807" s="75"/>
      <c r="S1807" s="75"/>
    </row>
    <row r="1808" spans="18:19" x14ac:dyDescent="0.25">
      <c r="R1808" s="75"/>
      <c r="S1808" s="75"/>
    </row>
    <row r="1809" spans="18:19" x14ac:dyDescent="0.25">
      <c r="R1809" s="75"/>
      <c r="S1809" s="75"/>
    </row>
    <row r="1810" spans="18:19" x14ac:dyDescent="0.25">
      <c r="R1810" s="75"/>
      <c r="S1810" s="75"/>
    </row>
    <row r="1811" spans="18:19" x14ac:dyDescent="0.25">
      <c r="R1811" s="75"/>
      <c r="S1811" s="75"/>
    </row>
    <row r="1812" spans="18:19" x14ac:dyDescent="0.25">
      <c r="R1812" s="75"/>
      <c r="S1812" s="75"/>
    </row>
    <row r="1813" spans="18:19" x14ac:dyDescent="0.25">
      <c r="R1813" s="75"/>
      <c r="S1813" s="75"/>
    </row>
    <row r="1814" spans="18:19" x14ac:dyDescent="0.25">
      <c r="R1814" s="75"/>
      <c r="S1814" s="75"/>
    </row>
    <row r="1815" spans="18:19" x14ac:dyDescent="0.25">
      <c r="R1815" s="75"/>
      <c r="S1815" s="75"/>
    </row>
    <row r="1816" spans="18:19" x14ac:dyDescent="0.25">
      <c r="R1816" s="75"/>
      <c r="S1816" s="75"/>
    </row>
    <row r="1817" spans="18:19" x14ac:dyDescent="0.25">
      <c r="R1817" s="75"/>
      <c r="S1817" s="75"/>
    </row>
    <row r="1818" spans="18:19" x14ac:dyDescent="0.25">
      <c r="R1818" s="75"/>
      <c r="S1818" s="75"/>
    </row>
    <row r="1819" spans="18:19" x14ac:dyDescent="0.25">
      <c r="R1819" s="75"/>
      <c r="S1819" s="75"/>
    </row>
    <row r="1820" spans="18:19" x14ac:dyDescent="0.25">
      <c r="R1820" s="75"/>
      <c r="S1820" s="75"/>
    </row>
    <row r="1821" spans="18:19" x14ac:dyDescent="0.25">
      <c r="R1821" s="75"/>
      <c r="S1821" s="75"/>
    </row>
    <row r="1822" spans="18:19" x14ac:dyDescent="0.25">
      <c r="R1822" s="75"/>
      <c r="S1822" s="75"/>
    </row>
    <row r="1823" spans="18:19" x14ac:dyDescent="0.25">
      <c r="R1823" s="75"/>
      <c r="S1823" s="75"/>
    </row>
    <row r="1824" spans="18:19" x14ac:dyDescent="0.25">
      <c r="R1824" s="75"/>
      <c r="S1824" s="75"/>
    </row>
    <row r="1825" spans="18:19" x14ac:dyDescent="0.25">
      <c r="R1825" s="75"/>
      <c r="S1825" s="75"/>
    </row>
    <row r="1826" spans="18:19" x14ac:dyDescent="0.25">
      <c r="R1826" s="75"/>
      <c r="S1826" s="75"/>
    </row>
    <row r="1827" spans="18:19" x14ac:dyDescent="0.25">
      <c r="R1827" s="75"/>
      <c r="S1827" s="75"/>
    </row>
    <row r="1828" spans="18:19" x14ac:dyDescent="0.25">
      <c r="R1828" s="75"/>
      <c r="S1828" s="75"/>
    </row>
    <row r="1829" spans="18:19" x14ac:dyDescent="0.25">
      <c r="R1829" s="75"/>
      <c r="S1829" s="75"/>
    </row>
    <row r="1830" spans="18:19" x14ac:dyDescent="0.25">
      <c r="R1830" s="75"/>
      <c r="S1830" s="75"/>
    </row>
    <row r="1831" spans="18:19" x14ac:dyDescent="0.25">
      <c r="R1831" s="75"/>
      <c r="S1831" s="75"/>
    </row>
    <row r="1832" spans="18:19" x14ac:dyDescent="0.25">
      <c r="R1832" s="75"/>
      <c r="S1832" s="75"/>
    </row>
    <row r="1833" spans="18:19" x14ac:dyDescent="0.25">
      <c r="R1833" s="75"/>
      <c r="S1833" s="75"/>
    </row>
    <row r="1834" spans="18:19" x14ac:dyDescent="0.25">
      <c r="R1834" s="75"/>
      <c r="S1834" s="75"/>
    </row>
    <row r="1835" spans="18:19" x14ac:dyDescent="0.25">
      <c r="R1835" s="75"/>
      <c r="S1835" s="75"/>
    </row>
    <row r="1836" spans="18:19" x14ac:dyDescent="0.25">
      <c r="R1836" s="75"/>
      <c r="S1836" s="75"/>
    </row>
    <row r="1837" spans="18:19" x14ac:dyDescent="0.25">
      <c r="R1837" s="75"/>
      <c r="S1837" s="75"/>
    </row>
    <row r="1838" spans="18:19" x14ac:dyDescent="0.25">
      <c r="R1838" s="75"/>
      <c r="S1838" s="75"/>
    </row>
    <row r="1839" spans="18:19" x14ac:dyDescent="0.25">
      <c r="R1839" s="75"/>
      <c r="S1839" s="75"/>
    </row>
    <row r="1840" spans="18:19" x14ac:dyDescent="0.25">
      <c r="R1840" s="75"/>
      <c r="S1840" s="75"/>
    </row>
    <row r="1841" spans="18:19" x14ac:dyDescent="0.25">
      <c r="R1841" s="75"/>
      <c r="S1841" s="75"/>
    </row>
    <row r="1842" spans="18:19" x14ac:dyDescent="0.25">
      <c r="R1842" s="75"/>
      <c r="S1842" s="75"/>
    </row>
    <row r="1843" spans="18:19" x14ac:dyDescent="0.25">
      <c r="R1843" s="75"/>
      <c r="S1843" s="75"/>
    </row>
    <row r="1844" spans="18:19" x14ac:dyDescent="0.25">
      <c r="R1844" s="75"/>
      <c r="S1844" s="75"/>
    </row>
    <row r="1845" spans="18:19" x14ac:dyDescent="0.25">
      <c r="R1845" s="75"/>
      <c r="S1845" s="75"/>
    </row>
    <row r="1846" spans="18:19" x14ac:dyDescent="0.25">
      <c r="R1846" s="75"/>
      <c r="S1846" s="75"/>
    </row>
    <row r="1847" spans="18:19" x14ac:dyDescent="0.25">
      <c r="R1847" s="75"/>
      <c r="S1847" s="75"/>
    </row>
    <row r="1848" spans="18:19" x14ac:dyDescent="0.25">
      <c r="R1848" s="75"/>
      <c r="S1848" s="75"/>
    </row>
    <row r="1849" spans="18:19" x14ac:dyDescent="0.25">
      <c r="R1849" s="75"/>
      <c r="S1849" s="75"/>
    </row>
    <row r="1850" spans="18:19" x14ac:dyDescent="0.25">
      <c r="R1850" s="75"/>
      <c r="S1850" s="75"/>
    </row>
    <row r="1851" spans="18:19" x14ac:dyDescent="0.25">
      <c r="R1851" s="75"/>
      <c r="S1851" s="75"/>
    </row>
    <row r="1852" spans="18:19" x14ac:dyDescent="0.25">
      <c r="R1852" s="75"/>
      <c r="S1852" s="75"/>
    </row>
    <row r="1853" spans="18:19" x14ac:dyDescent="0.25">
      <c r="R1853" s="75"/>
      <c r="S1853" s="75"/>
    </row>
    <row r="1854" spans="18:19" x14ac:dyDescent="0.25">
      <c r="R1854" s="75"/>
      <c r="S1854" s="75"/>
    </row>
    <row r="1855" spans="18:19" x14ac:dyDescent="0.25">
      <c r="R1855" s="75"/>
      <c r="S1855" s="75"/>
    </row>
    <row r="1856" spans="18:19" x14ac:dyDescent="0.25">
      <c r="R1856" s="75"/>
      <c r="S1856" s="75"/>
    </row>
    <row r="1857" spans="18:19" x14ac:dyDescent="0.25">
      <c r="R1857" s="75"/>
      <c r="S1857" s="75"/>
    </row>
    <row r="1858" spans="18:19" x14ac:dyDescent="0.25">
      <c r="R1858" s="75"/>
      <c r="S1858" s="75"/>
    </row>
    <row r="1859" spans="18:19" x14ac:dyDescent="0.25">
      <c r="R1859" s="75"/>
      <c r="S1859" s="75"/>
    </row>
    <row r="1860" spans="18:19" x14ac:dyDescent="0.25">
      <c r="R1860" s="75"/>
      <c r="S1860" s="75"/>
    </row>
    <row r="1861" spans="18:19" x14ac:dyDescent="0.25">
      <c r="R1861" s="75"/>
      <c r="S1861" s="75"/>
    </row>
    <row r="1862" spans="18:19" x14ac:dyDescent="0.25">
      <c r="R1862" s="75"/>
      <c r="S1862" s="75"/>
    </row>
    <row r="1863" spans="18:19" x14ac:dyDescent="0.25">
      <c r="R1863" s="75"/>
      <c r="S1863" s="75"/>
    </row>
    <row r="1864" spans="18:19" x14ac:dyDescent="0.25">
      <c r="R1864" s="75"/>
      <c r="S1864" s="75"/>
    </row>
    <row r="1865" spans="18:19" x14ac:dyDescent="0.25">
      <c r="R1865" s="75"/>
      <c r="S1865" s="75"/>
    </row>
    <row r="1866" spans="18:19" x14ac:dyDescent="0.25">
      <c r="R1866" s="75"/>
      <c r="S1866" s="75"/>
    </row>
    <row r="1867" spans="18:19" x14ac:dyDescent="0.25">
      <c r="R1867" s="75"/>
      <c r="S1867" s="75"/>
    </row>
    <row r="1868" spans="18:19" x14ac:dyDescent="0.25">
      <c r="R1868" s="75"/>
      <c r="S1868" s="75"/>
    </row>
    <row r="1869" spans="18:19" x14ac:dyDescent="0.25">
      <c r="R1869" s="75"/>
      <c r="S1869" s="75"/>
    </row>
    <row r="1870" spans="18:19" x14ac:dyDescent="0.25">
      <c r="R1870" s="75"/>
      <c r="S1870" s="75"/>
    </row>
    <row r="1871" spans="18:19" x14ac:dyDescent="0.25">
      <c r="R1871" s="75"/>
      <c r="S1871" s="75"/>
    </row>
    <row r="1872" spans="18:19" x14ac:dyDescent="0.25">
      <c r="R1872" s="75"/>
      <c r="S1872" s="75"/>
    </row>
    <row r="1873" spans="18:19" x14ac:dyDescent="0.25">
      <c r="R1873" s="75"/>
      <c r="S1873" s="75"/>
    </row>
    <row r="1874" spans="18:19" x14ac:dyDescent="0.25">
      <c r="R1874" s="75"/>
      <c r="S1874" s="75"/>
    </row>
    <row r="1875" spans="18:19" x14ac:dyDescent="0.25">
      <c r="R1875" s="75"/>
      <c r="S1875" s="75"/>
    </row>
    <row r="1876" spans="18:19" x14ac:dyDescent="0.25">
      <c r="R1876" s="75"/>
      <c r="S1876" s="75"/>
    </row>
    <row r="1877" spans="18:19" x14ac:dyDescent="0.25">
      <c r="R1877" s="75"/>
      <c r="S1877" s="75"/>
    </row>
    <row r="1878" spans="18:19" x14ac:dyDescent="0.25">
      <c r="R1878" s="75"/>
      <c r="S1878" s="75"/>
    </row>
    <row r="1879" spans="18:19" x14ac:dyDescent="0.25">
      <c r="R1879" s="75"/>
      <c r="S1879" s="75"/>
    </row>
    <row r="1880" spans="18:19" x14ac:dyDescent="0.25">
      <c r="R1880" s="75"/>
      <c r="S1880" s="75"/>
    </row>
    <row r="1881" spans="18:19" x14ac:dyDescent="0.25">
      <c r="R1881" s="75"/>
      <c r="S1881" s="75"/>
    </row>
    <row r="1882" spans="18:19" x14ac:dyDescent="0.25">
      <c r="R1882" s="75"/>
      <c r="S1882" s="75"/>
    </row>
    <row r="1883" spans="18:19" x14ac:dyDescent="0.25">
      <c r="R1883" s="75"/>
      <c r="S1883" s="75"/>
    </row>
    <row r="1884" spans="18:19" x14ac:dyDescent="0.25">
      <c r="R1884" s="75"/>
      <c r="S1884" s="75"/>
    </row>
    <row r="1885" spans="18:19" x14ac:dyDescent="0.25">
      <c r="R1885" s="75"/>
      <c r="S1885" s="75"/>
    </row>
    <row r="1886" spans="18:19" x14ac:dyDescent="0.25">
      <c r="R1886" s="75"/>
      <c r="S1886" s="75"/>
    </row>
    <row r="1887" spans="18:19" x14ac:dyDescent="0.25">
      <c r="R1887" s="75"/>
      <c r="S1887" s="75"/>
    </row>
    <row r="1888" spans="18:19" x14ac:dyDescent="0.25">
      <c r="R1888" s="75"/>
      <c r="S1888" s="75"/>
    </row>
    <row r="1889" spans="18:19" x14ac:dyDescent="0.25">
      <c r="R1889" s="75"/>
      <c r="S1889" s="75"/>
    </row>
    <row r="1890" spans="18:19" x14ac:dyDescent="0.25">
      <c r="R1890" s="75"/>
      <c r="S1890" s="75"/>
    </row>
    <row r="1891" spans="18:19" x14ac:dyDescent="0.25">
      <c r="R1891" s="75"/>
      <c r="S1891" s="75"/>
    </row>
    <row r="1892" spans="18:19" x14ac:dyDescent="0.25">
      <c r="R1892" s="75"/>
      <c r="S1892" s="75"/>
    </row>
    <row r="1893" spans="18:19" x14ac:dyDescent="0.25">
      <c r="R1893" s="75"/>
      <c r="S1893" s="75"/>
    </row>
    <row r="1894" spans="18:19" x14ac:dyDescent="0.25">
      <c r="R1894" s="75"/>
      <c r="S1894" s="75"/>
    </row>
    <row r="1895" spans="18:19" x14ac:dyDescent="0.25">
      <c r="R1895" s="75"/>
      <c r="S1895" s="75"/>
    </row>
    <row r="1896" spans="18:19" x14ac:dyDescent="0.25">
      <c r="R1896" s="75"/>
      <c r="S1896" s="75"/>
    </row>
    <row r="1897" spans="18:19" x14ac:dyDescent="0.25">
      <c r="R1897" s="75"/>
      <c r="S1897" s="75"/>
    </row>
    <row r="1898" spans="18:19" x14ac:dyDescent="0.25">
      <c r="R1898" s="75"/>
      <c r="S1898" s="75"/>
    </row>
    <row r="1899" spans="18:19" x14ac:dyDescent="0.25">
      <c r="R1899" s="75"/>
      <c r="S1899" s="75"/>
    </row>
    <row r="1900" spans="18:19" x14ac:dyDescent="0.25">
      <c r="R1900" s="75"/>
      <c r="S1900" s="75"/>
    </row>
    <row r="1901" spans="18:19" x14ac:dyDescent="0.25">
      <c r="R1901" s="75"/>
      <c r="S1901" s="75"/>
    </row>
    <row r="1902" spans="18:19" x14ac:dyDescent="0.25">
      <c r="R1902" s="75"/>
      <c r="S1902" s="75"/>
    </row>
    <row r="1903" spans="18:19" x14ac:dyDescent="0.25">
      <c r="R1903" s="75"/>
      <c r="S1903" s="75"/>
    </row>
    <row r="1904" spans="18:19" x14ac:dyDescent="0.25">
      <c r="R1904" s="75"/>
      <c r="S1904" s="75"/>
    </row>
    <row r="1905" spans="18:19" x14ac:dyDescent="0.25">
      <c r="R1905" s="75"/>
      <c r="S1905" s="75"/>
    </row>
    <row r="1906" spans="18:19" x14ac:dyDescent="0.25">
      <c r="R1906" s="75"/>
      <c r="S1906" s="75"/>
    </row>
    <row r="1907" spans="18:19" x14ac:dyDescent="0.25">
      <c r="R1907" s="75"/>
      <c r="S1907" s="75"/>
    </row>
    <row r="1908" spans="18:19" x14ac:dyDescent="0.25">
      <c r="R1908" s="75"/>
      <c r="S1908" s="75"/>
    </row>
    <row r="1909" spans="18:19" x14ac:dyDescent="0.25">
      <c r="R1909" s="75"/>
      <c r="S1909" s="75"/>
    </row>
    <row r="1910" spans="18:19" x14ac:dyDescent="0.25">
      <c r="R1910" s="75"/>
      <c r="S1910" s="75"/>
    </row>
    <row r="1911" spans="18:19" x14ac:dyDescent="0.25">
      <c r="R1911" s="75"/>
      <c r="S1911" s="75"/>
    </row>
    <row r="1912" spans="18:19" x14ac:dyDescent="0.25">
      <c r="R1912" s="75"/>
      <c r="S1912" s="75"/>
    </row>
    <row r="1913" spans="18:19" x14ac:dyDescent="0.25">
      <c r="R1913" s="75"/>
      <c r="S1913" s="75"/>
    </row>
    <row r="1914" spans="18:19" x14ac:dyDescent="0.25">
      <c r="R1914" s="75"/>
      <c r="S1914" s="75"/>
    </row>
    <row r="1915" spans="18:19" x14ac:dyDescent="0.25">
      <c r="R1915" s="75"/>
      <c r="S1915" s="75"/>
    </row>
    <row r="1916" spans="18:19" x14ac:dyDescent="0.25">
      <c r="R1916" s="75"/>
      <c r="S1916" s="75"/>
    </row>
    <row r="1917" spans="18:19" x14ac:dyDescent="0.25">
      <c r="R1917" s="75"/>
      <c r="S1917" s="75"/>
    </row>
    <row r="1918" spans="18:19" x14ac:dyDescent="0.25">
      <c r="R1918" s="75"/>
      <c r="S1918" s="75"/>
    </row>
    <row r="1919" spans="18:19" x14ac:dyDescent="0.25">
      <c r="R1919" s="75"/>
      <c r="S1919" s="75"/>
    </row>
    <row r="1920" spans="18:19" x14ac:dyDescent="0.25">
      <c r="R1920" s="75"/>
      <c r="S1920" s="75"/>
    </row>
    <row r="1921" spans="18:19" x14ac:dyDescent="0.25">
      <c r="R1921" s="75"/>
      <c r="S1921" s="75"/>
    </row>
    <row r="1922" spans="18:19" x14ac:dyDescent="0.25">
      <c r="R1922" s="75"/>
      <c r="S1922" s="75"/>
    </row>
    <row r="1923" spans="18:19" x14ac:dyDescent="0.25">
      <c r="R1923" s="75"/>
      <c r="S1923" s="75"/>
    </row>
    <row r="1924" spans="18:19" x14ac:dyDescent="0.25">
      <c r="R1924" s="75"/>
      <c r="S1924" s="75"/>
    </row>
    <row r="1925" spans="18:19" x14ac:dyDescent="0.25">
      <c r="R1925" s="75"/>
      <c r="S1925" s="75"/>
    </row>
    <row r="1926" spans="18:19" x14ac:dyDescent="0.25">
      <c r="R1926" s="75"/>
      <c r="S1926" s="75"/>
    </row>
    <row r="1927" spans="18:19" x14ac:dyDescent="0.25">
      <c r="R1927" s="75"/>
      <c r="S1927" s="75"/>
    </row>
    <row r="1928" spans="18:19" x14ac:dyDescent="0.25">
      <c r="R1928" s="75"/>
      <c r="S1928" s="75"/>
    </row>
    <row r="1929" spans="18:19" x14ac:dyDescent="0.25">
      <c r="R1929" s="75"/>
      <c r="S1929" s="75"/>
    </row>
    <row r="1930" spans="18:19" x14ac:dyDescent="0.25">
      <c r="R1930" s="75"/>
      <c r="S1930" s="75"/>
    </row>
    <row r="1931" spans="18:19" x14ac:dyDescent="0.25">
      <c r="R1931" s="75"/>
      <c r="S1931" s="75"/>
    </row>
    <row r="1932" spans="18:19" x14ac:dyDescent="0.25">
      <c r="R1932" s="75"/>
      <c r="S1932" s="75"/>
    </row>
    <row r="1933" spans="18:19" x14ac:dyDescent="0.25">
      <c r="R1933" s="75"/>
      <c r="S1933" s="75"/>
    </row>
    <row r="1934" spans="18:19" x14ac:dyDescent="0.25">
      <c r="R1934" s="75"/>
      <c r="S1934" s="75"/>
    </row>
    <row r="1935" spans="18:19" x14ac:dyDescent="0.25">
      <c r="R1935" s="75"/>
      <c r="S1935" s="75"/>
    </row>
    <row r="1936" spans="18:19" x14ac:dyDescent="0.25">
      <c r="R1936" s="75"/>
      <c r="S1936" s="75"/>
    </row>
    <row r="1937" spans="18:19" x14ac:dyDescent="0.25">
      <c r="R1937" s="75"/>
      <c r="S1937" s="75"/>
    </row>
    <row r="1938" spans="18:19" x14ac:dyDescent="0.25">
      <c r="R1938" s="75"/>
      <c r="S1938" s="75"/>
    </row>
    <row r="1939" spans="18:19" x14ac:dyDescent="0.25">
      <c r="R1939" s="75"/>
      <c r="S1939" s="75"/>
    </row>
    <row r="1940" spans="18:19" x14ac:dyDescent="0.25">
      <c r="R1940" s="75"/>
      <c r="S1940" s="75"/>
    </row>
    <row r="1941" spans="18:19" x14ac:dyDescent="0.25">
      <c r="R1941" s="75"/>
      <c r="S1941" s="75"/>
    </row>
    <row r="1942" spans="18:19" x14ac:dyDescent="0.25">
      <c r="R1942" s="75"/>
      <c r="S1942" s="75"/>
    </row>
    <row r="1943" spans="18:19" x14ac:dyDescent="0.25">
      <c r="R1943" s="75"/>
      <c r="S1943" s="75"/>
    </row>
    <row r="1944" spans="18:19" x14ac:dyDescent="0.25">
      <c r="R1944" s="75"/>
      <c r="S1944" s="75"/>
    </row>
    <row r="1945" spans="18:19" x14ac:dyDescent="0.25">
      <c r="R1945" s="75"/>
      <c r="S1945" s="75"/>
    </row>
    <row r="1946" spans="18:19" x14ac:dyDescent="0.25">
      <c r="R1946" s="75"/>
      <c r="S1946" s="75"/>
    </row>
    <row r="1947" spans="18:19" x14ac:dyDescent="0.25">
      <c r="R1947" s="75"/>
      <c r="S1947" s="75"/>
    </row>
    <row r="1948" spans="18:19" x14ac:dyDescent="0.25">
      <c r="R1948" s="75"/>
      <c r="S1948" s="75"/>
    </row>
    <row r="1949" spans="18:19" x14ac:dyDescent="0.25">
      <c r="R1949" s="75"/>
      <c r="S1949" s="75"/>
    </row>
    <row r="1950" spans="18:19" x14ac:dyDescent="0.25">
      <c r="R1950" s="75"/>
      <c r="S1950" s="75"/>
    </row>
    <row r="1951" spans="18:19" x14ac:dyDescent="0.25">
      <c r="R1951" s="75"/>
      <c r="S1951" s="75"/>
    </row>
    <row r="1952" spans="18:19" x14ac:dyDescent="0.25">
      <c r="R1952" s="75"/>
      <c r="S1952" s="75"/>
    </row>
    <row r="1953" spans="18:19" x14ac:dyDescent="0.25">
      <c r="R1953" s="75"/>
      <c r="S1953" s="75"/>
    </row>
    <row r="1954" spans="18:19" x14ac:dyDescent="0.25">
      <c r="R1954" s="75"/>
      <c r="S1954" s="75"/>
    </row>
    <row r="1955" spans="18:19" x14ac:dyDescent="0.25">
      <c r="R1955" s="75"/>
      <c r="S1955" s="75"/>
    </row>
    <row r="1956" spans="18:19" x14ac:dyDescent="0.25">
      <c r="R1956" s="75"/>
      <c r="S1956" s="75"/>
    </row>
    <row r="1957" spans="18:19" x14ac:dyDescent="0.25">
      <c r="R1957" s="75"/>
      <c r="S1957" s="75"/>
    </row>
    <row r="1958" spans="18:19" x14ac:dyDescent="0.25">
      <c r="R1958" s="75"/>
      <c r="S1958" s="75"/>
    </row>
    <row r="1959" spans="18:19" x14ac:dyDescent="0.25">
      <c r="R1959" s="75"/>
      <c r="S1959" s="75"/>
    </row>
    <row r="1960" spans="18:19" x14ac:dyDescent="0.25">
      <c r="R1960" s="75"/>
      <c r="S1960" s="75"/>
    </row>
    <row r="1961" spans="18:19" x14ac:dyDescent="0.25">
      <c r="R1961" s="75"/>
      <c r="S1961" s="75"/>
    </row>
    <row r="1962" spans="18:19" x14ac:dyDescent="0.25">
      <c r="R1962" s="75"/>
      <c r="S1962" s="75"/>
    </row>
    <row r="1963" spans="18:19" x14ac:dyDescent="0.25">
      <c r="R1963" s="75"/>
      <c r="S1963" s="75"/>
    </row>
    <row r="1964" spans="18:19" x14ac:dyDescent="0.25">
      <c r="R1964" s="75"/>
      <c r="S1964" s="75"/>
    </row>
    <row r="1965" spans="18:19" x14ac:dyDescent="0.25">
      <c r="R1965" s="75"/>
      <c r="S1965" s="75"/>
    </row>
    <row r="1966" spans="18:19" x14ac:dyDescent="0.25">
      <c r="R1966" s="75"/>
      <c r="S1966" s="75"/>
    </row>
    <row r="1967" spans="18:19" x14ac:dyDescent="0.25">
      <c r="R1967" s="75"/>
      <c r="S1967" s="75"/>
    </row>
    <row r="1968" spans="18:19" x14ac:dyDescent="0.25">
      <c r="R1968" s="75"/>
      <c r="S1968" s="75"/>
    </row>
    <row r="1969" spans="18:19" x14ac:dyDescent="0.25">
      <c r="R1969" s="75"/>
      <c r="S1969" s="75"/>
    </row>
    <row r="1970" spans="18:19" x14ac:dyDescent="0.25">
      <c r="R1970" s="75"/>
      <c r="S1970" s="75"/>
    </row>
    <row r="1971" spans="18:19" x14ac:dyDescent="0.25">
      <c r="R1971" s="75"/>
      <c r="S1971" s="75"/>
    </row>
    <row r="1972" spans="18:19" x14ac:dyDescent="0.25">
      <c r="R1972" s="75"/>
      <c r="S1972" s="75"/>
    </row>
    <row r="1973" spans="18:19" x14ac:dyDescent="0.25">
      <c r="R1973" s="75"/>
      <c r="S1973" s="75"/>
    </row>
    <row r="1974" spans="18:19" x14ac:dyDescent="0.25">
      <c r="R1974" s="75"/>
      <c r="S1974" s="75"/>
    </row>
    <row r="1975" spans="18:19" x14ac:dyDescent="0.25">
      <c r="R1975" s="75"/>
      <c r="S1975" s="75"/>
    </row>
    <row r="1976" spans="18:19" x14ac:dyDescent="0.25">
      <c r="R1976" s="75"/>
      <c r="S1976" s="75"/>
    </row>
    <row r="1977" spans="18:19" x14ac:dyDescent="0.25">
      <c r="R1977" s="75"/>
      <c r="S1977" s="75"/>
    </row>
    <row r="1978" spans="18:19" x14ac:dyDescent="0.25">
      <c r="R1978" s="75"/>
      <c r="S1978" s="75"/>
    </row>
    <row r="1979" spans="18:19" x14ac:dyDescent="0.25">
      <c r="R1979" s="75"/>
      <c r="S1979" s="75"/>
    </row>
    <row r="1980" spans="18:19" x14ac:dyDescent="0.25">
      <c r="R1980" s="75"/>
      <c r="S1980" s="75"/>
    </row>
    <row r="1981" spans="18:19" x14ac:dyDescent="0.25">
      <c r="R1981" s="75"/>
      <c r="S1981" s="75"/>
    </row>
    <row r="1982" spans="18:19" x14ac:dyDescent="0.25">
      <c r="R1982" s="75"/>
      <c r="S1982" s="75"/>
    </row>
    <row r="1983" spans="18:19" x14ac:dyDescent="0.25">
      <c r="R1983" s="75"/>
      <c r="S1983" s="75"/>
    </row>
    <row r="1984" spans="18:19" x14ac:dyDescent="0.25">
      <c r="R1984" s="75"/>
      <c r="S1984" s="75"/>
    </row>
    <row r="1985" spans="18:19" x14ac:dyDescent="0.25">
      <c r="R1985" s="75"/>
      <c r="S1985" s="75"/>
    </row>
    <row r="1986" spans="18:19" x14ac:dyDescent="0.25">
      <c r="R1986" s="75"/>
      <c r="S1986" s="75"/>
    </row>
    <row r="1987" spans="18:19" x14ac:dyDescent="0.25">
      <c r="R1987" s="75"/>
      <c r="S1987" s="75"/>
    </row>
    <row r="1988" spans="18:19" x14ac:dyDescent="0.25">
      <c r="R1988" s="75"/>
      <c r="S1988" s="75"/>
    </row>
    <row r="1989" spans="18:19" x14ac:dyDescent="0.25">
      <c r="R1989" s="75"/>
      <c r="S1989" s="75"/>
    </row>
    <row r="1990" spans="18:19" x14ac:dyDescent="0.25">
      <c r="R1990" s="75"/>
      <c r="S1990" s="75"/>
    </row>
    <row r="1991" spans="18:19" x14ac:dyDescent="0.25">
      <c r="R1991" s="75"/>
      <c r="S1991" s="75"/>
    </row>
    <row r="1992" spans="18:19" x14ac:dyDescent="0.25">
      <c r="R1992" s="75"/>
      <c r="S1992" s="75"/>
    </row>
    <row r="1993" spans="18:19" x14ac:dyDescent="0.25">
      <c r="R1993" s="75"/>
      <c r="S1993" s="75"/>
    </row>
    <row r="1994" spans="18:19" x14ac:dyDescent="0.25">
      <c r="R1994" s="75"/>
      <c r="S1994" s="75"/>
    </row>
    <row r="1995" spans="18:19" x14ac:dyDescent="0.25">
      <c r="R1995" s="75"/>
      <c r="S1995" s="75"/>
    </row>
    <row r="1996" spans="18:19" x14ac:dyDescent="0.25">
      <c r="R1996" s="75"/>
      <c r="S1996" s="75"/>
    </row>
    <row r="1997" spans="18:19" x14ac:dyDescent="0.25">
      <c r="R1997" s="75"/>
      <c r="S1997" s="75"/>
    </row>
    <row r="1998" spans="18:19" x14ac:dyDescent="0.25">
      <c r="R1998" s="75"/>
      <c r="S1998" s="75"/>
    </row>
    <row r="1999" spans="18:19" x14ac:dyDescent="0.25">
      <c r="R1999" s="75"/>
      <c r="S1999" s="75"/>
    </row>
    <row r="2000" spans="18:19" x14ac:dyDescent="0.25">
      <c r="R2000" s="75"/>
      <c r="S2000" s="75"/>
    </row>
    <row r="2001" spans="18:19" x14ac:dyDescent="0.25">
      <c r="R2001" s="75"/>
      <c r="S2001" s="75"/>
    </row>
    <row r="2002" spans="18:19" x14ac:dyDescent="0.25">
      <c r="R2002" s="75"/>
      <c r="S2002" s="75"/>
    </row>
    <row r="2003" spans="18:19" x14ac:dyDescent="0.25">
      <c r="R2003" s="75"/>
      <c r="S2003" s="75"/>
    </row>
    <row r="2004" spans="18:19" x14ac:dyDescent="0.25">
      <c r="R2004" s="75"/>
      <c r="S2004" s="75"/>
    </row>
    <row r="2005" spans="18:19" x14ac:dyDescent="0.25">
      <c r="R2005" s="75"/>
      <c r="S2005" s="75"/>
    </row>
    <row r="2006" spans="18:19" x14ac:dyDescent="0.25">
      <c r="R2006" s="75"/>
      <c r="S2006" s="75"/>
    </row>
    <row r="2007" spans="18:19" x14ac:dyDescent="0.25">
      <c r="R2007" s="75"/>
      <c r="S2007" s="75"/>
    </row>
    <row r="2008" spans="18:19" x14ac:dyDescent="0.25">
      <c r="R2008" s="75"/>
      <c r="S2008" s="75"/>
    </row>
    <row r="2009" spans="18:19" x14ac:dyDescent="0.25">
      <c r="R2009" s="75"/>
      <c r="S2009" s="75"/>
    </row>
    <row r="2010" spans="18:19" x14ac:dyDescent="0.25">
      <c r="R2010" s="75"/>
      <c r="S2010" s="75"/>
    </row>
    <row r="2011" spans="18:19" x14ac:dyDescent="0.25">
      <c r="R2011" s="75"/>
      <c r="S2011" s="75"/>
    </row>
    <row r="2012" spans="18:19" x14ac:dyDescent="0.25">
      <c r="R2012" s="75"/>
      <c r="S2012" s="75"/>
    </row>
    <row r="2013" spans="18:19" x14ac:dyDescent="0.25">
      <c r="R2013" s="75"/>
      <c r="S2013" s="75"/>
    </row>
    <row r="2014" spans="18:19" x14ac:dyDescent="0.25">
      <c r="R2014" s="75"/>
      <c r="S2014" s="75"/>
    </row>
    <row r="2015" spans="18:19" x14ac:dyDescent="0.25">
      <c r="R2015" s="75"/>
      <c r="S2015" s="75"/>
    </row>
    <row r="2016" spans="18:19" x14ac:dyDescent="0.25">
      <c r="R2016" s="75"/>
      <c r="S2016" s="75"/>
    </row>
    <row r="2017" spans="18:19" x14ac:dyDescent="0.25">
      <c r="R2017" s="75"/>
      <c r="S2017" s="75"/>
    </row>
    <row r="2018" spans="18:19" x14ac:dyDescent="0.25">
      <c r="R2018" s="75"/>
      <c r="S2018" s="75"/>
    </row>
    <row r="2019" spans="18:19" x14ac:dyDescent="0.25">
      <c r="R2019" s="75"/>
      <c r="S2019" s="75"/>
    </row>
    <row r="2020" spans="18:19" x14ac:dyDescent="0.25">
      <c r="R2020" s="75"/>
      <c r="S2020" s="75"/>
    </row>
    <row r="2021" spans="18:19" x14ac:dyDescent="0.25">
      <c r="R2021" s="75"/>
      <c r="S2021" s="75"/>
    </row>
    <row r="2022" spans="18:19" x14ac:dyDescent="0.25">
      <c r="R2022" s="75"/>
      <c r="S2022" s="75"/>
    </row>
    <row r="2023" spans="18:19" x14ac:dyDescent="0.25">
      <c r="R2023" s="75"/>
      <c r="S2023" s="75"/>
    </row>
    <row r="2024" spans="18:19" x14ac:dyDescent="0.25">
      <c r="R2024" s="75"/>
      <c r="S2024" s="75"/>
    </row>
    <row r="2025" spans="18:19" x14ac:dyDescent="0.25">
      <c r="R2025" s="75"/>
      <c r="S2025" s="75"/>
    </row>
    <row r="2026" spans="18:19" x14ac:dyDescent="0.25">
      <c r="R2026" s="75"/>
      <c r="S2026" s="75"/>
    </row>
    <row r="2027" spans="18:19" x14ac:dyDescent="0.25">
      <c r="R2027" s="75"/>
      <c r="S2027" s="75"/>
    </row>
    <row r="2028" spans="18:19" x14ac:dyDescent="0.25">
      <c r="R2028" s="75"/>
      <c r="S2028" s="75"/>
    </row>
    <row r="2029" spans="18:19" x14ac:dyDescent="0.25">
      <c r="R2029" s="75"/>
      <c r="S2029" s="75"/>
    </row>
    <row r="2030" spans="18:19" x14ac:dyDescent="0.25">
      <c r="R2030" s="75"/>
      <c r="S2030" s="75"/>
    </row>
    <row r="2031" spans="18:19" x14ac:dyDescent="0.25">
      <c r="R2031" s="75"/>
      <c r="S2031" s="75"/>
    </row>
    <row r="2032" spans="18:19" x14ac:dyDescent="0.25">
      <c r="R2032" s="75"/>
      <c r="S2032" s="75"/>
    </row>
    <row r="2033" spans="18:19" x14ac:dyDescent="0.25">
      <c r="R2033" s="75"/>
      <c r="S2033" s="75"/>
    </row>
    <row r="2034" spans="18:19" x14ac:dyDescent="0.25">
      <c r="R2034" s="75"/>
      <c r="S2034" s="75"/>
    </row>
    <row r="2035" spans="18:19" x14ac:dyDescent="0.25">
      <c r="R2035" s="75"/>
      <c r="S2035" s="75"/>
    </row>
    <row r="2036" spans="18:19" x14ac:dyDescent="0.25">
      <c r="R2036" s="75"/>
      <c r="S2036" s="75"/>
    </row>
    <row r="2037" spans="18:19" x14ac:dyDescent="0.25">
      <c r="R2037" s="75"/>
      <c r="S2037" s="75"/>
    </row>
    <row r="2038" spans="18:19" x14ac:dyDescent="0.25">
      <c r="R2038" s="75"/>
      <c r="S2038" s="75"/>
    </row>
    <row r="2039" spans="18:19" x14ac:dyDescent="0.25">
      <c r="R2039" s="75"/>
      <c r="S2039" s="75"/>
    </row>
    <row r="2040" spans="18:19" x14ac:dyDescent="0.25">
      <c r="R2040" s="75"/>
      <c r="S2040" s="75"/>
    </row>
    <row r="2041" spans="18:19" x14ac:dyDescent="0.25">
      <c r="R2041" s="75"/>
      <c r="S2041" s="75"/>
    </row>
    <row r="2042" spans="18:19" x14ac:dyDescent="0.25">
      <c r="R2042" s="75"/>
      <c r="S2042" s="75"/>
    </row>
    <row r="2043" spans="18:19" x14ac:dyDescent="0.25">
      <c r="R2043" s="75"/>
      <c r="S2043" s="75"/>
    </row>
    <row r="2044" spans="18:19" x14ac:dyDescent="0.25">
      <c r="R2044" s="75"/>
      <c r="S2044" s="75"/>
    </row>
    <row r="2045" spans="18:19" x14ac:dyDescent="0.25">
      <c r="R2045" s="75"/>
      <c r="S2045" s="75"/>
    </row>
    <row r="2046" spans="18:19" x14ac:dyDescent="0.25">
      <c r="R2046" s="75"/>
      <c r="S2046" s="75"/>
    </row>
    <row r="2047" spans="18:19" x14ac:dyDescent="0.25">
      <c r="R2047" s="75"/>
      <c r="S2047" s="75"/>
    </row>
    <row r="2048" spans="18:19" x14ac:dyDescent="0.25">
      <c r="R2048" s="75"/>
      <c r="S2048" s="75"/>
    </row>
    <row r="2049" spans="18:19" x14ac:dyDescent="0.25">
      <c r="R2049" s="75"/>
      <c r="S2049" s="75"/>
    </row>
    <row r="2050" spans="18:19" x14ac:dyDescent="0.25">
      <c r="R2050" s="75"/>
      <c r="S2050" s="75"/>
    </row>
    <row r="2051" spans="18:19" x14ac:dyDescent="0.25">
      <c r="R2051" s="75"/>
      <c r="S2051" s="75"/>
    </row>
    <row r="2052" spans="18:19" x14ac:dyDescent="0.25">
      <c r="R2052" s="75"/>
      <c r="S2052" s="75"/>
    </row>
    <row r="2053" spans="18:19" x14ac:dyDescent="0.25">
      <c r="R2053" s="75"/>
      <c r="S2053" s="75"/>
    </row>
    <row r="2054" spans="18:19" x14ac:dyDescent="0.25">
      <c r="R2054" s="75"/>
      <c r="S2054" s="75"/>
    </row>
    <row r="2055" spans="18:19" x14ac:dyDescent="0.25">
      <c r="R2055" s="75"/>
      <c r="S2055" s="75"/>
    </row>
    <row r="2056" spans="18:19" x14ac:dyDescent="0.25">
      <c r="R2056" s="75"/>
      <c r="S2056" s="75"/>
    </row>
    <row r="2057" spans="18:19" x14ac:dyDescent="0.25">
      <c r="R2057" s="75"/>
      <c r="S2057" s="75"/>
    </row>
    <row r="2058" spans="18:19" x14ac:dyDescent="0.25">
      <c r="R2058" s="75"/>
      <c r="S2058" s="75"/>
    </row>
    <row r="2059" spans="18:19" x14ac:dyDescent="0.25">
      <c r="R2059" s="75"/>
      <c r="S2059" s="75"/>
    </row>
    <row r="2060" spans="18:19" x14ac:dyDescent="0.25">
      <c r="R2060" s="75"/>
      <c r="S2060" s="75"/>
    </row>
    <row r="2061" spans="18:19" x14ac:dyDescent="0.25">
      <c r="R2061" s="75"/>
      <c r="S2061" s="75"/>
    </row>
    <row r="2062" spans="18:19" x14ac:dyDescent="0.25">
      <c r="R2062" s="75"/>
      <c r="S2062" s="75"/>
    </row>
    <row r="2063" spans="18:19" x14ac:dyDescent="0.25">
      <c r="R2063" s="75"/>
      <c r="S2063" s="75"/>
    </row>
    <row r="2064" spans="18:19" x14ac:dyDescent="0.25">
      <c r="R2064" s="75"/>
      <c r="S2064" s="75"/>
    </row>
    <row r="2065" spans="18:19" x14ac:dyDescent="0.25">
      <c r="R2065" s="75"/>
      <c r="S2065" s="75"/>
    </row>
    <row r="2066" spans="18:19" x14ac:dyDescent="0.25">
      <c r="R2066" s="75"/>
      <c r="S2066" s="75"/>
    </row>
    <row r="2067" spans="18:19" x14ac:dyDescent="0.25">
      <c r="R2067" s="75"/>
      <c r="S2067" s="75"/>
    </row>
    <row r="2068" spans="18:19" x14ac:dyDescent="0.25">
      <c r="R2068" s="75"/>
      <c r="S2068" s="75"/>
    </row>
    <row r="2069" spans="18:19" x14ac:dyDescent="0.25">
      <c r="R2069" s="75"/>
      <c r="S2069" s="75"/>
    </row>
    <row r="2070" spans="18:19" x14ac:dyDescent="0.25">
      <c r="R2070" s="75"/>
      <c r="S2070" s="75"/>
    </row>
    <row r="2071" spans="18:19" x14ac:dyDescent="0.25">
      <c r="R2071" s="75"/>
      <c r="S2071" s="75"/>
    </row>
    <row r="2072" spans="18:19" x14ac:dyDescent="0.25">
      <c r="R2072" s="75"/>
      <c r="S2072" s="75"/>
    </row>
    <row r="2073" spans="18:19" x14ac:dyDescent="0.25">
      <c r="R2073" s="75"/>
      <c r="S2073" s="75"/>
    </row>
    <row r="2074" spans="18:19" x14ac:dyDescent="0.25">
      <c r="R2074" s="75"/>
      <c r="S2074" s="75"/>
    </row>
    <row r="2075" spans="18:19" x14ac:dyDescent="0.25">
      <c r="R2075" s="75"/>
      <c r="S2075" s="75"/>
    </row>
    <row r="2076" spans="18:19" x14ac:dyDescent="0.25">
      <c r="R2076" s="75"/>
      <c r="S2076" s="75"/>
    </row>
    <row r="2077" spans="18:19" x14ac:dyDescent="0.25">
      <c r="R2077" s="75"/>
      <c r="S2077" s="75"/>
    </row>
    <row r="2078" spans="18:19" x14ac:dyDescent="0.25">
      <c r="R2078" s="75"/>
      <c r="S2078" s="75"/>
    </row>
    <row r="2079" spans="18:19" x14ac:dyDescent="0.25">
      <c r="R2079" s="75"/>
      <c r="S2079" s="75"/>
    </row>
    <row r="2080" spans="18:19" x14ac:dyDescent="0.25">
      <c r="R2080" s="75"/>
      <c r="S2080" s="75"/>
    </row>
    <row r="2081" spans="18:19" x14ac:dyDescent="0.25">
      <c r="R2081" s="75"/>
      <c r="S2081" s="75"/>
    </row>
    <row r="2082" spans="18:19" x14ac:dyDescent="0.25">
      <c r="R2082" s="75"/>
      <c r="S2082" s="75"/>
    </row>
    <row r="2083" spans="18:19" x14ac:dyDescent="0.25">
      <c r="R2083" s="75"/>
      <c r="S2083" s="75"/>
    </row>
    <row r="2084" spans="18:19" x14ac:dyDescent="0.25">
      <c r="R2084" s="75"/>
      <c r="S2084" s="75"/>
    </row>
    <row r="2085" spans="18:19" x14ac:dyDescent="0.25">
      <c r="R2085" s="75"/>
      <c r="S2085" s="75"/>
    </row>
    <row r="2086" spans="18:19" x14ac:dyDescent="0.25">
      <c r="R2086" s="75"/>
      <c r="S2086" s="75"/>
    </row>
    <row r="2087" spans="18:19" x14ac:dyDescent="0.25">
      <c r="R2087" s="75"/>
      <c r="S2087" s="75"/>
    </row>
    <row r="2088" spans="18:19" x14ac:dyDescent="0.25">
      <c r="R2088" s="75"/>
      <c r="S2088" s="75"/>
    </row>
    <row r="2089" spans="18:19" x14ac:dyDescent="0.25">
      <c r="R2089" s="75"/>
      <c r="S2089" s="75"/>
    </row>
    <row r="2090" spans="18:19" x14ac:dyDescent="0.25">
      <c r="R2090" s="75"/>
      <c r="S2090" s="75"/>
    </row>
    <row r="2091" spans="18:19" x14ac:dyDescent="0.25">
      <c r="R2091" s="75"/>
      <c r="S2091" s="75"/>
    </row>
    <row r="2092" spans="18:19" x14ac:dyDescent="0.25">
      <c r="R2092" s="75"/>
      <c r="S2092" s="75"/>
    </row>
    <row r="2093" spans="18:19" x14ac:dyDescent="0.25">
      <c r="R2093" s="75"/>
      <c r="S2093" s="75"/>
    </row>
    <row r="2094" spans="18:19" x14ac:dyDescent="0.25">
      <c r="R2094" s="75"/>
      <c r="S2094" s="75"/>
    </row>
    <row r="2095" spans="18:19" x14ac:dyDescent="0.25">
      <c r="R2095" s="75"/>
      <c r="S2095" s="75"/>
    </row>
    <row r="2096" spans="18:19" x14ac:dyDescent="0.25">
      <c r="R2096" s="75"/>
      <c r="S2096" s="75"/>
    </row>
    <row r="2097" spans="18:19" x14ac:dyDescent="0.25">
      <c r="R2097" s="75"/>
      <c r="S2097" s="75"/>
    </row>
    <row r="2098" spans="18:19" x14ac:dyDescent="0.25">
      <c r="R2098" s="75"/>
      <c r="S2098" s="75"/>
    </row>
    <row r="2099" spans="18:19" x14ac:dyDescent="0.25">
      <c r="R2099" s="75"/>
      <c r="S2099" s="75"/>
    </row>
    <row r="2100" spans="18:19" x14ac:dyDescent="0.25">
      <c r="R2100" s="75"/>
      <c r="S2100" s="75"/>
    </row>
    <row r="2101" spans="18:19" x14ac:dyDescent="0.25">
      <c r="R2101" s="75"/>
      <c r="S2101" s="75"/>
    </row>
    <row r="2102" spans="18:19" x14ac:dyDescent="0.25">
      <c r="R2102" s="75"/>
      <c r="S2102" s="75"/>
    </row>
    <row r="2103" spans="18:19" x14ac:dyDescent="0.25">
      <c r="R2103" s="75"/>
      <c r="S2103" s="75"/>
    </row>
    <row r="2104" spans="18:19" x14ac:dyDescent="0.25">
      <c r="R2104" s="75"/>
      <c r="S2104" s="75"/>
    </row>
    <row r="2105" spans="18:19" x14ac:dyDescent="0.25">
      <c r="R2105" s="75"/>
      <c r="S2105" s="75"/>
    </row>
    <row r="2106" spans="18:19" x14ac:dyDescent="0.25">
      <c r="R2106" s="75"/>
      <c r="S2106" s="75"/>
    </row>
    <row r="2107" spans="18:19" x14ac:dyDescent="0.25">
      <c r="R2107" s="75"/>
      <c r="S2107" s="75"/>
    </row>
    <row r="2108" spans="18:19" x14ac:dyDescent="0.25">
      <c r="R2108" s="75"/>
      <c r="S2108" s="75"/>
    </row>
    <row r="2109" spans="18:19" x14ac:dyDescent="0.25">
      <c r="R2109" s="75"/>
      <c r="S2109" s="75"/>
    </row>
    <row r="2110" spans="18:19" x14ac:dyDescent="0.25">
      <c r="R2110" s="75"/>
      <c r="S2110" s="75"/>
    </row>
    <row r="2111" spans="18:19" x14ac:dyDescent="0.25">
      <c r="R2111" s="75"/>
      <c r="S2111" s="75"/>
    </row>
    <row r="2112" spans="18:19" x14ac:dyDescent="0.25">
      <c r="R2112" s="75"/>
      <c r="S2112" s="75"/>
    </row>
    <row r="2113" spans="18:19" x14ac:dyDescent="0.25">
      <c r="R2113" s="75"/>
      <c r="S2113" s="75"/>
    </row>
    <row r="2114" spans="18:19" x14ac:dyDescent="0.25">
      <c r="R2114" s="75"/>
      <c r="S2114" s="75"/>
    </row>
    <row r="2115" spans="18:19" x14ac:dyDescent="0.25">
      <c r="R2115" s="75"/>
      <c r="S2115" s="75"/>
    </row>
    <row r="2116" spans="18:19" x14ac:dyDescent="0.25">
      <c r="R2116" s="75"/>
      <c r="S2116" s="75"/>
    </row>
    <row r="2117" spans="18:19" x14ac:dyDescent="0.25">
      <c r="R2117" s="75"/>
      <c r="S2117" s="75"/>
    </row>
    <row r="2118" spans="18:19" x14ac:dyDescent="0.25">
      <c r="R2118" s="75"/>
      <c r="S2118" s="75"/>
    </row>
    <row r="2119" spans="18:19" x14ac:dyDescent="0.25">
      <c r="R2119" s="75"/>
      <c r="S2119" s="75"/>
    </row>
    <row r="2120" spans="18:19" x14ac:dyDescent="0.25">
      <c r="R2120" s="75"/>
      <c r="S2120" s="75"/>
    </row>
    <row r="2121" spans="18:19" x14ac:dyDescent="0.25">
      <c r="R2121" s="75"/>
      <c r="S2121" s="75"/>
    </row>
    <row r="2122" spans="18:19" x14ac:dyDescent="0.25">
      <c r="R2122" s="75"/>
      <c r="S2122" s="75"/>
    </row>
    <row r="2123" spans="18:19" x14ac:dyDescent="0.25">
      <c r="R2123" s="75"/>
      <c r="S2123" s="75"/>
    </row>
    <row r="2124" spans="18:19" x14ac:dyDescent="0.25">
      <c r="R2124" s="75"/>
      <c r="S2124" s="75"/>
    </row>
    <row r="2125" spans="18:19" x14ac:dyDescent="0.25">
      <c r="R2125" s="75"/>
      <c r="S2125" s="75"/>
    </row>
    <row r="2126" spans="18:19" x14ac:dyDescent="0.25">
      <c r="R2126" s="75"/>
      <c r="S2126" s="75"/>
    </row>
    <row r="2127" spans="18:19" x14ac:dyDescent="0.25">
      <c r="R2127" s="75"/>
      <c r="S2127" s="75"/>
    </row>
    <row r="2128" spans="18:19" x14ac:dyDescent="0.25">
      <c r="R2128" s="75"/>
      <c r="S2128" s="75"/>
    </row>
    <row r="2129" spans="18:19" x14ac:dyDescent="0.25">
      <c r="R2129" s="75"/>
      <c r="S2129" s="75"/>
    </row>
    <row r="2130" spans="18:19" x14ac:dyDescent="0.25">
      <c r="R2130" s="75"/>
      <c r="S2130" s="75"/>
    </row>
    <row r="2131" spans="18:19" x14ac:dyDescent="0.25">
      <c r="R2131" s="75"/>
      <c r="S2131" s="75"/>
    </row>
    <row r="2132" spans="18:19" x14ac:dyDescent="0.25">
      <c r="R2132" s="75"/>
      <c r="S2132" s="75"/>
    </row>
    <row r="2133" spans="18:19" x14ac:dyDescent="0.25">
      <c r="R2133" s="75"/>
      <c r="S2133" s="75"/>
    </row>
    <row r="2134" spans="18:19" x14ac:dyDescent="0.25">
      <c r="R2134" s="75"/>
      <c r="S2134" s="75"/>
    </row>
    <row r="2135" spans="18:19" x14ac:dyDescent="0.25">
      <c r="R2135" s="75"/>
      <c r="S2135" s="75"/>
    </row>
    <row r="2136" spans="18:19" x14ac:dyDescent="0.25">
      <c r="R2136" s="75"/>
      <c r="S2136" s="75"/>
    </row>
    <row r="2137" spans="18:19" x14ac:dyDescent="0.25">
      <c r="R2137" s="75"/>
      <c r="S2137" s="75"/>
    </row>
    <row r="2138" spans="18:19" x14ac:dyDescent="0.25">
      <c r="R2138" s="75"/>
      <c r="S2138" s="75"/>
    </row>
    <row r="2139" spans="18:19" x14ac:dyDescent="0.25">
      <c r="R2139" s="75"/>
      <c r="S2139" s="75"/>
    </row>
    <row r="2140" spans="18:19" x14ac:dyDescent="0.25">
      <c r="R2140" s="75"/>
      <c r="S2140" s="75"/>
    </row>
    <row r="2141" spans="18:19" x14ac:dyDescent="0.25">
      <c r="R2141" s="75"/>
      <c r="S2141" s="75"/>
    </row>
    <row r="2142" spans="18:19" x14ac:dyDescent="0.25">
      <c r="R2142" s="75"/>
      <c r="S2142" s="75"/>
    </row>
    <row r="2143" spans="18:19" x14ac:dyDescent="0.25">
      <c r="R2143" s="75"/>
      <c r="S2143" s="75"/>
    </row>
    <row r="2144" spans="18:19" x14ac:dyDescent="0.25">
      <c r="R2144" s="75"/>
      <c r="S2144" s="75"/>
    </row>
    <row r="2145" spans="18:19" x14ac:dyDescent="0.25">
      <c r="R2145" s="75"/>
      <c r="S2145" s="75"/>
    </row>
    <row r="2146" spans="18:19" x14ac:dyDescent="0.25">
      <c r="R2146" s="75"/>
      <c r="S2146" s="75"/>
    </row>
    <row r="2147" spans="18:19" x14ac:dyDescent="0.25">
      <c r="R2147" s="75"/>
      <c r="S2147" s="75"/>
    </row>
    <row r="2148" spans="18:19" x14ac:dyDescent="0.25">
      <c r="R2148" s="75"/>
      <c r="S2148" s="75"/>
    </row>
    <row r="2149" spans="18:19" x14ac:dyDescent="0.25">
      <c r="R2149" s="75"/>
      <c r="S2149" s="75"/>
    </row>
    <row r="2150" spans="18:19" x14ac:dyDescent="0.25">
      <c r="R2150" s="75"/>
      <c r="S2150" s="75"/>
    </row>
    <row r="2151" spans="18:19" x14ac:dyDescent="0.25">
      <c r="R2151" s="75"/>
      <c r="S2151" s="75"/>
    </row>
    <row r="2152" spans="18:19" x14ac:dyDescent="0.25">
      <c r="R2152" s="75"/>
      <c r="S2152" s="75"/>
    </row>
    <row r="2153" spans="18:19" x14ac:dyDescent="0.25">
      <c r="R2153" s="75"/>
      <c r="S2153" s="75"/>
    </row>
    <row r="2154" spans="18:19" x14ac:dyDescent="0.25">
      <c r="R2154" s="75"/>
      <c r="S2154" s="75"/>
    </row>
    <row r="2155" spans="18:19" x14ac:dyDescent="0.25">
      <c r="R2155" s="75"/>
      <c r="S2155" s="75"/>
    </row>
    <row r="2156" spans="18:19" x14ac:dyDescent="0.25">
      <c r="R2156" s="75"/>
      <c r="S2156" s="75"/>
    </row>
    <row r="2157" spans="18:19" x14ac:dyDescent="0.25">
      <c r="R2157" s="75"/>
      <c r="S2157" s="75"/>
    </row>
    <row r="2158" spans="18:19" x14ac:dyDescent="0.25">
      <c r="R2158" s="75"/>
      <c r="S2158" s="75"/>
    </row>
    <row r="2159" spans="18:19" x14ac:dyDescent="0.25">
      <c r="R2159" s="75"/>
      <c r="S2159" s="75"/>
    </row>
    <row r="2160" spans="18:19" x14ac:dyDescent="0.25">
      <c r="R2160" s="75"/>
      <c r="S2160" s="75"/>
    </row>
    <row r="2161" spans="18:19" x14ac:dyDescent="0.25">
      <c r="R2161" s="75"/>
      <c r="S2161" s="75"/>
    </row>
    <row r="2162" spans="18:19" x14ac:dyDescent="0.25">
      <c r="R2162" s="75"/>
      <c r="S2162" s="75"/>
    </row>
    <row r="2163" spans="18:19" x14ac:dyDescent="0.25">
      <c r="R2163" s="75"/>
      <c r="S2163" s="75"/>
    </row>
    <row r="2164" spans="18:19" x14ac:dyDescent="0.25">
      <c r="R2164" s="75"/>
      <c r="S2164" s="75"/>
    </row>
    <row r="2165" spans="18:19" x14ac:dyDescent="0.25">
      <c r="R2165" s="75"/>
      <c r="S2165" s="75"/>
    </row>
    <row r="2166" spans="18:19" x14ac:dyDescent="0.25">
      <c r="R2166" s="75"/>
      <c r="S2166" s="75"/>
    </row>
    <row r="2167" spans="18:19" x14ac:dyDescent="0.25">
      <c r="R2167" s="75"/>
      <c r="S2167" s="75"/>
    </row>
    <row r="2168" spans="18:19" x14ac:dyDescent="0.25">
      <c r="R2168" s="75"/>
      <c r="S2168" s="75"/>
    </row>
    <row r="2169" spans="18:19" x14ac:dyDescent="0.25">
      <c r="R2169" s="75"/>
      <c r="S2169" s="75"/>
    </row>
    <row r="2170" spans="18:19" x14ac:dyDescent="0.25">
      <c r="R2170" s="75"/>
      <c r="S2170" s="75"/>
    </row>
    <row r="2171" spans="18:19" x14ac:dyDescent="0.25">
      <c r="R2171" s="75"/>
      <c r="S2171" s="75"/>
    </row>
    <row r="2172" spans="18:19" x14ac:dyDescent="0.25">
      <c r="R2172" s="75"/>
      <c r="S2172" s="75"/>
    </row>
    <row r="2173" spans="18:19" x14ac:dyDescent="0.25">
      <c r="R2173" s="75"/>
      <c r="S2173" s="75"/>
    </row>
    <row r="2174" spans="18:19" x14ac:dyDescent="0.25">
      <c r="R2174" s="75"/>
      <c r="S2174" s="75"/>
    </row>
    <row r="2175" spans="18:19" x14ac:dyDescent="0.25">
      <c r="R2175" s="75"/>
      <c r="S2175" s="75"/>
    </row>
    <row r="2176" spans="18:19" x14ac:dyDescent="0.25">
      <c r="R2176" s="75"/>
      <c r="S2176" s="75"/>
    </row>
    <row r="2177" spans="18:19" x14ac:dyDescent="0.25">
      <c r="R2177" s="75"/>
      <c r="S2177" s="75"/>
    </row>
    <row r="2178" spans="18:19" x14ac:dyDescent="0.25">
      <c r="R2178" s="75"/>
      <c r="S2178" s="75"/>
    </row>
    <row r="2179" spans="18:19" x14ac:dyDescent="0.25">
      <c r="R2179" s="75"/>
      <c r="S2179" s="75"/>
    </row>
    <row r="2180" spans="18:19" x14ac:dyDescent="0.25">
      <c r="R2180" s="75"/>
      <c r="S2180" s="75"/>
    </row>
    <row r="2181" spans="18:19" x14ac:dyDescent="0.25">
      <c r="R2181" s="75"/>
      <c r="S2181" s="75"/>
    </row>
    <row r="2182" spans="18:19" x14ac:dyDescent="0.25">
      <c r="R2182" s="75"/>
      <c r="S2182" s="75"/>
    </row>
    <row r="2183" spans="18:19" x14ac:dyDescent="0.25">
      <c r="R2183" s="75"/>
      <c r="S2183" s="75"/>
    </row>
    <row r="2184" spans="18:19" x14ac:dyDescent="0.25">
      <c r="R2184" s="75"/>
      <c r="S2184" s="75"/>
    </row>
    <row r="2185" spans="18:19" x14ac:dyDescent="0.25">
      <c r="R2185" s="75"/>
      <c r="S2185" s="75"/>
    </row>
    <row r="2186" spans="18:19" x14ac:dyDescent="0.25">
      <c r="R2186" s="75"/>
      <c r="S2186" s="75"/>
    </row>
    <row r="2187" spans="18:19" x14ac:dyDescent="0.25">
      <c r="R2187" s="75"/>
      <c r="S2187" s="75"/>
    </row>
    <row r="2188" spans="18:19" x14ac:dyDescent="0.25">
      <c r="R2188" s="75"/>
      <c r="S2188" s="75"/>
    </row>
    <row r="2189" spans="18:19" x14ac:dyDescent="0.25">
      <c r="R2189" s="75"/>
      <c r="S2189" s="75"/>
    </row>
    <row r="2190" spans="18:19" x14ac:dyDescent="0.25">
      <c r="R2190" s="75"/>
      <c r="S2190" s="75"/>
    </row>
    <row r="2191" spans="18:19" x14ac:dyDescent="0.25">
      <c r="R2191" s="75"/>
      <c r="S2191" s="75"/>
    </row>
    <row r="2192" spans="18:19" x14ac:dyDescent="0.25">
      <c r="R2192" s="75"/>
      <c r="S2192" s="75"/>
    </row>
    <row r="2193" spans="18:19" x14ac:dyDescent="0.25">
      <c r="R2193" s="75"/>
      <c r="S2193" s="75"/>
    </row>
    <row r="2194" spans="18:19" x14ac:dyDescent="0.25">
      <c r="R2194" s="75"/>
      <c r="S2194" s="75"/>
    </row>
    <row r="2195" spans="18:19" x14ac:dyDescent="0.25">
      <c r="R2195" s="75"/>
      <c r="S2195" s="75"/>
    </row>
    <row r="2196" spans="18:19" x14ac:dyDescent="0.25">
      <c r="R2196" s="75"/>
      <c r="S2196" s="75"/>
    </row>
    <row r="2197" spans="18:19" x14ac:dyDescent="0.25">
      <c r="R2197" s="75"/>
      <c r="S2197" s="75"/>
    </row>
    <row r="2198" spans="18:19" x14ac:dyDescent="0.25">
      <c r="R2198" s="75"/>
      <c r="S2198" s="75"/>
    </row>
    <row r="2199" spans="18:19" x14ac:dyDescent="0.25">
      <c r="R2199" s="75"/>
      <c r="S2199" s="75"/>
    </row>
    <row r="2200" spans="18:19" x14ac:dyDescent="0.25">
      <c r="R2200" s="75"/>
      <c r="S2200" s="75"/>
    </row>
    <row r="2201" spans="18:19" x14ac:dyDescent="0.25">
      <c r="R2201" s="75"/>
      <c r="S2201" s="75"/>
    </row>
    <row r="2202" spans="18:19" x14ac:dyDescent="0.25">
      <c r="R2202" s="75"/>
      <c r="S2202" s="75"/>
    </row>
    <row r="2203" spans="18:19" x14ac:dyDescent="0.25">
      <c r="R2203" s="75"/>
      <c r="S2203" s="75"/>
    </row>
    <row r="2204" spans="18:19" x14ac:dyDescent="0.25">
      <c r="R2204" s="75"/>
      <c r="S2204" s="75"/>
    </row>
    <row r="2205" spans="18:19" x14ac:dyDescent="0.25">
      <c r="R2205" s="75"/>
      <c r="S2205" s="75"/>
    </row>
    <row r="2206" spans="18:19" x14ac:dyDescent="0.25">
      <c r="R2206" s="75"/>
      <c r="S2206" s="75"/>
    </row>
    <row r="2207" spans="18:19" x14ac:dyDescent="0.25">
      <c r="R2207" s="75"/>
      <c r="S2207" s="75"/>
    </row>
    <row r="2208" spans="18:19" x14ac:dyDescent="0.25">
      <c r="R2208" s="75"/>
      <c r="S2208" s="75"/>
    </row>
    <row r="2209" spans="18:19" x14ac:dyDescent="0.25">
      <c r="R2209" s="75"/>
      <c r="S2209" s="75"/>
    </row>
    <row r="2210" spans="18:19" x14ac:dyDescent="0.25">
      <c r="R2210" s="75"/>
      <c r="S2210" s="75"/>
    </row>
    <row r="2211" spans="18:19" x14ac:dyDescent="0.25">
      <c r="R2211" s="75"/>
      <c r="S2211" s="75"/>
    </row>
    <row r="2212" spans="18:19" x14ac:dyDescent="0.25">
      <c r="R2212" s="75"/>
      <c r="S2212" s="75"/>
    </row>
    <row r="2213" spans="18:19" x14ac:dyDescent="0.25">
      <c r="R2213" s="75"/>
      <c r="S2213" s="75"/>
    </row>
    <row r="2214" spans="18:19" x14ac:dyDescent="0.25">
      <c r="R2214" s="75"/>
      <c r="S2214" s="75"/>
    </row>
    <row r="2215" spans="18:19" x14ac:dyDescent="0.25">
      <c r="R2215" s="75"/>
      <c r="S2215" s="75"/>
    </row>
    <row r="2216" spans="18:19" x14ac:dyDescent="0.25">
      <c r="R2216" s="75"/>
      <c r="S2216" s="75"/>
    </row>
    <row r="2217" spans="18:19" x14ac:dyDescent="0.25">
      <c r="R2217" s="75"/>
      <c r="S2217" s="75"/>
    </row>
    <row r="2218" spans="18:19" x14ac:dyDescent="0.25">
      <c r="R2218" s="75"/>
      <c r="S2218" s="75"/>
    </row>
    <row r="2219" spans="18:19" x14ac:dyDescent="0.25">
      <c r="R2219" s="75"/>
      <c r="S2219" s="75"/>
    </row>
    <row r="2220" spans="18:19" x14ac:dyDescent="0.25">
      <c r="R2220" s="75"/>
      <c r="S2220" s="75"/>
    </row>
    <row r="2221" spans="18:19" x14ac:dyDescent="0.25">
      <c r="R2221" s="75"/>
      <c r="S2221" s="75"/>
    </row>
    <row r="2222" spans="18:19" x14ac:dyDescent="0.25">
      <c r="R2222" s="75"/>
      <c r="S2222" s="75"/>
    </row>
    <row r="2223" spans="18:19" x14ac:dyDescent="0.25">
      <c r="R2223" s="75"/>
      <c r="S2223" s="75"/>
    </row>
    <row r="2224" spans="18:19" x14ac:dyDescent="0.25">
      <c r="R2224" s="75"/>
      <c r="S2224" s="75"/>
    </row>
    <row r="2225" spans="18:19" x14ac:dyDescent="0.25">
      <c r="R2225" s="75"/>
      <c r="S2225" s="75"/>
    </row>
    <row r="2226" spans="18:19" x14ac:dyDescent="0.25">
      <c r="R2226" s="75"/>
      <c r="S2226" s="75"/>
    </row>
    <row r="2227" spans="18:19" x14ac:dyDescent="0.25">
      <c r="R2227" s="75"/>
      <c r="S2227" s="75"/>
    </row>
    <row r="2228" spans="18:19" x14ac:dyDescent="0.25">
      <c r="R2228" s="75"/>
      <c r="S2228" s="75"/>
    </row>
    <row r="2229" spans="18:19" x14ac:dyDescent="0.25">
      <c r="R2229" s="75"/>
      <c r="S2229" s="75"/>
    </row>
    <row r="2230" spans="18:19" x14ac:dyDescent="0.25">
      <c r="R2230" s="75"/>
      <c r="S2230" s="75"/>
    </row>
    <row r="2231" spans="18:19" x14ac:dyDescent="0.25">
      <c r="R2231" s="75"/>
      <c r="S2231" s="75"/>
    </row>
    <row r="2232" spans="18:19" x14ac:dyDescent="0.25">
      <c r="R2232" s="75"/>
      <c r="S2232" s="75"/>
    </row>
    <row r="2233" spans="18:19" x14ac:dyDescent="0.25">
      <c r="R2233" s="75"/>
      <c r="S2233" s="75"/>
    </row>
    <row r="2234" spans="18:19" x14ac:dyDescent="0.25">
      <c r="R2234" s="75"/>
      <c r="S2234" s="75"/>
    </row>
    <row r="2235" spans="18:19" x14ac:dyDescent="0.25">
      <c r="R2235" s="75"/>
      <c r="S2235" s="75"/>
    </row>
    <row r="2236" spans="18:19" x14ac:dyDescent="0.25">
      <c r="R2236" s="75"/>
      <c r="S2236" s="75"/>
    </row>
    <row r="2237" spans="18:19" x14ac:dyDescent="0.25">
      <c r="R2237" s="75"/>
      <c r="S2237" s="75"/>
    </row>
    <row r="2238" spans="18:19" x14ac:dyDescent="0.25">
      <c r="R2238" s="75"/>
      <c r="S2238" s="75"/>
    </row>
    <row r="2239" spans="18:19" x14ac:dyDescent="0.25">
      <c r="R2239" s="75"/>
      <c r="S2239" s="75"/>
    </row>
    <row r="2240" spans="18:19" x14ac:dyDescent="0.25">
      <c r="R2240" s="75"/>
      <c r="S2240" s="75"/>
    </row>
    <row r="2241" spans="18:19" x14ac:dyDescent="0.25">
      <c r="R2241" s="75"/>
      <c r="S2241" s="75"/>
    </row>
    <row r="2242" spans="18:19" x14ac:dyDescent="0.25">
      <c r="R2242" s="75"/>
      <c r="S2242" s="75"/>
    </row>
    <row r="2243" spans="18:19" x14ac:dyDescent="0.25">
      <c r="R2243" s="75"/>
      <c r="S2243" s="75"/>
    </row>
    <row r="2244" spans="18:19" x14ac:dyDescent="0.25">
      <c r="R2244" s="75"/>
      <c r="S2244" s="75"/>
    </row>
    <row r="2245" spans="18:19" x14ac:dyDescent="0.25">
      <c r="R2245" s="75"/>
      <c r="S2245" s="75"/>
    </row>
    <row r="2246" spans="18:19" x14ac:dyDescent="0.25">
      <c r="R2246" s="75"/>
      <c r="S2246" s="75"/>
    </row>
    <row r="2247" spans="18:19" x14ac:dyDescent="0.25">
      <c r="R2247" s="75"/>
      <c r="S2247" s="75"/>
    </row>
    <row r="2248" spans="18:19" x14ac:dyDescent="0.25">
      <c r="R2248" s="75"/>
      <c r="S2248" s="75"/>
    </row>
    <row r="2249" spans="18:19" x14ac:dyDescent="0.25">
      <c r="R2249" s="75"/>
      <c r="S2249" s="75"/>
    </row>
    <row r="2250" spans="18:19" x14ac:dyDescent="0.25">
      <c r="R2250" s="75"/>
      <c r="S2250" s="75"/>
    </row>
    <row r="2251" spans="18:19" x14ac:dyDescent="0.25">
      <c r="R2251" s="75"/>
      <c r="S2251" s="75"/>
    </row>
    <row r="2252" spans="18:19" x14ac:dyDescent="0.25">
      <c r="R2252" s="75"/>
      <c r="S2252" s="75"/>
    </row>
    <row r="2253" spans="18:19" x14ac:dyDescent="0.25">
      <c r="R2253" s="75"/>
      <c r="S2253" s="75"/>
    </row>
    <row r="2254" spans="18:19" x14ac:dyDescent="0.25">
      <c r="R2254" s="75"/>
      <c r="S2254" s="75"/>
    </row>
    <row r="2255" spans="18:19" x14ac:dyDescent="0.25">
      <c r="R2255" s="75"/>
      <c r="S2255" s="75"/>
    </row>
    <row r="2256" spans="18:19" x14ac:dyDescent="0.25">
      <c r="R2256" s="75"/>
      <c r="S2256" s="75"/>
    </row>
    <row r="2257" spans="18:19" x14ac:dyDescent="0.25">
      <c r="R2257" s="75"/>
      <c r="S2257" s="75"/>
    </row>
    <row r="2258" spans="18:19" x14ac:dyDescent="0.25">
      <c r="R2258" s="75"/>
      <c r="S2258" s="75"/>
    </row>
    <row r="2259" spans="18:19" x14ac:dyDescent="0.25">
      <c r="R2259" s="75"/>
      <c r="S2259" s="75"/>
    </row>
    <row r="2260" spans="18:19" x14ac:dyDescent="0.25">
      <c r="R2260" s="75"/>
      <c r="S2260" s="75"/>
    </row>
    <row r="2261" spans="18:19" x14ac:dyDescent="0.25">
      <c r="R2261" s="75"/>
      <c r="S2261" s="75"/>
    </row>
    <row r="2262" spans="18:19" x14ac:dyDescent="0.25">
      <c r="R2262" s="75"/>
      <c r="S2262" s="75"/>
    </row>
    <row r="2263" spans="18:19" x14ac:dyDescent="0.25">
      <c r="R2263" s="75"/>
      <c r="S2263" s="75"/>
    </row>
    <row r="2264" spans="18:19" x14ac:dyDescent="0.25">
      <c r="R2264" s="75"/>
      <c r="S2264" s="75"/>
    </row>
    <row r="2265" spans="18:19" x14ac:dyDescent="0.25">
      <c r="R2265" s="75"/>
      <c r="S2265" s="75"/>
    </row>
    <row r="2266" spans="18:19" x14ac:dyDescent="0.25">
      <c r="R2266" s="75"/>
      <c r="S2266" s="75"/>
    </row>
    <row r="2267" spans="18:19" x14ac:dyDescent="0.25">
      <c r="R2267" s="75"/>
      <c r="S2267" s="75"/>
    </row>
    <row r="2268" spans="18:19" x14ac:dyDescent="0.25">
      <c r="R2268" s="75"/>
      <c r="S2268" s="75"/>
    </row>
    <row r="2269" spans="18:19" x14ac:dyDescent="0.25">
      <c r="R2269" s="75"/>
      <c r="S2269" s="75"/>
    </row>
    <row r="2270" spans="18:19" x14ac:dyDescent="0.25">
      <c r="R2270" s="75"/>
      <c r="S2270" s="75"/>
    </row>
    <row r="2271" spans="18:19" x14ac:dyDescent="0.25">
      <c r="R2271" s="75"/>
      <c r="S2271" s="75"/>
    </row>
    <row r="2272" spans="18:19" x14ac:dyDescent="0.25">
      <c r="R2272" s="75"/>
      <c r="S2272" s="75"/>
    </row>
    <row r="2273" spans="18:19" x14ac:dyDescent="0.25">
      <c r="R2273" s="75"/>
      <c r="S2273" s="75"/>
    </row>
    <row r="2274" spans="18:19" x14ac:dyDescent="0.25">
      <c r="R2274" s="75"/>
      <c r="S2274" s="75"/>
    </row>
    <row r="2275" spans="18:19" x14ac:dyDescent="0.25">
      <c r="R2275" s="75"/>
      <c r="S2275" s="75"/>
    </row>
    <row r="2276" spans="18:19" x14ac:dyDescent="0.25">
      <c r="R2276" s="75"/>
      <c r="S2276" s="75"/>
    </row>
    <row r="2277" spans="18:19" x14ac:dyDescent="0.25">
      <c r="R2277" s="75"/>
      <c r="S2277" s="75"/>
    </row>
    <row r="2278" spans="18:19" x14ac:dyDescent="0.25">
      <c r="R2278" s="75"/>
      <c r="S2278" s="75"/>
    </row>
    <row r="2279" spans="18:19" x14ac:dyDescent="0.25">
      <c r="R2279" s="75"/>
      <c r="S2279" s="75"/>
    </row>
    <row r="2280" spans="18:19" x14ac:dyDescent="0.25">
      <c r="R2280" s="75"/>
      <c r="S2280" s="75"/>
    </row>
    <row r="2281" spans="18:19" x14ac:dyDescent="0.25">
      <c r="R2281" s="75"/>
      <c r="S2281" s="75"/>
    </row>
    <row r="2282" spans="18:19" x14ac:dyDescent="0.25">
      <c r="R2282" s="75"/>
      <c r="S2282" s="75"/>
    </row>
    <row r="2283" spans="18:19" x14ac:dyDescent="0.25">
      <c r="R2283" s="75"/>
      <c r="S2283" s="75"/>
    </row>
    <row r="2284" spans="18:19" x14ac:dyDescent="0.25">
      <c r="R2284" s="75"/>
      <c r="S2284" s="75"/>
    </row>
    <row r="2285" spans="18:19" x14ac:dyDescent="0.25">
      <c r="R2285" s="75"/>
      <c r="S2285" s="75"/>
    </row>
    <row r="2286" spans="18:19" x14ac:dyDescent="0.25">
      <c r="R2286" s="75"/>
      <c r="S2286" s="75"/>
    </row>
    <row r="2287" spans="18:19" x14ac:dyDescent="0.25">
      <c r="R2287" s="75"/>
      <c r="S2287" s="75"/>
    </row>
    <row r="2288" spans="18:19" x14ac:dyDescent="0.25">
      <c r="R2288" s="75"/>
      <c r="S2288" s="75"/>
    </row>
    <row r="2289" spans="18:19" x14ac:dyDescent="0.25">
      <c r="R2289" s="75"/>
      <c r="S2289" s="75"/>
    </row>
    <row r="2290" spans="18:19" x14ac:dyDescent="0.25">
      <c r="R2290" s="75"/>
      <c r="S2290" s="75"/>
    </row>
    <row r="2291" spans="18:19" x14ac:dyDescent="0.25">
      <c r="R2291" s="75"/>
      <c r="S2291" s="75"/>
    </row>
    <row r="2292" spans="18:19" x14ac:dyDescent="0.25">
      <c r="R2292" s="75"/>
      <c r="S2292" s="75"/>
    </row>
    <row r="2293" spans="18:19" x14ac:dyDescent="0.25">
      <c r="R2293" s="75"/>
      <c r="S2293" s="75"/>
    </row>
    <row r="2294" spans="18:19" x14ac:dyDescent="0.25">
      <c r="R2294" s="75"/>
      <c r="S2294" s="75"/>
    </row>
    <row r="2295" spans="18:19" x14ac:dyDescent="0.25">
      <c r="R2295" s="75"/>
      <c r="S2295" s="75"/>
    </row>
    <row r="2296" spans="18:19" x14ac:dyDescent="0.25">
      <c r="R2296" s="75"/>
      <c r="S2296" s="75"/>
    </row>
    <row r="2297" spans="18:19" x14ac:dyDescent="0.25">
      <c r="R2297" s="75"/>
      <c r="S2297" s="75"/>
    </row>
    <row r="2298" spans="18:19" x14ac:dyDescent="0.25">
      <c r="R2298" s="75"/>
      <c r="S2298" s="75"/>
    </row>
    <row r="2299" spans="18:19" x14ac:dyDescent="0.25">
      <c r="R2299" s="75"/>
      <c r="S2299" s="75"/>
    </row>
    <row r="2300" spans="18:19" x14ac:dyDescent="0.25">
      <c r="R2300" s="75"/>
      <c r="S2300" s="75"/>
    </row>
    <row r="2301" spans="18:19" x14ac:dyDescent="0.25">
      <c r="R2301" s="75"/>
      <c r="S2301" s="75"/>
    </row>
    <row r="2302" spans="18:19" x14ac:dyDescent="0.25">
      <c r="R2302" s="75"/>
      <c r="S2302" s="75"/>
    </row>
    <row r="2303" spans="18:19" x14ac:dyDescent="0.25">
      <c r="R2303" s="75"/>
      <c r="S2303" s="75"/>
    </row>
    <row r="2304" spans="18:19" x14ac:dyDescent="0.25">
      <c r="R2304" s="75"/>
      <c r="S2304" s="75"/>
    </row>
    <row r="2305" spans="18:19" x14ac:dyDescent="0.25">
      <c r="R2305" s="75"/>
      <c r="S2305" s="75"/>
    </row>
    <row r="2306" spans="18:19" x14ac:dyDescent="0.25">
      <c r="R2306" s="75"/>
      <c r="S2306" s="75"/>
    </row>
    <row r="2307" spans="18:19" x14ac:dyDescent="0.25">
      <c r="R2307" s="75"/>
      <c r="S2307" s="75"/>
    </row>
    <row r="2308" spans="18:19" x14ac:dyDescent="0.25">
      <c r="R2308" s="75"/>
      <c r="S2308" s="75"/>
    </row>
    <row r="2309" spans="18:19" x14ac:dyDescent="0.25">
      <c r="R2309" s="75"/>
      <c r="S2309" s="75"/>
    </row>
    <row r="2310" spans="18:19" x14ac:dyDescent="0.25">
      <c r="R2310" s="75"/>
      <c r="S2310" s="75"/>
    </row>
    <row r="2311" spans="18:19" x14ac:dyDescent="0.25">
      <c r="R2311" s="75"/>
      <c r="S2311" s="75"/>
    </row>
    <row r="2312" spans="18:19" x14ac:dyDescent="0.25">
      <c r="R2312" s="75"/>
      <c r="S2312" s="75"/>
    </row>
    <row r="2313" spans="18:19" x14ac:dyDescent="0.25">
      <c r="R2313" s="75"/>
      <c r="S2313" s="75"/>
    </row>
    <row r="2314" spans="18:19" x14ac:dyDescent="0.25">
      <c r="R2314" s="75"/>
      <c r="S2314" s="75"/>
    </row>
    <row r="2315" spans="18:19" x14ac:dyDescent="0.25">
      <c r="R2315" s="75"/>
      <c r="S2315" s="75"/>
    </row>
    <row r="2316" spans="18:19" x14ac:dyDescent="0.25">
      <c r="R2316" s="75"/>
      <c r="S2316" s="75"/>
    </row>
    <row r="2317" spans="18:19" x14ac:dyDescent="0.25">
      <c r="R2317" s="75"/>
      <c r="S2317" s="75"/>
    </row>
    <row r="2318" spans="18:19" x14ac:dyDescent="0.25">
      <c r="R2318" s="75"/>
      <c r="S2318" s="75"/>
    </row>
    <row r="2319" spans="18:19" x14ac:dyDescent="0.25">
      <c r="R2319" s="75"/>
      <c r="S2319" s="75"/>
    </row>
    <row r="2320" spans="18:19" x14ac:dyDescent="0.25">
      <c r="R2320" s="75"/>
      <c r="S2320" s="75"/>
    </row>
    <row r="2321" spans="18:19" x14ac:dyDescent="0.25">
      <c r="R2321" s="75"/>
      <c r="S2321" s="75"/>
    </row>
    <row r="2322" spans="18:19" x14ac:dyDescent="0.25">
      <c r="R2322" s="75"/>
      <c r="S2322" s="75"/>
    </row>
    <row r="2323" spans="18:19" x14ac:dyDescent="0.25">
      <c r="R2323" s="75"/>
      <c r="S2323" s="75"/>
    </row>
    <row r="2324" spans="18:19" x14ac:dyDescent="0.25">
      <c r="R2324" s="75"/>
      <c r="S2324" s="75"/>
    </row>
    <row r="2325" spans="18:19" x14ac:dyDescent="0.25">
      <c r="R2325" s="75"/>
      <c r="S2325" s="75"/>
    </row>
    <row r="2326" spans="18:19" x14ac:dyDescent="0.25">
      <c r="R2326" s="75"/>
      <c r="S2326" s="75"/>
    </row>
    <row r="2327" spans="18:19" x14ac:dyDescent="0.25">
      <c r="R2327" s="75"/>
      <c r="S2327" s="75"/>
    </row>
    <row r="2328" spans="18:19" x14ac:dyDescent="0.25">
      <c r="R2328" s="75"/>
      <c r="S2328" s="75"/>
    </row>
    <row r="2329" spans="18:19" x14ac:dyDescent="0.25">
      <c r="R2329" s="75"/>
      <c r="S2329" s="75"/>
    </row>
    <row r="2330" spans="18:19" x14ac:dyDescent="0.25">
      <c r="R2330" s="75"/>
      <c r="S2330" s="75"/>
    </row>
    <row r="2331" spans="18:19" x14ac:dyDescent="0.25">
      <c r="R2331" s="75"/>
      <c r="S2331" s="75"/>
    </row>
    <row r="2332" spans="18:19" x14ac:dyDescent="0.25">
      <c r="R2332" s="75"/>
      <c r="S2332" s="75"/>
    </row>
    <row r="2333" spans="18:19" x14ac:dyDescent="0.25">
      <c r="R2333" s="75"/>
      <c r="S2333" s="75"/>
    </row>
    <row r="2334" spans="18:19" x14ac:dyDescent="0.25">
      <c r="R2334" s="75"/>
      <c r="S2334" s="75"/>
    </row>
    <row r="2335" spans="18:19" x14ac:dyDescent="0.25">
      <c r="R2335" s="75"/>
      <c r="S2335" s="75"/>
    </row>
    <row r="2336" spans="18:19" x14ac:dyDescent="0.25">
      <c r="R2336" s="75"/>
      <c r="S2336" s="75"/>
    </row>
    <row r="2337" spans="18:19" x14ac:dyDescent="0.25">
      <c r="R2337" s="75"/>
      <c r="S2337" s="75"/>
    </row>
    <row r="2338" spans="18:19" x14ac:dyDescent="0.25">
      <c r="R2338" s="75"/>
      <c r="S2338" s="75"/>
    </row>
    <row r="2339" spans="18:19" x14ac:dyDescent="0.25">
      <c r="R2339" s="75"/>
      <c r="S2339" s="75"/>
    </row>
    <row r="2340" spans="18:19" x14ac:dyDescent="0.25">
      <c r="R2340" s="75"/>
      <c r="S2340" s="75"/>
    </row>
    <row r="2341" spans="18:19" x14ac:dyDescent="0.25">
      <c r="R2341" s="75"/>
      <c r="S2341" s="75"/>
    </row>
    <row r="2342" spans="18:19" x14ac:dyDescent="0.25">
      <c r="R2342" s="75"/>
      <c r="S2342" s="75"/>
    </row>
    <row r="2343" spans="18:19" x14ac:dyDescent="0.25">
      <c r="R2343" s="75"/>
      <c r="S2343" s="75"/>
    </row>
    <row r="2344" spans="18:19" x14ac:dyDescent="0.25">
      <c r="R2344" s="75"/>
      <c r="S2344" s="75"/>
    </row>
    <row r="2345" spans="18:19" x14ac:dyDescent="0.25">
      <c r="R2345" s="75"/>
      <c r="S2345" s="75"/>
    </row>
    <row r="2346" spans="18:19" x14ac:dyDescent="0.25">
      <c r="R2346" s="75"/>
      <c r="S2346" s="75"/>
    </row>
    <row r="2347" spans="18:19" x14ac:dyDescent="0.25">
      <c r="R2347" s="75"/>
      <c r="S2347" s="75"/>
    </row>
    <row r="2348" spans="18:19" x14ac:dyDescent="0.25">
      <c r="R2348" s="75"/>
      <c r="S2348" s="75"/>
    </row>
    <row r="2349" spans="18:19" x14ac:dyDescent="0.25">
      <c r="R2349" s="75"/>
      <c r="S2349" s="75"/>
    </row>
    <row r="2350" spans="18:19" x14ac:dyDescent="0.25">
      <c r="R2350" s="75"/>
      <c r="S2350" s="75"/>
    </row>
    <row r="2351" spans="18:19" x14ac:dyDescent="0.25">
      <c r="R2351" s="75"/>
      <c r="S2351" s="75"/>
    </row>
    <row r="2352" spans="18:19" x14ac:dyDescent="0.25">
      <c r="R2352" s="75"/>
      <c r="S2352" s="75"/>
    </row>
    <row r="2353" spans="18:19" x14ac:dyDescent="0.25">
      <c r="R2353" s="75"/>
      <c r="S2353" s="75"/>
    </row>
    <row r="2354" spans="18:19" x14ac:dyDescent="0.25">
      <c r="R2354" s="75"/>
      <c r="S2354" s="75"/>
    </row>
    <row r="2355" spans="18:19" x14ac:dyDescent="0.25">
      <c r="R2355" s="75"/>
      <c r="S2355" s="75"/>
    </row>
    <row r="2356" spans="18:19" x14ac:dyDescent="0.25">
      <c r="R2356" s="75"/>
      <c r="S2356" s="75"/>
    </row>
    <row r="2357" spans="18:19" x14ac:dyDescent="0.25">
      <c r="R2357" s="75"/>
      <c r="S2357" s="75"/>
    </row>
    <row r="2358" spans="18:19" x14ac:dyDescent="0.25">
      <c r="R2358" s="75"/>
      <c r="S2358" s="75"/>
    </row>
    <row r="2359" spans="18:19" x14ac:dyDescent="0.25">
      <c r="R2359" s="75"/>
      <c r="S2359" s="75"/>
    </row>
    <row r="2360" spans="18:19" x14ac:dyDescent="0.25">
      <c r="R2360" s="75"/>
      <c r="S2360" s="75"/>
    </row>
    <row r="2361" spans="18:19" x14ac:dyDescent="0.25">
      <c r="R2361" s="75"/>
      <c r="S2361" s="75"/>
    </row>
    <row r="2362" spans="18:19" x14ac:dyDescent="0.25">
      <c r="R2362" s="75"/>
      <c r="S2362" s="75"/>
    </row>
    <row r="2363" spans="18:19" x14ac:dyDescent="0.25">
      <c r="R2363" s="75"/>
      <c r="S2363" s="75"/>
    </row>
    <row r="2364" spans="18:19" x14ac:dyDescent="0.25">
      <c r="R2364" s="75"/>
      <c r="S2364" s="75"/>
    </row>
    <row r="2365" spans="18:19" x14ac:dyDescent="0.25">
      <c r="R2365" s="75"/>
      <c r="S2365" s="75"/>
    </row>
    <row r="2366" spans="18:19" x14ac:dyDescent="0.25">
      <c r="R2366" s="75"/>
      <c r="S2366" s="75"/>
    </row>
    <row r="2367" spans="18:19" x14ac:dyDescent="0.25">
      <c r="R2367" s="75"/>
      <c r="S2367" s="75"/>
    </row>
    <row r="2368" spans="18:19" x14ac:dyDescent="0.25">
      <c r="R2368" s="75"/>
      <c r="S2368" s="75"/>
    </row>
    <row r="2369" spans="18:19" x14ac:dyDescent="0.25">
      <c r="R2369" s="75"/>
      <c r="S2369" s="75"/>
    </row>
    <row r="2370" spans="18:19" x14ac:dyDescent="0.25">
      <c r="R2370" s="75"/>
      <c r="S2370" s="75"/>
    </row>
    <row r="2371" spans="18:19" x14ac:dyDescent="0.25">
      <c r="R2371" s="75"/>
      <c r="S2371" s="75"/>
    </row>
    <row r="2372" spans="18:19" x14ac:dyDescent="0.25">
      <c r="R2372" s="75"/>
      <c r="S2372" s="75"/>
    </row>
    <row r="2373" spans="18:19" x14ac:dyDescent="0.25">
      <c r="R2373" s="75"/>
      <c r="S2373" s="75"/>
    </row>
    <row r="2374" spans="18:19" x14ac:dyDescent="0.25">
      <c r="R2374" s="75"/>
      <c r="S2374" s="75"/>
    </row>
    <row r="2375" spans="18:19" x14ac:dyDescent="0.25">
      <c r="R2375" s="75"/>
      <c r="S2375" s="75"/>
    </row>
    <row r="2376" spans="18:19" x14ac:dyDescent="0.25">
      <c r="R2376" s="75"/>
      <c r="S2376" s="75"/>
    </row>
    <row r="2377" spans="18:19" x14ac:dyDescent="0.25">
      <c r="R2377" s="75"/>
      <c r="S2377" s="75"/>
    </row>
    <row r="2378" spans="18:19" x14ac:dyDescent="0.25">
      <c r="R2378" s="75"/>
      <c r="S2378" s="75"/>
    </row>
    <row r="2379" spans="18:19" x14ac:dyDescent="0.25">
      <c r="R2379" s="75"/>
      <c r="S2379" s="75"/>
    </row>
    <row r="2380" spans="18:19" x14ac:dyDescent="0.25">
      <c r="R2380" s="75"/>
      <c r="S2380" s="75"/>
    </row>
    <row r="2381" spans="18:19" x14ac:dyDescent="0.25">
      <c r="R2381" s="75"/>
      <c r="S2381" s="75"/>
    </row>
    <row r="2382" spans="18:19" x14ac:dyDescent="0.25">
      <c r="R2382" s="75"/>
      <c r="S2382" s="75"/>
    </row>
    <row r="2383" spans="18:19" x14ac:dyDescent="0.25">
      <c r="R2383" s="75"/>
      <c r="S2383" s="75"/>
    </row>
    <row r="2384" spans="18:19" x14ac:dyDescent="0.25">
      <c r="R2384" s="75"/>
      <c r="S2384" s="75"/>
    </row>
    <row r="2385" spans="18:19" x14ac:dyDescent="0.25">
      <c r="R2385" s="75"/>
      <c r="S2385" s="75"/>
    </row>
    <row r="2386" spans="18:19" x14ac:dyDescent="0.25">
      <c r="R2386" s="75"/>
      <c r="S2386" s="75"/>
    </row>
    <row r="2387" spans="18:19" x14ac:dyDescent="0.25">
      <c r="R2387" s="75"/>
      <c r="S2387" s="75"/>
    </row>
    <row r="2388" spans="18:19" x14ac:dyDescent="0.25">
      <c r="R2388" s="75"/>
      <c r="S2388" s="75"/>
    </row>
    <row r="2389" spans="18:19" x14ac:dyDescent="0.25">
      <c r="R2389" s="75"/>
      <c r="S2389" s="75"/>
    </row>
    <row r="2390" spans="18:19" x14ac:dyDescent="0.25">
      <c r="R2390" s="75"/>
      <c r="S2390" s="75"/>
    </row>
    <row r="2391" spans="18:19" x14ac:dyDescent="0.25">
      <c r="R2391" s="75"/>
      <c r="S2391" s="75"/>
    </row>
    <row r="2392" spans="18:19" x14ac:dyDescent="0.25">
      <c r="R2392" s="75"/>
      <c r="S2392" s="75"/>
    </row>
    <row r="2393" spans="18:19" x14ac:dyDescent="0.25">
      <c r="R2393" s="75"/>
      <c r="S2393" s="75"/>
    </row>
    <row r="2394" spans="18:19" x14ac:dyDescent="0.25">
      <c r="R2394" s="75"/>
      <c r="S2394" s="75"/>
    </row>
    <row r="2395" spans="18:19" x14ac:dyDescent="0.25">
      <c r="R2395" s="75"/>
      <c r="S2395" s="75"/>
    </row>
    <row r="2396" spans="18:19" x14ac:dyDescent="0.25">
      <c r="R2396" s="75"/>
      <c r="S2396" s="75"/>
    </row>
    <row r="2397" spans="18:19" x14ac:dyDescent="0.25">
      <c r="R2397" s="75"/>
      <c r="S2397" s="75"/>
    </row>
    <row r="2398" spans="18:19" x14ac:dyDescent="0.25">
      <c r="R2398" s="75"/>
      <c r="S2398" s="75"/>
    </row>
    <row r="2399" spans="18:19" x14ac:dyDescent="0.25">
      <c r="R2399" s="75"/>
      <c r="S2399" s="75"/>
    </row>
    <row r="2400" spans="18:19" x14ac:dyDescent="0.25">
      <c r="R2400" s="75"/>
      <c r="S2400" s="75"/>
    </row>
    <row r="2401" spans="18:19" x14ac:dyDescent="0.25">
      <c r="R2401" s="75"/>
      <c r="S2401" s="75"/>
    </row>
    <row r="2402" spans="18:19" x14ac:dyDescent="0.25">
      <c r="R2402" s="75"/>
      <c r="S2402" s="75"/>
    </row>
    <row r="2403" spans="18:19" x14ac:dyDescent="0.25">
      <c r="R2403" s="75"/>
      <c r="S2403" s="75"/>
    </row>
    <row r="2404" spans="18:19" x14ac:dyDescent="0.25">
      <c r="R2404" s="75"/>
      <c r="S2404" s="75"/>
    </row>
    <row r="2405" spans="18:19" x14ac:dyDescent="0.25">
      <c r="R2405" s="75"/>
      <c r="S2405" s="75"/>
    </row>
    <row r="2406" spans="18:19" x14ac:dyDescent="0.25">
      <c r="R2406" s="75"/>
      <c r="S2406" s="75"/>
    </row>
    <row r="2407" spans="18:19" x14ac:dyDescent="0.25">
      <c r="R2407" s="75"/>
      <c r="S2407" s="75"/>
    </row>
    <row r="2408" spans="18:19" x14ac:dyDescent="0.25">
      <c r="R2408" s="75"/>
      <c r="S2408" s="75"/>
    </row>
    <row r="2409" spans="18:19" x14ac:dyDescent="0.25">
      <c r="R2409" s="75"/>
      <c r="S2409" s="75"/>
    </row>
    <row r="2410" spans="18:19" x14ac:dyDescent="0.25">
      <c r="R2410" s="75"/>
      <c r="S2410" s="75"/>
    </row>
    <row r="2411" spans="18:19" x14ac:dyDescent="0.25">
      <c r="R2411" s="75"/>
      <c r="S2411" s="75"/>
    </row>
    <row r="2412" spans="18:19" x14ac:dyDescent="0.25">
      <c r="R2412" s="75"/>
      <c r="S2412" s="75"/>
    </row>
    <row r="2413" spans="18:19" x14ac:dyDescent="0.25">
      <c r="R2413" s="75"/>
      <c r="S2413" s="75"/>
    </row>
    <row r="2414" spans="18:19" x14ac:dyDescent="0.25">
      <c r="R2414" s="75"/>
      <c r="S2414" s="75"/>
    </row>
    <row r="2415" spans="18:19" x14ac:dyDescent="0.25">
      <c r="R2415" s="75"/>
      <c r="S2415" s="75"/>
    </row>
    <row r="2416" spans="18:19" x14ac:dyDescent="0.25">
      <c r="R2416" s="75"/>
      <c r="S2416" s="75"/>
    </row>
    <row r="2417" spans="18:19" x14ac:dyDescent="0.25">
      <c r="R2417" s="75"/>
      <c r="S2417" s="75"/>
    </row>
    <row r="2418" spans="18:19" x14ac:dyDescent="0.25">
      <c r="R2418" s="75"/>
      <c r="S2418" s="75"/>
    </row>
    <row r="2419" spans="18:19" x14ac:dyDescent="0.25">
      <c r="R2419" s="75"/>
      <c r="S2419" s="75"/>
    </row>
    <row r="2420" spans="18:19" x14ac:dyDescent="0.25">
      <c r="R2420" s="75"/>
      <c r="S2420" s="75"/>
    </row>
    <row r="2421" spans="18:19" x14ac:dyDescent="0.25">
      <c r="R2421" s="75"/>
      <c r="S2421" s="75"/>
    </row>
    <row r="2422" spans="18:19" x14ac:dyDescent="0.25">
      <c r="R2422" s="75"/>
      <c r="S2422" s="75"/>
    </row>
    <row r="2423" spans="18:19" x14ac:dyDescent="0.25">
      <c r="R2423" s="75"/>
      <c r="S2423" s="75"/>
    </row>
    <row r="2424" spans="18:19" x14ac:dyDescent="0.25">
      <c r="R2424" s="75"/>
      <c r="S2424" s="75"/>
    </row>
    <row r="2425" spans="18:19" x14ac:dyDescent="0.25">
      <c r="R2425" s="75"/>
      <c r="S2425" s="75"/>
    </row>
    <row r="2426" spans="18:19" x14ac:dyDescent="0.25">
      <c r="R2426" s="75"/>
      <c r="S2426" s="75"/>
    </row>
    <row r="2427" spans="18:19" x14ac:dyDescent="0.25">
      <c r="R2427" s="75"/>
      <c r="S2427" s="75"/>
    </row>
    <row r="2428" spans="18:19" x14ac:dyDescent="0.25">
      <c r="R2428" s="75"/>
      <c r="S2428" s="75"/>
    </row>
    <row r="2429" spans="18:19" x14ac:dyDescent="0.25">
      <c r="R2429" s="75"/>
      <c r="S2429" s="75"/>
    </row>
    <row r="2430" spans="18:19" x14ac:dyDescent="0.25">
      <c r="R2430" s="75"/>
      <c r="S2430" s="75"/>
    </row>
    <row r="2431" spans="18:19" x14ac:dyDescent="0.25">
      <c r="R2431" s="75"/>
      <c r="S2431" s="75"/>
    </row>
    <row r="2432" spans="18:19" x14ac:dyDescent="0.25">
      <c r="R2432" s="75"/>
      <c r="S2432" s="75"/>
    </row>
    <row r="2433" spans="18:19" x14ac:dyDescent="0.25">
      <c r="R2433" s="75"/>
      <c r="S2433" s="75"/>
    </row>
    <row r="2434" spans="18:19" x14ac:dyDescent="0.25">
      <c r="R2434" s="75"/>
      <c r="S2434" s="75"/>
    </row>
    <row r="2435" spans="18:19" x14ac:dyDescent="0.25">
      <c r="R2435" s="75"/>
      <c r="S2435" s="75"/>
    </row>
    <row r="2436" spans="18:19" x14ac:dyDescent="0.25">
      <c r="R2436" s="75"/>
      <c r="S2436" s="75"/>
    </row>
    <row r="2437" spans="18:19" x14ac:dyDescent="0.25">
      <c r="R2437" s="75"/>
      <c r="S2437" s="75"/>
    </row>
    <row r="2438" spans="18:19" x14ac:dyDescent="0.25">
      <c r="R2438" s="75"/>
      <c r="S2438" s="75"/>
    </row>
    <row r="2439" spans="18:19" x14ac:dyDescent="0.25">
      <c r="R2439" s="75"/>
      <c r="S2439" s="75"/>
    </row>
    <row r="2440" spans="18:19" x14ac:dyDescent="0.25">
      <c r="R2440" s="75"/>
      <c r="S2440" s="75"/>
    </row>
    <row r="2441" spans="18:19" x14ac:dyDescent="0.25">
      <c r="R2441" s="75"/>
      <c r="S2441" s="75"/>
    </row>
    <row r="2442" spans="18:19" x14ac:dyDescent="0.25">
      <c r="R2442" s="75"/>
      <c r="S2442" s="75"/>
    </row>
    <row r="2443" spans="18:19" x14ac:dyDescent="0.25">
      <c r="R2443" s="75"/>
      <c r="S2443" s="75"/>
    </row>
    <row r="2444" spans="18:19" x14ac:dyDescent="0.25">
      <c r="R2444" s="75"/>
      <c r="S2444" s="75"/>
    </row>
    <row r="2445" spans="18:19" x14ac:dyDescent="0.25">
      <c r="R2445" s="75"/>
      <c r="S2445" s="75"/>
    </row>
    <row r="2446" spans="18:19" x14ac:dyDescent="0.25">
      <c r="R2446" s="75"/>
      <c r="S2446" s="75"/>
    </row>
    <row r="2447" spans="18:19" x14ac:dyDescent="0.25">
      <c r="R2447" s="75"/>
      <c r="S2447" s="75"/>
    </row>
    <row r="2448" spans="18:19" x14ac:dyDescent="0.25">
      <c r="R2448" s="75"/>
      <c r="S2448" s="75"/>
    </row>
    <row r="2449" spans="18:19" x14ac:dyDescent="0.25">
      <c r="R2449" s="75"/>
      <c r="S2449" s="75"/>
    </row>
    <row r="2450" spans="18:19" x14ac:dyDescent="0.25">
      <c r="R2450" s="75"/>
      <c r="S2450" s="75"/>
    </row>
    <row r="2451" spans="18:19" x14ac:dyDescent="0.25">
      <c r="R2451" s="75"/>
      <c r="S2451" s="75"/>
    </row>
    <row r="2452" spans="18:19" x14ac:dyDescent="0.25">
      <c r="R2452" s="75"/>
      <c r="S2452" s="75"/>
    </row>
    <row r="2453" spans="18:19" x14ac:dyDescent="0.25">
      <c r="R2453" s="75"/>
      <c r="S2453" s="75"/>
    </row>
    <row r="2454" spans="18:19" x14ac:dyDescent="0.25">
      <c r="R2454" s="75"/>
      <c r="S2454" s="75"/>
    </row>
    <row r="2455" spans="18:19" x14ac:dyDescent="0.25">
      <c r="R2455" s="75"/>
      <c r="S2455" s="75"/>
    </row>
    <row r="2456" spans="18:19" x14ac:dyDescent="0.25">
      <c r="R2456" s="75"/>
      <c r="S2456" s="75"/>
    </row>
    <row r="2457" spans="18:19" x14ac:dyDescent="0.25">
      <c r="R2457" s="75"/>
      <c r="S2457" s="75"/>
    </row>
    <row r="2458" spans="18:19" x14ac:dyDescent="0.25">
      <c r="R2458" s="75"/>
      <c r="S2458" s="75"/>
    </row>
    <row r="2459" spans="18:19" x14ac:dyDescent="0.25">
      <c r="R2459" s="75"/>
      <c r="S2459" s="75"/>
    </row>
    <row r="2460" spans="18:19" x14ac:dyDescent="0.25">
      <c r="R2460" s="75"/>
      <c r="S2460" s="75"/>
    </row>
    <row r="2461" spans="18:19" x14ac:dyDescent="0.25">
      <c r="R2461" s="75"/>
      <c r="S2461" s="75"/>
    </row>
    <row r="2462" spans="18:19" x14ac:dyDescent="0.25">
      <c r="R2462" s="75"/>
      <c r="S2462" s="75"/>
    </row>
    <row r="2463" spans="18:19" x14ac:dyDescent="0.25">
      <c r="R2463" s="75"/>
      <c r="S2463" s="75"/>
    </row>
    <row r="2464" spans="18:19" x14ac:dyDescent="0.25">
      <c r="R2464" s="75"/>
      <c r="S2464" s="75"/>
    </row>
    <row r="2465" spans="18:19" x14ac:dyDescent="0.25">
      <c r="R2465" s="75"/>
      <c r="S2465" s="75"/>
    </row>
    <row r="2466" spans="18:19" x14ac:dyDescent="0.25">
      <c r="R2466" s="75"/>
      <c r="S2466" s="75"/>
    </row>
    <row r="2467" spans="18:19" x14ac:dyDescent="0.25">
      <c r="R2467" s="75"/>
      <c r="S2467" s="75"/>
    </row>
    <row r="2468" spans="18:19" x14ac:dyDescent="0.25">
      <c r="R2468" s="75"/>
      <c r="S2468" s="75"/>
    </row>
    <row r="2469" spans="18:19" x14ac:dyDescent="0.25">
      <c r="R2469" s="75"/>
      <c r="S2469" s="75"/>
    </row>
    <row r="2470" spans="18:19" x14ac:dyDescent="0.25">
      <c r="R2470" s="75"/>
      <c r="S2470" s="75"/>
    </row>
    <row r="2471" spans="18:19" x14ac:dyDescent="0.25">
      <c r="R2471" s="75"/>
      <c r="S2471" s="75"/>
    </row>
    <row r="2472" spans="18:19" x14ac:dyDescent="0.25">
      <c r="R2472" s="75"/>
      <c r="S2472" s="75"/>
    </row>
    <row r="2473" spans="18:19" x14ac:dyDescent="0.25">
      <c r="R2473" s="75"/>
      <c r="S2473" s="75"/>
    </row>
    <row r="2474" spans="18:19" x14ac:dyDescent="0.25">
      <c r="R2474" s="75"/>
      <c r="S2474" s="75"/>
    </row>
    <row r="2475" spans="18:19" x14ac:dyDescent="0.25">
      <c r="R2475" s="75"/>
      <c r="S2475" s="75"/>
    </row>
    <row r="2476" spans="18:19" x14ac:dyDescent="0.25">
      <c r="R2476" s="75"/>
      <c r="S2476" s="75"/>
    </row>
    <row r="2477" spans="18:19" x14ac:dyDescent="0.25">
      <c r="R2477" s="75"/>
      <c r="S2477" s="75"/>
    </row>
    <row r="2478" spans="18:19" x14ac:dyDescent="0.25">
      <c r="R2478" s="75"/>
      <c r="S2478" s="75"/>
    </row>
    <row r="2479" spans="18:19" x14ac:dyDescent="0.25">
      <c r="R2479" s="75"/>
      <c r="S2479" s="75"/>
    </row>
    <row r="2480" spans="18:19" x14ac:dyDescent="0.25">
      <c r="R2480" s="75"/>
      <c r="S2480" s="75"/>
    </row>
    <row r="2481" spans="18:19" x14ac:dyDescent="0.25">
      <c r="R2481" s="75"/>
      <c r="S2481" s="75"/>
    </row>
    <row r="2482" spans="18:19" x14ac:dyDescent="0.25">
      <c r="R2482" s="75"/>
      <c r="S2482" s="75"/>
    </row>
    <row r="2483" spans="18:19" x14ac:dyDescent="0.25">
      <c r="R2483" s="75"/>
      <c r="S2483" s="75"/>
    </row>
    <row r="2484" spans="18:19" x14ac:dyDescent="0.25">
      <c r="R2484" s="75"/>
      <c r="S2484" s="75"/>
    </row>
    <row r="2485" spans="18:19" x14ac:dyDescent="0.25">
      <c r="R2485" s="75"/>
      <c r="S2485" s="75"/>
    </row>
    <row r="2486" spans="18:19" x14ac:dyDescent="0.25">
      <c r="R2486" s="75"/>
      <c r="S2486" s="75"/>
    </row>
    <row r="2487" spans="18:19" x14ac:dyDescent="0.25">
      <c r="R2487" s="75"/>
      <c r="S2487" s="75"/>
    </row>
    <row r="2488" spans="18:19" x14ac:dyDescent="0.25">
      <c r="R2488" s="75"/>
      <c r="S2488" s="75"/>
    </row>
    <row r="2489" spans="18:19" x14ac:dyDescent="0.25">
      <c r="R2489" s="75"/>
      <c r="S2489" s="75"/>
    </row>
    <row r="2490" spans="18:19" x14ac:dyDescent="0.25">
      <c r="R2490" s="75"/>
      <c r="S2490" s="75"/>
    </row>
    <row r="2491" spans="18:19" x14ac:dyDescent="0.25">
      <c r="R2491" s="75"/>
      <c r="S2491" s="75"/>
    </row>
    <row r="2492" spans="18:19" x14ac:dyDescent="0.25">
      <c r="R2492" s="75"/>
      <c r="S2492" s="75"/>
    </row>
    <row r="2493" spans="18:19" x14ac:dyDescent="0.25">
      <c r="R2493" s="75"/>
      <c r="S2493" s="75"/>
    </row>
    <row r="2494" spans="18:19" x14ac:dyDescent="0.25">
      <c r="R2494" s="75"/>
      <c r="S2494" s="75"/>
    </row>
    <row r="2495" spans="18:19" x14ac:dyDescent="0.25">
      <c r="R2495" s="75"/>
      <c r="S2495" s="75"/>
    </row>
    <row r="2496" spans="18:19" x14ac:dyDescent="0.25">
      <c r="R2496" s="75"/>
      <c r="S2496" s="75"/>
    </row>
    <row r="2497" spans="18:19" x14ac:dyDescent="0.25">
      <c r="R2497" s="75"/>
      <c r="S2497" s="75"/>
    </row>
    <row r="2498" spans="18:19" x14ac:dyDescent="0.25">
      <c r="R2498" s="75"/>
      <c r="S2498" s="75"/>
    </row>
    <row r="2499" spans="18:19" x14ac:dyDescent="0.25">
      <c r="R2499" s="75"/>
      <c r="S2499" s="75"/>
    </row>
    <row r="2500" spans="18:19" x14ac:dyDescent="0.25">
      <c r="R2500" s="75"/>
      <c r="S2500" s="75"/>
    </row>
    <row r="2501" spans="18:19" x14ac:dyDescent="0.25">
      <c r="R2501" s="75"/>
      <c r="S2501" s="75"/>
    </row>
    <row r="2502" spans="18:19" x14ac:dyDescent="0.25">
      <c r="R2502" s="75"/>
      <c r="S2502" s="75"/>
    </row>
    <row r="2503" spans="18:19" x14ac:dyDescent="0.25">
      <c r="R2503" s="75"/>
      <c r="S2503" s="75"/>
    </row>
    <row r="2504" spans="18:19" x14ac:dyDescent="0.25">
      <c r="R2504" s="75"/>
      <c r="S2504" s="75"/>
    </row>
    <row r="2505" spans="18:19" x14ac:dyDescent="0.25">
      <c r="R2505" s="75"/>
      <c r="S2505" s="75"/>
    </row>
    <row r="2506" spans="18:19" x14ac:dyDescent="0.25">
      <c r="R2506" s="75"/>
      <c r="S2506" s="75"/>
    </row>
    <row r="2507" spans="18:19" x14ac:dyDescent="0.25">
      <c r="R2507" s="75"/>
      <c r="S2507" s="75"/>
    </row>
    <row r="2508" spans="18:19" x14ac:dyDescent="0.25">
      <c r="R2508" s="75"/>
      <c r="S2508" s="75"/>
    </row>
    <row r="2509" spans="18:19" x14ac:dyDescent="0.25">
      <c r="R2509" s="75"/>
      <c r="S2509" s="75"/>
    </row>
    <row r="2510" spans="18:19" x14ac:dyDescent="0.25">
      <c r="R2510" s="75"/>
      <c r="S2510" s="75"/>
    </row>
    <row r="2511" spans="18:19" x14ac:dyDescent="0.25">
      <c r="R2511" s="75"/>
      <c r="S2511" s="75"/>
    </row>
    <row r="2512" spans="18:19" x14ac:dyDescent="0.25">
      <c r="R2512" s="75"/>
      <c r="S2512" s="75"/>
    </row>
    <row r="2513" spans="18:19" x14ac:dyDescent="0.25">
      <c r="R2513" s="75"/>
      <c r="S2513" s="75"/>
    </row>
    <row r="2514" spans="18:19" x14ac:dyDescent="0.25">
      <c r="R2514" s="75"/>
      <c r="S2514" s="75"/>
    </row>
    <row r="2515" spans="18:19" x14ac:dyDescent="0.25">
      <c r="R2515" s="75"/>
      <c r="S2515" s="75"/>
    </row>
    <row r="2516" spans="18:19" x14ac:dyDescent="0.25">
      <c r="R2516" s="75"/>
      <c r="S2516" s="75"/>
    </row>
    <row r="2517" spans="18:19" x14ac:dyDescent="0.25">
      <c r="R2517" s="75"/>
      <c r="S2517" s="75"/>
    </row>
    <row r="2518" spans="18:19" x14ac:dyDescent="0.25">
      <c r="R2518" s="75"/>
      <c r="S2518" s="75"/>
    </row>
    <row r="2519" spans="18:19" x14ac:dyDescent="0.25">
      <c r="R2519" s="75"/>
      <c r="S2519" s="75"/>
    </row>
    <row r="2520" spans="18:19" x14ac:dyDescent="0.25">
      <c r="R2520" s="75"/>
      <c r="S2520" s="75"/>
    </row>
    <row r="2521" spans="18:19" x14ac:dyDescent="0.25">
      <c r="R2521" s="75"/>
      <c r="S2521" s="75"/>
    </row>
    <row r="2522" spans="18:19" x14ac:dyDescent="0.25">
      <c r="R2522" s="75"/>
      <c r="S2522" s="75"/>
    </row>
    <row r="2523" spans="18:19" x14ac:dyDescent="0.25">
      <c r="R2523" s="75"/>
      <c r="S2523" s="75"/>
    </row>
    <row r="2524" spans="18:19" x14ac:dyDescent="0.25">
      <c r="R2524" s="75"/>
      <c r="S2524" s="75"/>
    </row>
    <row r="2525" spans="18:19" x14ac:dyDescent="0.25">
      <c r="R2525" s="75"/>
      <c r="S2525" s="75"/>
    </row>
    <row r="2526" spans="18:19" x14ac:dyDescent="0.25">
      <c r="R2526" s="75"/>
      <c r="S2526" s="75"/>
    </row>
    <row r="2527" spans="18:19" x14ac:dyDescent="0.25">
      <c r="R2527" s="75"/>
      <c r="S2527" s="75"/>
    </row>
    <row r="2528" spans="18:19" x14ac:dyDescent="0.25">
      <c r="R2528" s="75"/>
      <c r="S2528" s="75"/>
    </row>
    <row r="2529" spans="18:19" x14ac:dyDescent="0.25">
      <c r="R2529" s="75"/>
      <c r="S2529" s="75"/>
    </row>
    <row r="2530" spans="18:19" x14ac:dyDescent="0.25">
      <c r="R2530" s="75"/>
      <c r="S2530" s="75"/>
    </row>
    <row r="2531" spans="18:19" x14ac:dyDescent="0.25">
      <c r="R2531" s="75"/>
      <c r="S2531" s="75"/>
    </row>
    <row r="2532" spans="18:19" x14ac:dyDescent="0.25">
      <c r="R2532" s="75"/>
      <c r="S2532" s="75"/>
    </row>
    <row r="2533" spans="18:19" x14ac:dyDescent="0.25">
      <c r="R2533" s="75"/>
      <c r="S2533" s="75"/>
    </row>
    <row r="2534" spans="18:19" x14ac:dyDescent="0.25">
      <c r="R2534" s="75"/>
      <c r="S2534" s="75"/>
    </row>
    <row r="2535" spans="18:19" x14ac:dyDescent="0.25">
      <c r="R2535" s="75"/>
      <c r="S2535" s="75"/>
    </row>
    <row r="2536" spans="18:19" x14ac:dyDescent="0.25">
      <c r="R2536" s="75"/>
      <c r="S2536" s="75"/>
    </row>
    <row r="2537" spans="18:19" x14ac:dyDescent="0.25">
      <c r="R2537" s="75"/>
      <c r="S2537" s="75"/>
    </row>
    <row r="2538" spans="18:19" x14ac:dyDescent="0.25">
      <c r="R2538" s="75"/>
      <c r="S2538" s="75"/>
    </row>
    <row r="2539" spans="18:19" x14ac:dyDescent="0.25">
      <c r="R2539" s="75"/>
      <c r="S2539" s="75"/>
    </row>
    <row r="2540" spans="18:19" x14ac:dyDescent="0.25">
      <c r="R2540" s="75"/>
      <c r="S2540" s="75"/>
    </row>
    <row r="2541" spans="18:19" x14ac:dyDescent="0.25">
      <c r="R2541" s="75"/>
      <c r="S2541" s="75"/>
    </row>
    <row r="2542" spans="18:19" x14ac:dyDescent="0.25">
      <c r="R2542" s="75"/>
      <c r="S2542" s="75"/>
    </row>
    <row r="2543" spans="18:19" x14ac:dyDescent="0.25">
      <c r="R2543" s="75"/>
      <c r="S2543" s="75"/>
    </row>
    <row r="2544" spans="18:19" x14ac:dyDescent="0.25">
      <c r="R2544" s="75"/>
      <c r="S2544" s="75"/>
    </row>
    <row r="2545" spans="18:19" x14ac:dyDescent="0.25">
      <c r="R2545" s="75"/>
      <c r="S2545" s="75"/>
    </row>
    <row r="2546" spans="18:19" x14ac:dyDescent="0.25">
      <c r="R2546" s="75"/>
      <c r="S2546" s="75"/>
    </row>
    <row r="2547" spans="18:19" x14ac:dyDescent="0.25">
      <c r="R2547" s="75"/>
      <c r="S2547" s="75"/>
    </row>
    <row r="2548" spans="18:19" x14ac:dyDescent="0.25">
      <c r="R2548" s="75"/>
      <c r="S2548" s="75"/>
    </row>
    <row r="2549" spans="18:19" x14ac:dyDescent="0.25">
      <c r="R2549" s="75"/>
      <c r="S2549" s="75"/>
    </row>
    <row r="2550" spans="18:19" x14ac:dyDescent="0.25">
      <c r="R2550" s="75"/>
      <c r="S2550" s="75"/>
    </row>
    <row r="2551" spans="18:19" x14ac:dyDescent="0.25">
      <c r="R2551" s="75"/>
      <c r="S2551" s="75"/>
    </row>
    <row r="2552" spans="18:19" x14ac:dyDescent="0.25">
      <c r="R2552" s="75"/>
      <c r="S2552" s="75"/>
    </row>
    <row r="2553" spans="18:19" x14ac:dyDescent="0.25">
      <c r="R2553" s="75"/>
      <c r="S2553" s="75"/>
    </row>
    <row r="2554" spans="18:19" x14ac:dyDescent="0.25">
      <c r="R2554" s="75"/>
      <c r="S2554" s="75"/>
    </row>
    <row r="2555" spans="18:19" x14ac:dyDescent="0.25">
      <c r="R2555" s="75"/>
      <c r="S2555" s="75"/>
    </row>
    <row r="2556" spans="18:19" x14ac:dyDescent="0.25">
      <c r="R2556" s="75"/>
      <c r="S2556" s="75"/>
    </row>
    <row r="2557" spans="18:19" x14ac:dyDescent="0.25">
      <c r="R2557" s="75"/>
      <c r="S2557" s="75"/>
    </row>
    <row r="2558" spans="18:19" x14ac:dyDescent="0.25">
      <c r="R2558" s="75"/>
      <c r="S2558" s="75"/>
    </row>
    <row r="2559" spans="18:19" x14ac:dyDescent="0.25">
      <c r="R2559" s="75"/>
      <c r="S2559" s="75"/>
    </row>
    <row r="2560" spans="18:19" x14ac:dyDescent="0.25">
      <c r="R2560" s="75"/>
      <c r="S2560" s="75"/>
    </row>
    <row r="2561" spans="18:19" x14ac:dyDescent="0.25">
      <c r="R2561" s="75"/>
      <c r="S2561" s="75"/>
    </row>
    <row r="2562" spans="18:19" x14ac:dyDescent="0.25">
      <c r="R2562" s="75"/>
      <c r="S2562" s="75"/>
    </row>
    <row r="2563" spans="18:19" x14ac:dyDescent="0.25">
      <c r="R2563" s="75"/>
      <c r="S2563" s="75"/>
    </row>
    <row r="2564" spans="18:19" x14ac:dyDescent="0.25">
      <c r="R2564" s="75"/>
      <c r="S2564" s="75"/>
    </row>
    <row r="2565" spans="18:19" x14ac:dyDescent="0.25">
      <c r="R2565" s="75"/>
      <c r="S2565" s="75"/>
    </row>
    <row r="2566" spans="18:19" x14ac:dyDescent="0.25">
      <c r="R2566" s="75"/>
      <c r="S2566" s="75"/>
    </row>
    <row r="2567" spans="18:19" x14ac:dyDescent="0.25">
      <c r="R2567" s="75"/>
      <c r="S2567" s="75"/>
    </row>
    <row r="2568" spans="18:19" x14ac:dyDescent="0.25">
      <c r="R2568" s="75"/>
      <c r="S2568" s="75"/>
    </row>
    <row r="2569" spans="18:19" x14ac:dyDescent="0.25">
      <c r="R2569" s="75"/>
      <c r="S2569" s="75"/>
    </row>
    <row r="2570" spans="18:19" x14ac:dyDescent="0.25">
      <c r="R2570" s="75"/>
      <c r="S2570" s="75"/>
    </row>
    <row r="2571" spans="18:19" x14ac:dyDescent="0.25">
      <c r="R2571" s="75"/>
      <c r="S2571" s="75"/>
    </row>
    <row r="2572" spans="18:19" x14ac:dyDescent="0.25">
      <c r="R2572" s="75"/>
      <c r="S2572" s="75"/>
    </row>
    <row r="2573" spans="18:19" x14ac:dyDescent="0.25">
      <c r="R2573" s="75"/>
      <c r="S2573" s="75"/>
    </row>
    <row r="2574" spans="18:19" x14ac:dyDescent="0.25">
      <c r="R2574" s="75"/>
      <c r="S2574" s="75"/>
    </row>
    <row r="2575" spans="18:19" x14ac:dyDescent="0.25">
      <c r="R2575" s="75"/>
      <c r="S2575" s="75"/>
    </row>
    <row r="2576" spans="18:19" x14ac:dyDescent="0.25">
      <c r="R2576" s="75"/>
      <c r="S2576" s="75"/>
    </row>
    <row r="2577" spans="18:19" x14ac:dyDescent="0.25">
      <c r="R2577" s="75"/>
      <c r="S2577" s="75"/>
    </row>
    <row r="2578" spans="18:19" x14ac:dyDescent="0.25">
      <c r="R2578" s="75"/>
      <c r="S2578" s="75"/>
    </row>
    <row r="2579" spans="18:19" x14ac:dyDescent="0.25">
      <c r="R2579" s="75"/>
      <c r="S2579" s="75"/>
    </row>
    <row r="2580" spans="18:19" x14ac:dyDescent="0.25">
      <c r="R2580" s="75"/>
      <c r="S2580" s="75"/>
    </row>
    <row r="2581" spans="18:19" x14ac:dyDescent="0.25">
      <c r="R2581" s="75"/>
      <c r="S2581" s="75"/>
    </row>
    <row r="2582" spans="18:19" x14ac:dyDescent="0.25">
      <c r="R2582" s="75"/>
      <c r="S2582" s="75"/>
    </row>
    <row r="2583" spans="18:19" x14ac:dyDescent="0.25">
      <c r="R2583" s="75"/>
      <c r="S2583" s="75"/>
    </row>
    <row r="2584" spans="18:19" x14ac:dyDescent="0.25">
      <c r="R2584" s="75"/>
      <c r="S2584" s="75"/>
    </row>
    <row r="2585" spans="18:19" x14ac:dyDescent="0.25">
      <c r="R2585" s="75"/>
      <c r="S2585" s="75"/>
    </row>
    <row r="2586" spans="18:19" x14ac:dyDescent="0.25">
      <c r="R2586" s="75"/>
      <c r="S2586" s="75"/>
    </row>
    <row r="2587" spans="18:19" x14ac:dyDescent="0.25">
      <c r="R2587" s="75"/>
      <c r="S2587" s="75"/>
    </row>
    <row r="2588" spans="18:19" x14ac:dyDescent="0.25">
      <c r="R2588" s="75"/>
      <c r="S2588" s="75"/>
    </row>
    <row r="2589" spans="18:19" x14ac:dyDescent="0.25">
      <c r="R2589" s="75"/>
      <c r="S2589" s="75"/>
    </row>
    <row r="2590" spans="18:19" x14ac:dyDescent="0.25">
      <c r="R2590" s="75"/>
      <c r="S2590" s="75"/>
    </row>
    <row r="2591" spans="18:19" x14ac:dyDescent="0.25">
      <c r="R2591" s="75"/>
      <c r="S2591" s="75"/>
    </row>
    <row r="2592" spans="18:19" x14ac:dyDescent="0.25">
      <c r="R2592" s="75"/>
      <c r="S2592" s="75"/>
    </row>
    <row r="2593" spans="18:19" x14ac:dyDescent="0.25">
      <c r="R2593" s="75"/>
      <c r="S2593" s="75"/>
    </row>
    <row r="2594" spans="18:19" x14ac:dyDescent="0.25">
      <c r="R2594" s="75"/>
      <c r="S2594" s="75"/>
    </row>
    <row r="2595" spans="18:19" x14ac:dyDescent="0.25">
      <c r="R2595" s="75"/>
      <c r="S2595" s="75"/>
    </row>
    <row r="2596" spans="18:19" x14ac:dyDescent="0.25">
      <c r="R2596" s="75"/>
      <c r="S2596" s="75"/>
    </row>
    <row r="2597" spans="18:19" x14ac:dyDescent="0.25">
      <c r="R2597" s="75"/>
      <c r="S2597" s="75"/>
    </row>
    <row r="2598" spans="18:19" x14ac:dyDescent="0.25">
      <c r="R2598" s="75"/>
      <c r="S2598" s="75"/>
    </row>
    <row r="2599" spans="18:19" x14ac:dyDescent="0.25">
      <c r="R2599" s="75"/>
      <c r="S2599" s="75"/>
    </row>
    <row r="2600" spans="18:19" x14ac:dyDescent="0.25">
      <c r="R2600" s="75"/>
      <c r="S2600" s="75"/>
    </row>
    <row r="2601" spans="18:19" x14ac:dyDescent="0.25">
      <c r="R2601" s="75"/>
      <c r="S2601" s="75"/>
    </row>
    <row r="2602" spans="18:19" x14ac:dyDescent="0.25">
      <c r="R2602" s="75"/>
      <c r="S2602" s="75"/>
    </row>
    <row r="2603" spans="18:19" x14ac:dyDescent="0.25">
      <c r="R2603" s="75"/>
      <c r="S2603" s="75"/>
    </row>
    <row r="2604" spans="18:19" x14ac:dyDescent="0.25">
      <c r="R2604" s="75"/>
      <c r="S2604" s="75"/>
    </row>
    <row r="2605" spans="18:19" x14ac:dyDescent="0.25">
      <c r="R2605" s="75"/>
      <c r="S2605" s="75"/>
    </row>
    <row r="2606" spans="18:19" x14ac:dyDescent="0.25">
      <c r="R2606" s="75"/>
      <c r="S2606" s="75"/>
    </row>
    <row r="2607" spans="18:19" x14ac:dyDescent="0.25">
      <c r="R2607" s="75"/>
      <c r="S2607" s="75"/>
    </row>
    <row r="2608" spans="18:19" x14ac:dyDescent="0.25">
      <c r="R2608" s="75"/>
      <c r="S2608" s="75"/>
    </row>
    <row r="2609" spans="18:19" x14ac:dyDescent="0.25">
      <c r="R2609" s="75"/>
      <c r="S2609" s="75"/>
    </row>
    <row r="2610" spans="18:19" x14ac:dyDescent="0.25">
      <c r="R2610" s="75"/>
      <c r="S2610" s="75"/>
    </row>
    <row r="2611" spans="18:19" x14ac:dyDescent="0.25">
      <c r="R2611" s="75"/>
      <c r="S2611" s="75"/>
    </row>
    <row r="2612" spans="18:19" x14ac:dyDescent="0.25">
      <c r="R2612" s="75"/>
      <c r="S2612" s="75"/>
    </row>
    <row r="2613" spans="18:19" x14ac:dyDescent="0.25">
      <c r="R2613" s="75"/>
      <c r="S2613" s="75"/>
    </row>
    <row r="2614" spans="18:19" x14ac:dyDescent="0.25">
      <c r="R2614" s="75"/>
      <c r="S2614" s="75"/>
    </row>
    <row r="2615" spans="18:19" x14ac:dyDescent="0.25">
      <c r="R2615" s="75"/>
      <c r="S2615" s="75"/>
    </row>
    <row r="2616" spans="18:19" x14ac:dyDescent="0.25">
      <c r="R2616" s="75"/>
      <c r="S2616" s="75"/>
    </row>
    <row r="2617" spans="18:19" x14ac:dyDescent="0.25">
      <c r="R2617" s="75"/>
      <c r="S2617" s="75"/>
    </row>
    <row r="2618" spans="18:19" x14ac:dyDescent="0.25">
      <c r="R2618" s="75"/>
      <c r="S2618" s="75"/>
    </row>
    <row r="2619" spans="18:19" x14ac:dyDescent="0.25">
      <c r="R2619" s="75"/>
      <c r="S2619" s="75"/>
    </row>
    <row r="2620" spans="18:19" x14ac:dyDescent="0.25">
      <c r="R2620" s="75"/>
      <c r="S2620" s="75"/>
    </row>
    <row r="2621" spans="18:19" x14ac:dyDescent="0.25">
      <c r="R2621" s="75"/>
      <c r="S2621" s="75"/>
    </row>
    <row r="2622" spans="18:19" x14ac:dyDescent="0.25">
      <c r="R2622" s="75"/>
      <c r="S2622" s="75"/>
    </row>
    <row r="2623" spans="18:19" x14ac:dyDescent="0.25">
      <c r="R2623" s="75"/>
      <c r="S2623" s="75"/>
    </row>
    <row r="2624" spans="18:19" x14ac:dyDescent="0.25">
      <c r="R2624" s="75"/>
      <c r="S2624" s="75"/>
    </row>
    <row r="2625" spans="18:19" x14ac:dyDescent="0.25">
      <c r="R2625" s="75"/>
      <c r="S2625" s="75"/>
    </row>
    <row r="2626" spans="18:19" x14ac:dyDescent="0.25">
      <c r="R2626" s="75"/>
      <c r="S2626" s="75"/>
    </row>
    <row r="2627" spans="18:19" x14ac:dyDescent="0.25">
      <c r="R2627" s="75"/>
      <c r="S2627" s="75"/>
    </row>
    <row r="2628" spans="18:19" x14ac:dyDescent="0.25">
      <c r="R2628" s="75"/>
      <c r="S2628" s="75"/>
    </row>
    <row r="2629" spans="18:19" x14ac:dyDescent="0.25">
      <c r="R2629" s="75"/>
      <c r="S2629" s="75"/>
    </row>
    <row r="2630" spans="18:19" x14ac:dyDescent="0.25">
      <c r="R2630" s="75"/>
      <c r="S2630" s="75"/>
    </row>
    <row r="2631" spans="18:19" x14ac:dyDescent="0.25">
      <c r="R2631" s="75"/>
      <c r="S2631" s="75"/>
    </row>
    <row r="2632" spans="18:19" x14ac:dyDescent="0.25">
      <c r="R2632" s="75"/>
      <c r="S2632" s="75"/>
    </row>
    <row r="2633" spans="18:19" x14ac:dyDescent="0.25">
      <c r="R2633" s="75"/>
      <c r="S2633" s="75"/>
    </row>
    <row r="2634" spans="18:19" x14ac:dyDescent="0.25">
      <c r="R2634" s="75"/>
      <c r="S2634" s="75"/>
    </row>
    <row r="2635" spans="18:19" x14ac:dyDescent="0.25">
      <c r="R2635" s="75"/>
      <c r="S2635" s="75"/>
    </row>
    <row r="2636" spans="18:19" x14ac:dyDescent="0.25">
      <c r="R2636" s="75"/>
      <c r="S2636" s="75"/>
    </row>
    <row r="2637" spans="18:19" x14ac:dyDescent="0.25">
      <c r="R2637" s="75"/>
      <c r="S2637" s="75"/>
    </row>
    <row r="2638" spans="18:19" x14ac:dyDescent="0.25">
      <c r="R2638" s="75"/>
      <c r="S2638" s="75"/>
    </row>
    <row r="2639" spans="18:19" x14ac:dyDescent="0.25">
      <c r="R2639" s="75"/>
      <c r="S2639" s="75"/>
    </row>
    <row r="2640" spans="18:19" x14ac:dyDescent="0.25">
      <c r="R2640" s="75"/>
      <c r="S2640" s="75"/>
    </row>
    <row r="2641" spans="18:19" x14ac:dyDescent="0.25">
      <c r="R2641" s="75"/>
      <c r="S2641" s="75"/>
    </row>
    <row r="2642" spans="18:19" x14ac:dyDescent="0.25">
      <c r="R2642" s="75"/>
      <c r="S2642" s="75"/>
    </row>
    <row r="2643" spans="18:19" x14ac:dyDescent="0.25">
      <c r="R2643" s="75"/>
      <c r="S2643" s="75"/>
    </row>
    <row r="2644" spans="18:19" x14ac:dyDescent="0.25">
      <c r="R2644" s="75"/>
      <c r="S2644" s="75"/>
    </row>
    <row r="2645" spans="18:19" x14ac:dyDescent="0.25">
      <c r="R2645" s="75"/>
      <c r="S2645" s="75"/>
    </row>
    <row r="2646" spans="18:19" x14ac:dyDescent="0.25">
      <c r="R2646" s="75"/>
      <c r="S2646" s="75"/>
    </row>
    <row r="2647" spans="18:19" x14ac:dyDescent="0.25">
      <c r="R2647" s="75"/>
      <c r="S2647" s="75"/>
    </row>
    <row r="2648" spans="18:19" x14ac:dyDescent="0.25">
      <c r="R2648" s="75"/>
      <c r="S2648" s="75"/>
    </row>
    <row r="2649" spans="18:19" x14ac:dyDescent="0.25">
      <c r="R2649" s="75"/>
      <c r="S2649" s="75"/>
    </row>
    <row r="2650" spans="18:19" x14ac:dyDescent="0.25">
      <c r="R2650" s="75"/>
      <c r="S2650" s="75"/>
    </row>
    <row r="2651" spans="18:19" x14ac:dyDescent="0.25">
      <c r="R2651" s="75"/>
      <c r="S2651" s="75"/>
    </row>
    <row r="2652" spans="18:19" x14ac:dyDescent="0.25">
      <c r="R2652" s="75"/>
      <c r="S2652" s="75"/>
    </row>
    <row r="2653" spans="18:19" x14ac:dyDescent="0.25">
      <c r="R2653" s="75"/>
      <c r="S2653" s="75"/>
    </row>
    <row r="2654" spans="18:19" x14ac:dyDescent="0.25">
      <c r="R2654" s="75"/>
      <c r="S2654" s="75"/>
    </row>
    <row r="2655" spans="18:19" x14ac:dyDescent="0.25">
      <c r="R2655" s="75"/>
      <c r="S2655" s="75"/>
    </row>
    <row r="2656" spans="18:19" x14ac:dyDescent="0.25">
      <c r="R2656" s="75"/>
      <c r="S2656" s="75"/>
    </row>
    <row r="2657" spans="18:19" x14ac:dyDescent="0.25">
      <c r="R2657" s="75"/>
      <c r="S2657" s="75"/>
    </row>
    <row r="2658" spans="18:19" x14ac:dyDescent="0.25">
      <c r="R2658" s="75"/>
      <c r="S2658" s="75"/>
    </row>
    <row r="2659" spans="18:19" x14ac:dyDescent="0.25">
      <c r="R2659" s="75"/>
      <c r="S2659" s="75"/>
    </row>
    <row r="2660" spans="18:19" x14ac:dyDescent="0.25">
      <c r="R2660" s="75"/>
      <c r="S2660" s="75"/>
    </row>
    <row r="2661" spans="18:19" x14ac:dyDescent="0.25">
      <c r="R2661" s="75"/>
      <c r="S2661" s="75"/>
    </row>
    <row r="2662" spans="18:19" x14ac:dyDescent="0.25">
      <c r="R2662" s="75"/>
      <c r="S2662" s="75"/>
    </row>
    <row r="2663" spans="18:19" x14ac:dyDescent="0.25">
      <c r="R2663" s="75"/>
      <c r="S2663" s="75"/>
    </row>
    <row r="2664" spans="18:19" x14ac:dyDescent="0.25">
      <c r="R2664" s="75"/>
      <c r="S2664" s="75"/>
    </row>
    <row r="2665" spans="18:19" x14ac:dyDescent="0.25">
      <c r="R2665" s="75"/>
      <c r="S2665" s="75"/>
    </row>
    <row r="2666" spans="18:19" x14ac:dyDescent="0.25">
      <c r="R2666" s="75"/>
      <c r="S2666" s="75"/>
    </row>
    <row r="2667" spans="18:19" x14ac:dyDescent="0.25">
      <c r="R2667" s="75"/>
      <c r="S2667" s="75"/>
    </row>
    <row r="2668" spans="18:19" x14ac:dyDescent="0.25">
      <c r="R2668" s="75"/>
      <c r="S2668" s="75"/>
    </row>
    <row r="2669" spans="18:19" x14ac:dyDescent="0.25">
      <c r="R2669" s="75"/>
      <c r="S2669" s="75"/>
    </row>
    <row r="2670" spans="18:19" x14ac:dyDescent="0.25">
      <c r="R2670" s="75"/>
      <c r="S2670" s="75"/>
    </row>
    <row r="2671" spans="18:19" x14ac:dyDescent="0.25">
      <c r="R2671" s="75"/>
      <c r="S2671" s="75"/>
    </row>
    <row r="2672" spans="18:19" x14ac:dyDescent="0.25">
      <c r="R2672" s="75"/>
      <c r="S2672" s="75"/>
    </row>
    <row r="2673" spans="18:19" x14ac:dyDescent="0.25">
      <c r="R2673" s="75"/>
      <c r="S2673" s="75"/>
    </row>
    <row r="2674" spans="18:19" x14ac:dyDescent="0.25">
      <c r="R2674" s="75"/>
      <c r="S2674" s="75"/>
    </row>
    <row r="2675" spans="18:19" x14ac:dyDescent="0.25">
      <c r="R2675" s="75"/>
      <c r="S2675" s="75"/>
    </row>
    <row r="2676" spans="18:19" x14ac:dyDescent="0.25">
      <c r="R2676" s="75"/>
      <c r="S2676" s="75"/>
    </row>
    <row r="2677" spans="18:19" x14ac:dyDescent="0.25">
      <c r="R2677" s="75"/>
      <c r="S2677" s="75"/>
    </row>
    <row r="2678" spans="18:19" x14ac:dyDescent="0.25">
      <c r="R2678" s="75"/>
      <c r="S2678" s="75"/>
    </row>
    <row r="2679" spans="18:19" x14ac:dyDescent="0.25">
      <c r="R2679" s="75"/>
      <c r="S2679" s="75"/>
    </row>
    <row r="2680" spans="18:19" x14ac:dyDescent="0.25">
      <c r="R2680" s="75"/>
      <c r="S2680" s="75"/>
    </row>
    <row r="2681" spans="18:19" x14ac:dyDescent="0.25">
      <c r="R2681" s="75"/>
      <c r="S2681" s="75"/>
    </row>
    <row r="2682" spans="18:19" x14ac:dyDescent="0.25">
      <c r="R2682" s="75"/>
      <c r="S2682" s="75"/>
    </row>
    <row r="2683" spans="18:19" x14ac:dyDescent="0.25">
      <c r="R2683" s="75"/>
      <c r="S2683" s="75"/>
    </row>
    <row r="2684" spans="18:19" x14ac:dyDescent="0.25">
      <c r="R2684" s="75"/>
      <c r="S2684" s="75"/>
    </row>
    <row r="2685" spans="18:19" x14ac:dyDescent="0.25">
      <c r="R2685" s="75"/>
      <c r="S2685" s="75"/>
    </row>
    <row r="2686" spans="18:19" x14ac:dyDescent="0.25">
      <c r="R2686" s="75"/>
      <c r="S2686" s="75"/>
    </row>
    <row r="2687" spans="18:19" x14ac:dyDescent="0.25">
      <c r="R2687" s="75"/>
      <c r="S2687" s="75"/>
    </row>
    <row r="2688" spans="18:19" x14ac:dyDescent="0.25">
      <c r="R2688" s="75"/>
      <c r="S2688" s="75"/>
    </row>
    <row r="2689" spans="18:19" x14ac:dyDescent="0.25">
      <c r="R2689" s="75"/>
      <c r="S2689" s="75"/>
    </row>
    <row r="2690" spans="18:19" x14ac:dyDescent="0.25">
      <c r="R2690" s="75"/>
      <c r="S2690" s="75"/>
    </row>
    <row r="2691" spans="18:19" x14ac:dyDescent="0.25">
      <c r="R2691" s="75"/>
      <c r="S2691" s="75"/>
    </row>
    <row r="2692" spans="18:19" x14ac:dyDescent="0.25">
      <c r="R2692" s="75"/>
      <c r="S2692" s="75"/>
    </row>
    <row r="2693" spans="18:19" x14ac:dyDescent="0.25">
      <c r="R2693" s="75"/>
      <c r="S2693" s="75"/>
    </row>
    <row r="2694" spans="18:19" x14ac:dyDescent="0.25">
      <c r="R2694" s="75"/>
      <c r="S2694" s="75"/>
    </row>
    <row r="2695" spans="18:19" x14ac:dyDescent="0.25">
      <c r="R2695" s="75"/>
      <c r="S2695" s="75"/>
    </row>
    <row r="2696" spans="18:19" x14ac:dyDescent="0.25">
      <c r="R2696" s="75"/>
      <c r="S2696" s="75"/>
    </row>
    <row r="2697" spans="18:19" x14ac:dyDescent="0.25">
      <c r="R2697" s="75"/>
      <c r="S2697" s="75"/>
    </row>
    <row r="2698" spans="18:19" x14ac:dyDescent="0.25">
      <c r="R2698" s="75"/>
      <c r="S2698" s="75"/>
    </row>
    <row r="2699" spans="18:19" x14ac:dyDescent="0.25">
      <c r="R2699" s="75"/>
      <c r="S2699" s="75"/>
    </row>
    <row r="2700" spans="18:19" x14ac:dyDescent="0.25">
      <c r="R2700" s="75"/>
      <c r="S2700" s="75"/>
    </row>
    <row r="2701" spans="18:19" x14ac:dyDescent="0.25">
      <c r="R2701" s="75"/>
      <c r="S2701" s="75"/>
    </row>
    <row r="2702" spans="18:19" x14ac:dyDescent="0.25">
      <c r="R2702" s="75"/>
      <c r="S2702" s="75"/>
    </row>
    <row r="2703" spans="18:19" x14ac:dyDescent="0.25">
      <c r="R2703" s="75"/>
      <c r="S2703" s="75"/>
    </row>
    <row r="2704" spans="18:19" x14ac:dyDescent="0.25">
      <c r="R2704" s="75"/>
      <c r="S2704" s="75"/>
    </row>
    <row r="2705" spans="18:19" x14ac:dyDescent="0.25">
      <c r="R2705" s="75"/>
      <c r="S2705" s="75"/>
    </row>
    <row r="2706" spans="18:19" x14ac:dyDescent="0.25">
      <c r="R2706" s="75"/>
      <c r="S2706" s="75"/>
    </row>
    <row r="2707" spans="18:19" x14ac:dyDescent="0.25">
      <c r="R2707" s="75"/>
      <c r="S2707" s="75"/>
    </row>
    <row r="2708" spans="18:19" x14ac:dyDescent="0.25">
      <c r="R2708" s="75"/>
      <c r="S2708" s="75"/>
    </row>
    <row r="2709" spans="18:19" x14ac:dyDescent="0.25">
      <c r="R2709" s="75"/>
      <c r="S2709" s="75"/>
    </row>
    <row r="2710" spans="18:19" x14ac:dyDescent="0.25">
      <c r="R2710" s="75"/>
      <c r="S2710" s="75"/>
    </row>
    <row r="2711" spans="18:19" x14ac:dyDescent="0.25">
      <c r="R2711" s="75"/>
      <c r="S2711" s="75"/>
    </row>
    <row r="2712" spans="18:19" x14ac:dyDescent="0.25">
      <c r="R2712" s="75"/>
      <c r="S2712" s="75"/>
    </row>
    <row r="2713" spans="18:19" x14ac:dyDescent="0.25">
      <c r="R2713" s="75"/>
      <c r="S2713" s="75"/>
    </row>
    <row r="2714" spans="18:19" x14ac:dyDescent="0.25">
      <c r="R2714" s="75"/>
      <c r="S2714" s="75"/>
    </row>
    <row r="2715" spans="18:19" x14ac:dyDescent="0.25">
      <c r="R2715" s="75"/>
      <c r="S2715" s="75"/>
    </row>
    <row r="2716" spans="18:19" x14ac:dyDescent="0.25">
      <c r="R2716" s="75"/>
      <c r="S2716" s="75"/>
    </row>
    <row r="2717" spans="18:19" x14ac:dyDescent="0.25">
      <c r="R2717" s="75"/>
      <c r="S2717" s="75"/>
    </row>
    <row r="2718" spans="18:19" x14ac:dyDescent="0.25">
      <c r="R2718" s="75"/>
      <c r="S2718" s="75"/>
    </row>
    <row r="2719" spans="18:19" x14ac:dyDescent="0.25">
      <c r="R2719" s="75"/>
      <c r="S2719" s="75"/>
    </row>
    <row r="2720" spans="18:19" x14ac:dyDescent="0.25">
      <c r="R2720" s="75"/>
      <c r="S2720" s="75"/>
    </row>
    <row r="2721" spans="18:19" x14ac:dyDescent="0.25">
      <c r="R2721" s="75"/>
      <c r="S2721" s="75"/>
    </row>
    <row r="2722" spans="18:19" x14ac:dyDescent="0.25">
      <c r="R2722" s="75"/>
      <c r="S2722" s="75"/>
    </row>
    <row r="2723" spans="18:19" x14ac:dyDescent="0.25">
      <c r="R2723" s="75"/>
      <c r="S2723" s="75"/>
    </row>
    <row r="2724" spans="18:19" x14ac:dyDescent="0.25">
      <c r="R2724" s="75"/>
      <c r="S2724" s="75"/>
    </row>
    <row r="2725" spans="18:19" x14ac:dyDescent="0.25">
      <c r="R2725" s="75"/>
      <c r="S2725" s="75"/>
    </row>
    <row r="2726" spans="18:19" x14ac:dyDescent="0.25">
      <c r="R2726" s="75"/>
      <c r="S2726" s="75"/>
    </row>
    <row r="2727" spans="18:19" x14ac:dyDescent="0.25">
      <c r="R2727" s="75"/>
      <c r="S2727" s="75"/>
    </row>
    <row r="2728" spans="18:19" x14ac:dyDescent="0.25">
      <c r="R2728" s="75"/>
      <c r="S2728" s="75"/>
    </row>
    <row r="2729" spans="18:19" x14ac:dyDescent="0.25">
      <c r="R2729" s="75"/>
      <c r="S2729" s="75"/>
    </row>
    <row r="2730" spans="18:19" x14ac:dyDescent="0.25">
      <c r="R2730" s="75"/>
      <c r="S2730" s="75"/>
    </row>
    <row r="2731" spans="18:19" x14ac:dyDescent="0.25">
      <c r="R2731" s="75"/>
      <c r="S2731" s="75"/>
    </row>
    <row r="2732" spans="18:19" x14ac:dyDescent="0.25">
      <c r="R2732" s="75"/>
      <c r="S2732" s="75"/>
    </row>
    <row r="2733" spans="18:19" x14ac:dyDescent="0.25">
      <c r="R2733" s="75"/>
      <c r="S2733" s="75"/>
    </row>
    <row r="2734" spans="18:19" x14ac:dyDescent="0.25">
      <c r="R2734" s="75"/>
      <c r="S2734" s="75"/>
    </row>
    <row r="2735" spans="18:19" x14ac:dyDescent="0.25">
      <c r="R2735" s="75"/>
      <c r="S2735" s="75"/>
    </row>
    <row r="2736" spans="18:19" x14ac:dyDescent="0.25">
      <c r="R2736" s="75"/>
      <c r="S2736" s="75"/>
    </row>
    <row r="2737" spans="18:19" x14ac:dyDescent="0.25">
      <c r="R2737" s="75"/>
      <c r="S2737" s="75"/>
    </row>
    <row r="2738" spans="18:19" x14ac:dyDescent="0.25">
      <c r="R2738" s="75"/>
      <c r="S2738" s="75"/>
    </row>
    <row r="2739" spans="18:19" x14ac:dyDescent="0.25">
      <c r="R2739" s="75"/>
      <c r="S2739" s="75"/>
    </row>
    <row r="2740" spans="18:19" x14ac:dyDescent="0.25">
      <c r="R2740" s="75"/>
      <c r="S2740" s="75"/>
    </row>
    <row r="2741" spans="18:19" x14ac:dyDescent="0.25">
      <c r="R2741" s="75"/>
      <c r="S2741" s="75"/>
    </row>
    <row r="2742" spans="18:19" x14ac:dyDescent="0.25">
      <c r="R2742" s="75"/>
      <c r="S2742" s="75"/>
    </row>
    <row r="2743" spans="18:19" x14ac:dyDescent="0.25">
      <c r="R2743" s="75"/>
      <c r="S2743" s="75"/>
    </row>
    <row r="2744" spans="18:19" x14ac:dyDescent="0.25">
      <c r="R2744" s="75"/>
      <c r="S2744" s="75"/>
    </row>
    <row r="2745" spans="18:19" x14ac:dyDescent="0.25">
      <c r="R2745" s="75"/>
      <c r="S2745" s="75"/>
    </row>
    <row r="2746" spans="18:19" x14ac:dyDescent="0.25">
      <c r="R2746" s="75"/>
      <c r="S2746" s="75"/>
    </row>
    <row r="2747" spans="18:19" x14ac:dyDescent="0.25">
      <c r="R2747" s="75"/>
      <c r="S2747" s="75"/>
    </row>
    <row r="2748" spans="18:19" x14ac:dyDescent="0.25">
      <c r="R2748" s="75"/>
      <c r="S2748" s="75"/>
    </row>
    <row r="2749" spans="18:19" x14ac:dyDescent="0.25">
      <c r="R2749" s="75"/>
      <c r="S2749" s="75"/>
    </row>
    <row r="2750" spans="18:19" x14ac:dyDescent="0.25">
      <c r="R2750" s="75"/>
      <c r="S2750" s="75"/>
    </row>
    <row r="2751" spans="18:19" x14ac:dyDescent="0.25">
      <c r="R2751" s="75"/>
      <c r="S2751" s="75"/>
    </row>
    <row r="2752" spans="18:19" x14ac:dyDescent="0.25">
      <c r="R2752" s="75"/>
      <c r="S2752" s="75"/>
    </row>
    <row r="2753" spans="18:19" x14ac:dyDescent="0.25">
      <c r="R2753" s="75"/>
      <c r="S2753" s="75"/>
    </row>
    <row r="2754" spans="18:19" x14ac:dyDescent="0.25">
      <c r="R2754" s="75"/>
      <c r="S2754" s="75"/>
    </row>
    <row r="2755" spans="18:19" x14ac:dyDescent="0.25">
      <c r="R2755" s="75"/>
      <c r="S2755" s="75"/>
    </row>
    <row r="2756" spans="18:19" x14ac:dyDescent="0.25">
      <c r="R2756" s="75"/>
      <c r="S2756" s="75"/>
    </row>
    <row r="2757" spans="18:19" x14ac:dyDescent="0.25">
      <c r="R2757" s="75"/>
      <c r="S2757" s="75"/>
    </row>
    <row r="2758" spans="18:19" x14ac:dyDescent="0.25">
      <c r="R2758" s="75"/>
      <c r="S2758" s="75"/>
    </row>
    <row r="2759" spans="18:19" x14ac:dyDescent="0.25">
      <c r="R2759" s="75"/>
      <c r="S2759" s="75"/>
    </row>
    <row r="2760" spans="18:19" x14ac:dyDescent="0.25">
      <c r="R2760" s="75"/>
      <c r="S2760" s="75"/>
    </row>
    <row r="2761" spans="18:19" x14ac:dyDescent="0.25">
      <c r="R2761" s="75"/>
      <c r="S2761" s="75"/>
    </row>
    <row r="2762" spans="18:19" x14ac:dyDescent="0.25">
      <c r="R2762" s="75"/>
      <c r="S2762" s="75"/>
    </row>
    <row r="2763" spans="18:19" x14ac:dyDescent="0.25">
      <c r="R2763" s="75"/>
      <c r="S2763" s="75"/>
    </row>
    <row r="2764" spans="18:19" x14ac:dyDescent="0.25">
      <c r="R2764" s="75"/>
      <c r="S2764" s="75"/>
    </row>
    <row r="2765" spans="18:19" x14ac:dyDescent="0.25">
      <c r="R2765" s="75"/>
      <c r="S2765" s="75"/>
    </row>
    <row r="2766" spans="18:19" x14ac:dyDescent="0.25">
      <c r="R2766" s="75"/>
      <c r="S2766" s="75"/>
    </row>
    <row r="2767" spans="18:19" x14ac:dyDescent="0.25">
      <c r="R2767" s="75"/>
      <c r="S2767" s="75"/>
    </row>
    <row r="2768" spans="18:19" x14ac:dyDescent="0.25">
      <c r="R2768" s="75"/>
      <c r="S2768" s="75"/>
    </row>
    <row r="2769" spans="18:19" x14ac:dyDescent="0.25">
      <c r="R2769" s="75"/>
      <c r="S2769" s="75"/>
    </row>
    <row r="2770" spans="18:19" x14ac:dyDescent="0.25">
      <c r="R2770" s="75"/>
      <c r="S2770" s="75"/>
    </row>
    <row r="2771" spans="18:19" x14ac:dyDescent="0.25">
      <c r="R2771" s="75"/>
      <c r="S2771" s="75"/>
    </row>
    <row r="2772" spans="18:19" x14ac:dyDescent="0.25">
      <c r="R2772" s="75"/>
      <c r="S2772" s="75"/>
    </row>
    <row r="2773" spans="18:19" x14ac:dyDescent="0.25">
      <c r="R2773" s="75"/>
      <c r="S2773" s="75"/>
    </row>
    <row r="2774" spans="18:19" x14ac:dyDescent="0.25">
      <c r="R2774" s="75"/>
      <c r="S2774" s="75"/>
    </row>
    <row r="2775" spans="18:19" x14ac:dyDescent="0.25">
      <c r="R2775" s="75"/>
      <c r="S2775" s="75"/>
    </row>
    <row r="2776" spans="18:19" x14ac:dyDescent="0.25">
      <c r="R2776" s="75"/>
      <c r="S2776" s="75"/>
    </row>
    <row r="2777" spans="18:19" x14ac:dyDescent="0.25">
      <c r="R2777" s="75"/>
      <c r="S2777" s="75"/>
    </row>
    <row r="2778" spans="18:19" x14ac:dyDescent="0.25">
      <c r="R2778" s="75"/>
      <c r="S2778" s="75"/>
    </row>
    <row r="2779" spans="18:19" x14ac:dyDescent="0.25">
      <c r="R2779" s="75"/>
      <c r="S2779" s="75"/>
    </row>
    <row r="2780" spans="18:19" x14ac:dyDescent="0.25">
      <c r="R2780" s="75"/>
      <c r="S2780" s="75"/>
    </row>
    <row r="2781" spans="18:19" x14ac:dyDescent="0.25">
      <c r="R2781" s="75"/>
      <c r="S2781" s="75"/>
    </row>
    <row r="2782" spans="18:19" x14ac:dyDescent="0.25">
      <c r="R2782" s="75"/>
      <c r="S2782" s="75"/>
    </row>
    <row r="2783" spans="18:19" x14ac:dyDescent="0.25">
      <c r="R2783" s="75"/>
      <c r="S2783" s="75"/>
    </row>
    <row r="2784" spans="18:19" x14ac:dyDescent="0.25">
      <c r="R2784" s="75"/>
      <c r="S2784" s="75"/>
    </row>
    <row r="2785" spans="18:19" x14ac:dyDescent="0.25">
      <c r="R2785" s="75"/>
      <c r="S2785" s="75"/>
    </row>
    <row r="2786" spans="18:19" x14ac:dyDescent="0.25">
      <c r="R2786" s="75"/>
      <c r="S2786" s="75"/>
    </row>
    <row r="2787" spans="18:19" x14ac:dyDescent="0.25">
      <c r="R2787" s="75"/>
      <c r="S2787" s="75"/>
    </row>
    <row r="2788" spans="18:19" x14ac:dyDescent="0.25">
      <c r="R2788" s="75"/>
      <c r="S2788" s="75"/>
    </row>
    <row r="2789" spans="18:19" x14ac:dyDescent="0.25">
      <c r="R2789" s="75"/>
      <c r="S2789" s="75"/>
    </row>
    <row r="2790" spans="18:19" x14ac:dyDescent="0.25">
      <c r="R2790" s="75"/>
      <c r="S2790" s="75"/>
    </row>
    <row r="2791" spans="18:19" x14ac:dyDescent="0.25">
      <c r="R2791" s="75"/>
      <c r="S2791" s="75"/>
    </row>
    <row r="2792" spans="18:19" x14ac:dyDescent="0.25">
      <c r="R2792" s="75"/>
      <c r="S2792" s="75"/>
    </row>
    <row r="2793" spans="18:19" x14ac:dyDescent="0.25">
      <c r="R2793" s="75"/>
      <c r="S2793" s="75"/>
    </row>
    <row r="2794" spans="18:19" x14ac:dyDescent="0.25">
      <c r="R2794" s="75"/>
      <c r="S2794" s="75"/>
    </row>
    <row r="2795" spans="18:19" x14ac:dyDescent="0.25">
      <c r="R2795" s="75"/>
      <c r="S2795" s="75"/>
    </row>
    <row r="2796" spans="18:19" x14ac:dyDescent="0.25">
      <c r="R2796" s="75"/>
      <c r="S2796" s="75"/>
    </row>
    <row r="2797" spans="18:19" x14ac:dyDescent="0.25">
      <c r="R2797" s="75"/>
      <c r="S2797" s="75"/>
    </row>
    <row r="2798" spans="18:19" x14ac:dyDescent="0.25">
      <c r="R2798" s="75"/>
      <c r="S2798" s="75"/>
    </row>
    <row r="2799" spans="18:19" x14ac:dyDescent="0.25">
      <c r="R2799" s="75"/>
      <c r="S2799" s="75"/>
    </row>
    <row r="2800" spans="18:19" x14ac:dyDescent="0.25">
      <c r="R2800" s="75"/>
      <c r="S2800" s="75"/>
    </row>
    <row r="2801" spans="18:19" x14ac:dyDescent="0.25">
      <c r="R2801" s="75"/>
      <c r="S2801" s="75"/>
    </row>
    <row r="2802" spans="18:19" x14ac:dyDescent="0.25">
      <c r="R2802" s="75"/>
      <c r="S2802" s="75"/>
    </row>
    <row r="2803" spans="18:19" x14ac:dyDescent="0.25">
      <c r="R2803" s="75"/>
      <c r="S2803" s="75"/>
    </row>
    <row r="2804" spans="18:19" x14ac:dyDescent="0.25">
      <c r="R2804" s="75"/>
      <c r="S2804" s="75"/>
    </row>
    <row r="2805" spans="18:19" x14ac:dyDescent="0.25">
      <c r="R2805" s="75"/>
      <c r="S2805" s="75"/>
    </row>
    <row r="2806" spans="18:19" x14ac:dyDescent="0.25">
      <c r="R2806" s="75"/>
      <c r="S2806" s="75"/>
    </row>
    <row r="2807" spans="18:19" x14ac:dyDescent="0.25">
      <c r="R2807" s="75"/>
      <c r="S2807" s="75"/>
    </row>
    <row r="2808" spans="18:19" x14ac:dyDescent="0.25">
      <c r="R2808" s="75"/>
      <c r="S2808" s="75"/>
    </row>
    <row r="2809" spans="18:19" x14ac:dyDescent="0.25">
      <c r="R2809" s="75"/>
      <c r="S2809" s="75"/>
    </row>
    <row r="2810" spans="18:19" x14ac:dyDescent="0.25">
      <c r="R2810" s="75"/>
      <c r="S2810" s="75"/>
    </row>
    <row r="2811" spans="18:19" x14ac:dyDescent="0.25">
      <c r="R2811" s="75"/>
      <c r="S2811" s="75"/>
    </row>
    <row r="2812" spans="18:19" x14ac:dyDescent="0.25">
      <c r="R2812" s="75"/>
      <c r="S2812" s="75"/>
    </row>
    <row r="2813" spans="18:19" x14ac:dyDescent="0.25">
      <c r="R2813" s="75"/>
      <c r="S2813" s="75"/>
    </row>
    <row r="2814" spans="18:19" x14ac:dyDescent="0.25">
      <c r="R2814" s="75"/>
      <c r="S2814" s="75"/>
    </row>
    <row r="2815" spans="18:19" x14ac:dyDescent="0.25">
      <c r="R2815" s="75"/>
      <c r="S2815" s="75"/>
    </row>
    <row r="2816" spans="18:19" x14ac:dyDescent="0.25">
      <c r="R2816" s="75"/>
      <c r="S2816" s="75"/>
    </row>
    <row r="2817" spans="18:19" x14ac:dyDescent="0.25">
      <c r="R2817" s="75"/>
      <c r="S2817" s="75"/>
    </row>
    <row r="2818" spans="18:19" x14ac:dyDescent="0.25">
      <c r="R2818" s="75"/>
      <c r="S2818" s="75"/>
    </row>
    <row r="2819" spans="18:19" x14ac:dyDescent="0.25">
      <c r="R2819" s="75"/>
      <c r="S2819" s="75"/>
    </row>
    <row r="2820" spans="18:19" x14ac:dyDescent="0.25">
      <c r="R2820" s="75"/>
      <c r="S2820" s="75"/>
    </row>
    <row r="2821" spans="18:19" x14ac:dyDescent="0.25">
      <c r="R2821" s="75"/>
      <c r="S2821" s="75"/>
    </row>
    <row r="2822" spans="18:19" x14ac:dyDescent="0.25">
      <c r="R2822" s="75"/>
      <c r="S2822" s="75"/>
    </row>
    <row r="2823" spans="18:19" x14ac:dyDescent="0.25">
      <c r="R2823" s="75"/>
      <c r="S2823" s="75"/>
    </row>
    <row r="2824" spans="18:19" x14ac:dyDescent="0.25">
      <c r="R2824" s="75"/>
      <c r="S2824" s="75"/>
    </row>
    <row r="2825" spans="18:19" x14ac:dyDescent="0.25">
      <c r="R2825" s="75"/>
      <c r="S2825" s="75"/>
    </row>
    <row r="2826" spans="18:19" x14ac:dyDescent="0.25">
      <c r="R2826" s="75"/>
      <c r="S2826" s="75"/>
    </row>
    <row r="2827" spans="18:19" x14ac:dyDescent="0.25">
      <c r="R2827" s="75"/>
      <c r="S2827" s="75"/>
    </row>
    <row r="2828" spans="18:19" x14ac:dyDescent="0.25">
      <c r="R2828" s="75"/>
      <c r="S2828" s="75"/>
    </row>
    <row r="2829" spans="18:19" x14ac:dyDescent="0.25">
      <c r="R2829" s="75"/>
      <c r="S2829" s="75"/>
    </row>
    <row r="2830" spans="18:19" x14ac:dyDescent="0.25">
      <c r="R2830" s="75"/>
      <c r="S2830" s="75"/>
    </row>
    <row r="2831" spans="18:19" x14ac:dyDescent="0.25">
      <c r="R2831" s="75"/>
      <c r="S2831" s="75"/>
    </row>
    <row r="2832" spans="18:19" x14ac:dyDescent="0.25">
      <c r="R2832" s="75"/>
      <c r="S2832" s="75"/>
    </row>
    <row r="2833" spans="18:19" x14ac:dyDescent="0.25">
      <c r="R2833" s="75"/>
      <c r="S2833" s="75"/>
    </row>
    <row r="2834" spans="18:19" x14ac:dyDescent="0.25">
      <c r="R2834" s="75"/>
      <c r="S2834" s="75"/>
    </row>
    <row r="2835" spans="18:19" x14ac:dyDescent="0.25">
      <c r="R2835" s="75"/>
      <c r="S2835" s="75"/>
    </row>
    <row r="2836" spans="18:19" x14ac:dyDescent="0.25">
      <c r="R2836" s="75"/>
      <c r="S2836" s="75"/>
    </row>
    <row r="2837" spans="18:19" x14ac:dyDescent="0.25">
      <c r="R2837" s="75"/>
      <c r="S2837" s="75"/>
    </row>
    <row r="2838" spans="18:19" x14ac:dyDescent="0.25">
      <c r="R2838" s="75"/>
      <c r="S2838" s="75"/>
    </row>
    <row r="2839" spans="18:19" x14ac:dyDescent="0.25">
      <c r="R2839" s="75"/>
      <c r="S2839" s="75"/>
    </row>
    <row r="2840" spans="18:19" x14ac:dyDescent="0.25">
      <c r="R2840" s="75"/>
      <c r="S2840" s="75"/>
    </row>
    <row r="2841" spans="18:19" x14ac:dyDescent="0.25">
      <c r="R2841" s="75"/>
      <c r="S2841" s="75"/>
    </row>
    <row r="2842" spans="18:19" x14ac:dyDescent="0.25">
      <c r="R2842" s="75"/>
      <c r="S2842" s="75"/>
    </row>
    <row r="2843" spans="18:19" x14ac:dyDescent="0.25">
      <c r="R2843" s="75"/>
      <c r="S2843" s="75"/>
    </row>
    <row r="2844" spans="18:19" x14ac:dyDescent="0.25">
      <c r="R2844" s="75"/>
      <c r="S2844" s="75"/>
    </row>
    <row r="2845" spans="18:19" x14ac:dyDescent="0.25">
      <c r="R2845" s="75"/>
      <c r="S2845" s="75"/>
    </row>
    <row r="2846" spans="18:19" x14ac:dyDescent="0.25">
      <c r="R2846" s="75"/>
      <c r="S2846" s="75"/>
    </row>
    <row r="2847" spans="18:19" x14ac:dyDescent="0.25">
      <c r="R2847" s="75"/>
      <c r="S2847" s="75"/>
    </row>
    <row r="2848" spans="18:19" x14ac:dyDescent="0.25">
      <c r="R2848" s="75"/>
      <c r="S2848" s="75"/>
    </row>
    <row r="2849" spans="18:19" x14ac:dyDescent="0.25">
      <c r="R2849" s="75"/>
      <c r="S2849" s="75"/>
    </row>
    <row r="2850" spans="18:19" x14ac:dyDescent="0.25">
      <c r="R2850" s="75"/>
      <c r="S2850" s="75"/>
    </row>
    <row r="2851" spans="18:19" x14ac:dyDescent="0.25">
      <c r="R2851" s="75"/>
      <c r="S2851" s="75"/>
    </row>
    <row r="2852" spans="18:19" x14ac:dyDescent="0.25">
      <c r="R2852" s="75"/>
      <c r="S2852" s="75"/>
    </row>
    <row r="2853" spans="18:19" x14ac:dyDescent="0.25">
      <c r="R2853" s="75"/>
      <c r="S2853" s="75"/>
    </row>
    <row r="2854" spans="18:19" x14ac:dyDescent="0.25">
      <c r="R2854" s="75"/>
      <c r="S2854" s="75"/>
    </row>
    <row r="2855" spans="18:19" x14ac:dyDescent="0.25">
      <c r="R2855" s="75"/>
      <c r="S2855" s="75"/>
    </row>
    <row r="2856" spans="18:19" x14ac:dyDescent="0.25">
      <c r="R2856" s="75"/>
      <c r="S2856" s="75"/>
    </row>
    <row r="2857" spans="18:19" x14ac:dyDescent="0.25">
      <c r="R2857" s="75"/>
      <c r="S2857" s="75"/>
    </row>
    <row r="2858" spans="18:19" x14ac:dyDescent="0.25">
      <c r="R2858" s="75"/>
      <c r="S2858" s="75"/>
    </row>
    <row r="2859" spans="18:19" x14ac:dyDescent="0.25">
      <c r="R2859" s="75"/>
      <c r="S2859" s="75"/>
    </row>
    <row r="2860" spans="18:19" x14ac:dyDescent="0.25">
      <c r="R2860" s="75"/>
      <c r="S2860" s="75"/>
    </row>
    <row r="2861" spans="18:19" x14ac:dyDescent="0.25">
      <c r="R2861" s="75"/>
      <c r="S2861" s="75"/>
    </row>
    <row r="2862" spans="18:19" x14ac:dyDescent="0.25">
      <c r="R2862" s="75"/>
      <c r="S2862" s="75"/>
    </row>
    <row r="2863" spans="18:19" x14ac:dyDescent="0.25">
      <c r="R2863" s="75"/>
      <c r="S2863" s="75"/>
    </row>
    <row r="2864" spans="18:19" x14ac:dyDescent="0.25">
      <c r="R2864" s="75"/>
      <c r="S2864" s="75"/>
    </row>
    <row r="2865" spans="18:19" x14ac:dyDescent="0.25">
      <c r="R2865" s="75"/>
      <c r="S2865" s="75"/>
    </row>
    <row r="2866" spans="18:19" x14ac:dyDescent="0.25">
      <c r="R2866" s="75"/>
      <c r="S2866" s="75"/>
    </row>
    <row r="2867" spans="18:19" x14ac:dyDescent="0.25">
      <c r="R2867" s="75"/>
      <c r="S2867" s="75"/>
    </row>
    <row r="2868" spans="18:19" x14ac:dyDescent="0.25">
      <c r="R2868" s="75"/>
      <c r="S2868" s="75"/>
    </row>
    <row r="2869" spans="18:19" x14ac:dyDescent="0.25">
      <c r="R2869" s="75"/>
      <c r="S2869" s="75"/>
    </row>
    <row r="2870" spans="18:19" x14ac:dyDescent="0.25">
      <c r="R2870" s="75"/>
      <c r="S2870" s="75"/>
    </row>
    <row r="2871" spans="18:19" x14ac:dyDescent="0.25">
      <c r="R2871" s="75"/>
      <c r="S2871" s="75"/>
    </row>
    <row r="2872" spans="18:19" x14ac:dyDescent="0.25">
      <c r="R2872" s="75"/>
      <c r="S2872" s="75"/>
    </row>
    <row r="2873" spans="18:19" x14ac:dyDescent="0.25">
      <c r="R2873" s="75"/>
      <c r="S2873" s="75"/>
    </row>
    <row r="2874" spans="18:19" x14ac:dyDescent="0.25">
      <c r="R2874" s="75"/>
      <c r="S2874" s="75"/>
    </row>
    <row r="2875" spans="18:19" x14ac:dyDescent="0.25">
      <c r="R2875" s="75"/>
      <c r="S2875" s="75"/>
    </row>
    <row r="2876" spans="18:19" x14ac:dyDescent="0.25">
      <c r="R2876" s="75"/>
      <c r="S2876" s="75"/>
    </row>
    <row r="2877" spans="18:19" x14ac:dyDescent="0.25">
      <c r="R2877" s="75"/>
      <c r="S2877" s="75"/>
    </row>
    <row r="2878" spans="18:19" x14ac:dyDescent="0.25">
      <c r="R2878" s="75"/>
      <c r="S2878" s="75"/>
    </row>
    <row r="2879" spans="18:19" x14ac:dyDescent="0.25">
      <c r="R2879" s="75"/>
      <c r="S2879" s="75"/>
    </row>
    <row r="2880" spans="18:19" x14ac:dyDescent="0.25">
      <c r="R2880" s="75"/>
      <c r="S2880" s="75"/>
    </row>
    <row r="2881" spans="18:19" x14ac:dyDescent="0.25">
      <c r="R2881" s="75"/>
      <c r="S2881" s="75"/>
    </row>
    <row r="2882" spans="18:19" x14ac:dyDescent="0.25">
      <c r="R2882" s="75"/>
      <c r="S2882" s="75"/>
    </row>
    <row r="2883" spans="18:19" x14ac:dyDescent="0.25">
      <c r="R2883" s="75"/>
      <c r="S2883" s="75"/>
    </row>
    <row r="2884" spans="18:19" x14ac:dyDescent="0.25">
      <c r="R2884" s="75"/>
      <c r="S2884" s="75"/>
    </row>
    <row r="2885" spans="18:19" x14ac:dyDescent="0.25">
      <c r="R2885" s="75"/>
      <c r="S2885" s="75"/>
    </row>
    <row r="2886" spans="18:19" x14ac:dyDescent="0.25">
      <c r="R2886" s="75"/>
      <c r="S2886" s="75"/>
    </row>
    <row r="2887" spans="18:19" x14ac:dyDescent="0.25">
      <c r="R2887" s="75"/>
      <c r="S2887" s="75"/>
    </row>
    <row r="2888" spans="18:19" x14ac:dyDescent="0.25">
      <c r="R2888" s="75"/>
      <c r="S2888" s="75"/>
    </row>
    <row r="2889" spans="18:19" x14ac:dyDescent="0.25">
      <c r="R2889" s="75"/>
      <c r="S2889" s="75"/>
    </row>
    <row r="2890" spans="18:19" x14ac:dyDescent="0.25">
      <c r="R2890" s="75"/>
      <c r="S2890" s="75"/>
    </row>
    <row r="2891" spans="18:19" x14ac:dyDescent="0.25">
      <c r="R2891" s="75"/>
      <c r="S2891" s="75"/>
    </row>
    <row r="2892" spans="18:19" x14ac:dyDescent="0.25">
      <c r="R2892" s="75"/>
      <c r="S2892" s="75"/>
    </row>
    <row r="2893" spans="18:19" x14ac:dyDescent="0.25">
      <c r="R2893" s="75"/>
      <c r="S2893" s="75"/>
    </row>
    <row r="2894" spans="18:19" x14ac:dyDescent="0.25">
      <c r="R2894" s="75"/>
      <c r="S2894" s="75"/>
    </row>
    <row r="2895" spans="18:19" x14ac:dyDescent="0.25">
      <c r="R2895" s="75"/>
      <c r="S2895" s="75"/>
    </row>
    <row r="2896" spans="18:19" x14ac:dyDescent="0.25">
      <c r="R2896" s="75"/>
      <c r="S2896" s="75"/>
    </row>
    <row r="2897" spans="18:19" x14ac:dyDescent="0.25">
      <c r="R2897" s="75"/>
      <c r="S2897" s="75"/>
    </row>
    <row r="2898" spans="18:19" x14ac:dyDescent="0.25">
      <c r="R2898" s="75"/>
      <c r="S2898" s="75"/>
    </row>
    <row r="2899" spans="18:19" x14ac:dyDescent="0.25">
      <c r="R2899" s="75"/>
      <c r="S2899" s="75"/>
    </row>
    <row r="2900" spans="18:19" x14ac:dyDescent="0.25">
      <c r="R2900" s="75"/>
      <c r="S2900" s="75"/>
    </row>
    <row r="2901" spans="18:19" x14ac:dyDescent="0.25">
      <c r="R2901" s="75"/>
      <c r="S2901" s="75"/>
    </row>
    <row r="2902" spans="18:19" x14ac:dyDescent="0.25">
      <c r="R2902" s="75"/>
      <c r="S2902" s="75"/>
    </row>
    <row r="2903" spans="18:19" x14ac:dyDescent="0.25">
      <c r="R2903" s="75"/>
      <c r="S2903" s="75"/>
    </row>
    <row r="2904" spans="18:19" x14ac:dyDescent="0.25">
      <c r="R2904" s="75"/>
      <c r="S2904" s="75"/>
    </row>
    <row r="2905" spans="18:19" x14ac:dyDescent="0.25">
      <c r="R2905" s="75"/>
      <c r="S2905" s="75"/>
    </row>
    <row r="2906" spans="18:19" x14ac:dyDescent="0.25">
      <c r="R2906" s="75"/>
      <c r="S2906" s="75"/>
    </row>
    <row r="2907" spans="18:19" x14ac:dyDescent="0.25">
      <c r="R2907" s="75"/>
      <c r="S2907" s="75"/>
    </row>
    <row r="2908" spans="18:19" x14ac:dyDescent="0.25">
      <c r="R2908" s="75"/>
      <c r="S2908" s="75"/>
    </row>
    <row r="2909" spans="18:19" x14ac:dyDescent="0.25">
      <c r="R2909" s="75"/>
      <c r="S2909" s="75"/>
    </row>
    <row r="2910" spans="18:19" x14ac:dyDescent="0.25">
      <c r="R2910" s="75"/>
      <c r="S2910" s="75"/>
    </row>
    <row r="2911" spans="18:19" x14ac:dyDescent="0.25">
      <c r="R2911" s="75"/>
      <c r="S2911" s="75"/>
    </row>
    <row r="2912" spans="18:19" x14ac:dyDescent="0.25">
      <c r="R2912" s="75"/>
      <c r="S2912" s="75"/>
    </row>
    <row r="2913" spans="18:19" x14ac:dyDescent="0.25">
      <c r="R2913" s="75"/>
      <c r="S2913" s="75"/>
    </row>
    <row r="2914" spans="18:19" x14ac:dyDescent="0.25">
      <c r="R2914" s="75"/>
      <c r="S2914" s="75"/>
    </row>
    <row r="2915" spans="18:19" x14ac:dyDescent="0.25">
      <c r="R2915" s="75"/>
      <c r="S2915" s="75"/>
    </row>
    <row r="2916" spans="18:19" x14ac:dyDescent="0.25">
      <c r="R2916" s="75"/>
      <c r="S2916" s="75"/>
    </row>
    <row r="2917" spans="18:19" x14ac:dyDescent="0.25">
      <c r="R2917" s="75"/>
      <c r="S2917" s="75"/>
    </row>
    <row r="2918" spans="18:19" x14ac:dyDescent="0.25">
      <c r="R2918" s="75"/>
      <c r="S2918" s="75"/>
    </row>
    <row r="2919" spans="18:19" x14ac:dyDescent="0.25">
      <c r="R2919" s="75"/>
      <c r="S2919" s="75"/>
    </row>
    <row r="2920" spans="18:19" x14ac:dyDescent="0.25">
      <c r="R2920" s="75"/>
      <c r="S2920" s="75"/>
    </row>
    <row r="2921" spans="18:19" x14ac:dyDescent="0.25">
      <c r="R2921" s="75"/>
      <c r="S2921" s="75"/>
    </row>
    <row r="2922" spans="18:19" x14ac:dyDescent="0.25">
      <c r="R2922" s="75"/>
      <c r="S2922" s="75"/>
    </row>
    <row r="2923" spans="18:19" x14ac:dyDescent="0.25">
      <c r="R2923" s="75"/>
      <c r="S2923" s="75"/>
    </row>
    <row r="2924" spans="18:19" x14ac:dyDescent="0.25">
      <c r="R2924" s="75"/>
      <c r="S2924" s="75"/>
    </row>
    <row r="2925" spans="18:19" x14ac:dyDescent="0.25">
      <c r="R2925" s="75"/>
      <c r="S2925" s="75"/>
    </row>
    <row r="2926" spans="18:19" x14ac:dyDescent="0.25">
      <c r="R2926" s="75"/>
      <c r="S2926" s="75"/>
    </row>
    <row r="2927" spans="18:19" x14ac:dyDescent="0.25">
      <c r="R2927" s="75"/>
      <c r="S2927" s="75"/>
    </row>
    <row r="2928" spans="18:19" x14ac:dyDescent="0.25">
      <c r="R2928" s="75"/>
      <c r="S2928" s="75"/>
    </row>
    <row r="2929" spans="18:19" x14ac:dyDescent="0.25">
      <c r="R2929" s="75"/>
      <c r="S2929" s="75"/>
    </row>
    <row r="2930" spans="18:19" x14ac:dyDescent="0.25">
      <c r="R2930" s="75"/>
      <c r="S2930" s="75"/>
    </row>
    <row r="2931" spans="18:19" x14ac:dyDescent="0.25">
      <c r="R2931" s="75"/>
      <c r="S2931" s="75"/>
    </row>
    <row r="2932" spans="18:19" x14ac:dyDescent="0.25">
      <c r="R2932" s="75"/>
      <c r="S2932" s="75"/>
    </row>
    <row r="2933" spans="18:19" x14ac:dyDescent="0.25">
      <c r="R2933" s="75"/>
      <c r="S2933" s="75"/>
    </row>
    <row r="2934" spans="18:19" x14ac:dyDescent="0.25">
      <c r="R2934" s="75"/>
      <c r="S2934" s="75"/>
    </row>
    <row r="2935" spans="18:19" x14ac:dyDescent="0.25">
      <c r="R2935" s="75"/>
      <c r="S2935" s="75"/>
    </row>
    <row r="2936" spans="18:19" x14ac:dyDescent="0.25">
      <c r="R2936" s="75"/>
      <c r="S2936" s="75"/>
    </row>
    <row r="2937" spans="18:19" x14ac:dyDescent="0.25">
      <c r="R2937" s="75"/>
      <c r="S2937" s="75"/>
    </row>
    <row r="2938" spans="18:19" x14ac:dyDescent="0.25">
      <c r="R2938" s="75"/>
      <c r="S2938" s="75"/>
    </row>
    <row r="2939" spans="18:19" x14ac:dyDescent="0.25">
      <c r="R2939" s="75"/>
      <c r="S2939" s="75"/>
    </row>
    <row r="2940" spans="18:19" x14ac:dyDescent="0.25">
      <c r="R2940" s="75"/>
      <c r="S2940" s="75"/>
    </row>
    <row r="2941" spans="18:19" x14ac:dyDescent="0.25">
      <c r="R2941" s="75"/>
      <c r="S2941" s="75"/>
    </row>
    <row r="2942" spans="18:19" x14ac:dyDescent="0.25">
      <c r="R2942" s="75"/>
      <c r="S2942" s="75"/>
    </row>
    <row r="2943" spans="18:19" x14ac:dyDescent="0.25">
      <c r="R2943" s="75"/>
      <c r="S2943" s="75"/>
    </row>
    <row r="2944" spans="18:19" x14ac:dyDescent="0.25">
      <c r="R2944" s="75"/>
      <c r="S2944" s="75"/>
    </row>
    <row r="2945" spans="18:19" x14ac:dyDescent="0.25">
      <c r="R2945" s="75"/>
      <c r="S2945" s="75"/>
    </row>
    <row r="2946" spans="18:19" x14ac:dyDescent="0.25">
      <c r="R2946" s="75"/>
      <c r="S2946" s="75"/>
    </row>
    <row r="2947" spans="18:19" x14ac:dyDescent="0.25">
      <c r="R2947" s="75"/>
      <c r="S2947" s="75"/>
    </row>
    <row r="2948" spans="18:19" x14ac:dyDescent="0.25">
      <c r="R2948" s="75"/>
      <c r="S2948" s="75"/>
    </row>
    <row r="2949" spans="18:19" x14ac:dyDescent="0.25">
      <c r="R2949" s="75"/>
      <c r="S2949" s="75"/>
    </row>
    <row r="2950" spans="18:19" x14ac:dyDescent="0.25">
      <c r="R2950" s="75"/>
      <c r="S2950" s="75"/>
    </row>
    <row r="2951" spans="18:19" x14ac:dyDescent="0.25">
      <c r="R2951" s="75"/>
      <c r="S2951" s="75"/>
    </row>
    <row r="2952" spans="18:19" x14ac:dyDescent="0.25">
      <c r="R2952" s="75"/>
      <c r="S2952" s="75"/>
    </row>
    <row r="2953" spans="18:19" x14ac:dyDescent="0.25">
      <c r="R2953" s="75"/>
      <c r="S2953" s="75"/>
    </row>
    <row r="2954" spans="18:19" x14ac:dyDescent="0.25">
      <c r="R2954" s="75"/>
      <c r="S2954" s="75"/>
    </row>
    <row r="2955" spans="18:19" x14ac:dyDescent="0.25">
      <c r="R2955" s="75"/>
      <c r="S2955" s="75"/>
    </row>
    <row r="2956" spans="18:19" x14ac:dyDescent="0.25">
      <c r="R2956" s="75"/>
      <c r="S2956" s="75"/>
    </row>
    <row r="2957" spans="18:19" x14ac:dyDescent="0.25">
      <c r="R2957" s="75"/>
      <c r="S2957" s="75"/>
    </row>
    <row r="2958" spans="18:19" x14ac:dyDescent="0.25">
      <c r="R2958" s="75"/>
      <c r="S2958" s="75"/>
    </row>
    <row r="2959" spans="18:19" x14ac:dyDescent="0.25">
      <c r="R2959" s="75"/>
      <c r="S2959" s="75"/>
    </row>
    <row r="2960" spans="18:19" x14ac:dyDescent="0.25">
      <c r="R2960" s="75"/>
      <c r="S2960" s="75"/>
    </row>
    <row r="2961" spans="18:19" x14ac:dyDescent="0.25">
      <c r="R2961" s="75"/>
      <c r="S2961" s="75"/>
    </row>
    <row r="2962" spans="18:19" x14ac:dyDescent="0.25">
      <c r="R2962" s="75"/>
      <c r="S2962" s="75"/>
    </row>
    <row r="2963" spans="18:19" x14ac:dyDescent="0.25">
      <c r="R2963" s="75"/>
      <c r="S2963" s="75"/>
    </row>
    <row r="2964" spans="18:19" x14ac:dyDescent="0.25">
      <c r="R2964" s="75"/>
      <c r="S2964" s="75"/>
    </row>
    <row r="2965" spans="18:19" x14ac:dyDescent="0.25">
      <c r="R2965" s="75"/>
      <c r="S2965" s="75"/>
    </row>
    <row r="2966" spans="18:19" x14ac:dyDescent="0.25">
      <c r="R2966" s="75"/>
      <c r="S2966" s="75"/>
    </row>
    <row r="2967" spans="18:19" x14ac:dyDescent="0.25">
      <c r="R2967" s="75"/>
      <c r="S2967" s="75"/>
    </row>
    <row r="2968" spans="18:19" x14ac:dyDescent="0.25">
      <c r="R2968" s="75"/>
      <c r="S2968" s="75"/>
    </row>
    <row r="2969" spans="18:19" x14ac:dyDescent="0.25">
      <c r="R2969" s="75"/>
      <c r="S2969" s="75"/>
    </row>
    <row r="2970" spans="18:19" x14ac:dyDescent="0.25">
      <c r="R2970" s="75"/>
      <c r="S2970" s="75"/>
    </row>
    <row r="2971" spans="18:19" x14ac:dyDescent="0.25">
      <c r="R2971" s="75"/>
      <c r="S2971" s="75"/>
    </row>
    <row r="2972" spans="18:19" x14ac:dyDescent="0.25">
      <c r="R2972" s="75"/>
      <c r="S2972" s="75"/>
    </row>
    <row r="2973" spans="18:19" x14ac:dyDescent="0.25">
      <c r="R2973" s="75"/>
      <c r="S2973" s="75"/>
    </row>
    <row r="2974" spans="18:19" x14ac:dyDescent="0.25">
      <c r="R2974" s="75"/>
      <c r="S2974" s="75"/>
    </row>
    <row r="2975" spans="18:19" x14ac:dyDescent="0.25">
      <c r="R2975" s="75"/>
      <c r="S2975" s="75"/>
    </row>
    <row r="2976" spans="18:19" x14ac:dyDescent="0.25">
      <c r="R2976" s="75"/>
      <c r="S2976" s="75"/>
    </row>
    <row r="2977" spans="18:19" x14ac:dyDescent="0.25">
      <c r="R2977" s="75"/>
      <c r="S2977" s="75"/>
    </row>
    <row r="2978" spans="18:19" x14ac:dyDescent="0.25">
      <c r="R2978" s="75"/>
      <c r="S2978" s="75"/>
    </row>
    <row r="2979" spans="18:19" x14ac:dyDescent="0.25">
      <c r="R2979" s="75"/>
      <c r="S2979" s="75"/>
    </row>
    <row r="2980" spans="18:19" x14ac:dyDescent="0.25">
      <c r="R2980" s="75"/>
      <c r="S2980" s="75"/>
    </row>
    <row r="2981" spans="18:19" x14ac:dyDescent="0.25">
      <c r="R2981" s="75"/>
      <c r="S2981" s="75"/>
    </row>
    <row r="2982" spans="18:19" x14ac:dyDescent="0.25">
      <c r="R2982" s="75"/>
      <c r="S2982" s="75"/>
    </row>
    <row r="2983" spans="18:19" x14ac:dyDescent="0.25">
      <c r="R2983" s="75"/>
      <c r="S2983" s="75"/>
    </row>
    <row r="2984" spans="18:19" x14ac:dyDescent="0.25">
      <c r="R2984" s="75"/>
      <c r="S2984" s="75"/>
    </row>
    <row r="2985" spans="18:19" x14ac:dyDescent="0.25">
      <c r="R2985" s="75"/>
      <c r="S2985" s="75"/>
    </row>
    <row r="2986" spans="18:19" x14ac:dyDescent="0.25">
      <c r="R2986" s="75"/>
      <c r="S2986" s="75"/>
    </row>
    <row r="2987" spans="18:19" x14ac:dyDescent="0.25">
      <c r="R2987" s="75"/>
      <c r="S2987" s="75"/>
    </row>
    <row r="2988" spans="18:19" x14ac:dyDescent="0.25">
      <c r="R2988" s="75"/>
      <c r="S2988" s="75"/>
    </row>
    <row r="2989" spans="18:19" x14ac:dyDescent="0.25">
      <c r="R2989" s="75"/>
      <c r="S2989" s="75"/>
    </row>
    <row r="2990" spans="18:19" x14ac:dyDescent="0.25">
      <c r="R2990" s="75"/>
      <c r="S2990" s="75"/>
    </row>
    <row r="2991" spans="18:19" x14ac:dyDescent="0.25">
      <c r="R2991" s="75"/>
      <c r="S2991" s="75"/>
    </row>
    <row r="2992" spans="18:19" x14ac:dyDescent="0.25">
      <c r="R2992" s="75"/>
      <c r="S2992" s="75"/>
    </row>
    <row r="2993" spans="18:19" x14ac:dyDescent="0.25">
      <c r="R2993" s="75"/>
      <c r="S2993" s="75"/>
    </row>
    <row r="2994" spans="18:19" x14ac:dyDescent="0.25">
      <c r="R2994" s="75"/>
      <c r="S2994" s="75"/>
    </row>
    <row r="2995" spans="18:19" x14ac:dyDescent="0.25">
      <c r="R2995" s="75"/>
      <c r="S2995" s="75"/>
    </row>
    <row r="2996" spans="18:19" x14ac:dyDescent="0.25">
      <c r="R2996" s="75"/>
      <c r="S2996" s="75"/>
    </row>
    <row r="2997" spans="18:19" x14ac:dyDescent="0.25">
      <c r="R2997" s="75"/>
      <c r="S2997" s="75"/>
    </row>
    <row r="2998" spans="18:19" x14ac:dyDescent="0.25">
      <c r="R2998" s="75"/>
      <c r="S2998" s="75"/>
    </row>
    <row r="2999" spans="18:19" x14ac:dyDescent="0.25">
      <c r="R2999" s="75"/>
      <c r="S2999" s="75"/>
    </row>
    <row r="3000" spans="18:19" x14ac:dyDescent="0.25">
      <c r="R3000" s="75"/>
      <c r="S3000" s="75"/>
    </row>
    <row r="3001" spans="18:19" x14ac:dyDescent="0.25">
      <c r="R3001" s="75"/>
      <c r="S3001" s="75"/>
    </row>
    <row r="3002" spans="18:19" x14ac:dyDescent="0.25">
      <c r="R3002" s="75"/>
      <c r="S3002" s="75"/>
    </row>
    <row r="3003" spans="18:19" x14ac:dyDescent="0.25">
      <c r="R3003" s="75"/>
      <c r="S3003" s="75"/>
    </row>
    <row r="3004" spans="18:19" x14ac:dyDescent="0.25">
      <c r="R3004" s="75"/>
      <c r="S3004" s="75"/>
    </row>
    <row r="3005" spans="18:19" x14ac:dyDescent="0.25">
      <c r="R3005" s="75"/>
      <c r="S3005" s="75"/>
    </row>
    <row r="3006" spans="18:19" x14ac:dyDescent="0.25">
      <c r="R3006" s="75"/>
      <c r="S3006" s="75"/>
    </row>
    <row r="3007" spans="18:19" x14ac:dyDescent="0.25">
      <c r="R3007" s="75"/>
      <c r="S3007" s="75"/>
    </row>
    <row r="3008" spans="18:19" x14ac:dyDescent="0.25">
      <c r="R3008" s="75"/>
      <c r="S3008" s="75"/>
    </row>
    <row r="3009" spans="18:19" x14ac:dyDescent="0.25">
      <c r="R3009" s="75"/>
      <c r="S3009" s="75"/>
    </row>
    <row r="3010" spans="18:19" x14ac:dyDescent="0.25">
      <c r="R3010" s="75"/>
      <c r="S3010" s="75"/>
    </row>
    <row r="3011" spans="18:19" x14ac:dyDescent="0.25">
      <c r="R3011" s="75"/>
      <c r="S3011" s="75"/>
    </row>
    <row r="3012" spans="18:19" x14ac:dyDescent="0.25">
      <c r="R3012" s="75"/>
      <c r="S3012" s="75"/>
    </row>
    <row r="3013" spans="18:19" x14ac:dyDescent="0.25">
      <c r="R3013" s="75"/>
      <c r="S3013" s="75"/>
    </row>
    <row r="3014" spans="18:19" x14ac:dyDescent="0.25">
      <c r="R3014" s="75"/>
      <c r="S3014" s="75"/>
    </row>
    <row r="3015" spans="18:19" x14ac:dyDescent="0.25">
      <c r="R3015" s="75"/>
      <c r="S3015" s="75"/>
    </row>
    <row r="3016" spans="18:19" x14ac:dyDescent="0.25">
      <c r="R3016" s="75"/>
      <c r="S3016" s="75"/>
    </row>
    <row r="3017" spans="18:19" x14ac:dyDescent="0.25">
      <c r="R3017" s="75"/>
      <c r="S3017" s="75"/>
    </row>
    <row r="3018" spans="18:19" x14ac:dyDescent="0.25">
      <c r="R3018" s="75"/>
      <c r="S3018" s="75"/>
    </row>
    <row r="3019" spans="18:19" x14ac:dyDescent="0.25">
      <c r="R3019" s="75"/>
      <c r="S3019" s="75"/>
    </row>
    <row r="3020" spans="18:19" x14ac:dyDescent="0.25">
      <c r="R3020" s="75"/>
      <c r="S3020" s="75"/>
    </row>
    <row r="3021" spans="18:19" x14ac:dyDescent="0.25">
      <c r="R3021" s="75"/>
      <c r="S3021" s="75"/>
    </row>
    <row r="3022" spans="18:19" x14ac:dyDescent="0.25">
      <c r="R3022" s="75"/>
      <c r="S3022" s="75"/>
    </row>
    <row r="3023" spans="18:19" x14ac:dyDescent="0.25">
      <c r="R3023" s="75"/>
      <c r="S3023" s="75"/>
    </row>
    <row r="3024" spans="18:19" x14ac:dyDescent="0.25">
      <c r="R3024" s="75"/>
      <c r="S3024" s="75"/>
    </row>
    <row r="3025" spans="18:19" x14ac:dyDescent="0.25">
      <c r="R3025" s="75"/>
      <c r="S3025" s="75"/>
    </row>
    <row r="3026" spans="18:19" x14ac:dyDescent="0.25">
      <c r="R3026" s="75"/>
      <c r="S3026" s="75"/>
    </row>
    <row r="3027" spans="18:19" x14ac:dyDescent="0.25">
      <c r="R3027" s="75"/>
      <c r="S3027" s="75"/>
    </row>
    <row r="3028" spans="18:19" x14ac:dyDescent="0.25">
      <c r="R3028" s="75"/>
      <c r="S3028" s="75"/>
    </row>
    <row r="3029" spans="18:19" x14ac:dyDescent="0.25">
      <c r="R3029" s="75"/>
      <c r="S3029" s="75"/>
    </row>
    <row r="3030" spans="18:19" x14ac:dyDescent="0.25">
      <c r="R3030" s="75"/>
      <c r="S3030" s="75"/>
    </row>
    <row r="3031" spans="18:19" x14ac:dyDescent="0.25">
      <c r="R3031" s="75"/>
      <c r="S3031" s="75"/>
    </row>
    <row r="3032" spans="18:19" x14ac:dyDescent="0.25">
      <c r="R3032" s="75"/>
      <c r="S3032" s="75"/>
    </row>
    <row r="3033" spans="18:19" x14ac:dyDescent="0.25">
      <c r="R3033" s="75"/>
      <c r="S3033" s="75"/>
    </row>
    <row r="3034" spans="18:19" x14ac:dyDescent="0.25">
      <c r="R3034" s="75"/>
      <c r="S3034" s="75"/>
    </row>
    <row r="3035" spans="18:19" x14ac:dyDescent="0.25">
      <c r="R3035" s="75"/>
      <c r="S3035" s="75"/>
    </row>
    <row r="3036" spans="18:19" x14ac:dyDescent="0.25">
      <c r="R3036" s="75"/>
      <c r="S3036" s="75"/>
    </row>
    <row r="3037" spans="18:19" x14ac:dyDescent="0.25">
      <c r="R3037" s="75"/>
      <c r="S3037" s="75"/>
    </row>
    <row r="3038" spans="18:19" x14ac:dyDescent="0.25">
      <c r="R3038" s="75"/>
      <c r="S3038" s="75"/>
    </row>
    <row r="3039" spans="18:19" x14ac:dyDescent="0.25">
      <c r="R3039" s="75"/>
      <c r="S3039" s="75"/>
    </row>
    <row r="3040" spans="18:19" x14ac:dyDescent="0.25">
      <c r="R3040" s="75"/>
      <c r="S3040" s="75"/>
    </row>
    <row r="3041" spans="18:19" x14ac:dyDescent="0.25">
      <c r="R3041" s="75"/>
      <c r="S3041" s="75"/>
    </row>
    <row r="3042" spans="18:19" x14ac:dyDescent="0.25">
      <c r="R3042" s="75"/>
      <c r="S3042" s="75"/>
    </row>
    <row r="3043" spans="18:19" x14ac:dyDescent="0.25">
      <c r="R3043" s="75"/>
      <c r="S3043" s="75"/>
    </row>
    <row r="3044" spans="18:19" x14ac:dyDescent="0.25">
      <c r="R3044" s="75"/>
      <c r="S3044" s="75"/>
    </row>
    <row r="3045" spans="18:19" x14ac:dyDescent="0.25">
      <c r="R3045" s="75"/>
      <c r="S3045" s="75"/>
    </row>
    <row r="3046" spans="18:19" x14ac:dyDescent="0.25">
      <c r="R3046" s="75"/>
      <c r="S3046" s="75"/>
    </row>
    <row r="3047" spans="18:19" x14ac:dyDescent="0.25">
      <c r="R3047" s="75"/>
      <c r="S3047" s="75"/>
    </row>
    <row r="3048" spans="18:19" x14ac:dyDescent="0.25">
      <c r="R3048" s="75"/>
      <c r="S3048" s="75"/>
    </row>
    <row r="3049" spans="18:19" x14ac:dyDescent="0.25">
      <c r="R3049" s="75"/>
      <c r="S3049" s="75"/>
    </row>
    <row r="3050" spans="18:19" x14ac:dyDescent="0.25">
      <c r="R3050" s="75"/>
      <c r="S3050" s="75"/>
    </row>
    <row r="3051" spans="18:19" x14ac:dyDescent="0.25">
      <c r="R3051" s="75"/>
      <c r="S3051" s="75"/>
    </row>
    <row r="3052" spans="18:19" x14ac:dyDescent="0.25">
      <c r="R3052" s="75"/>
      <c r="S3052" s="75"/>
    </row>
    <row r="3053" spans="18:19" x14ac:dyDescent="0.25">
      <c r="R3053" s="75"/>
      <c r="S3053" s="75"/>
    </row>
    <row r="3054" spans="18:19" x14ac:dyDescent="0.25">
      <c r="R3054" s="75"/>
      <c r="S3054" s="75"/>
    </row>
    <row r="3055" spans="18:19" x14ac:dyDescent="0.25">
      <c r="R3055" s="75"/>
      <c r="S3055" s="75"/>
    </row>
    <row r="3056" spans="18:19" x14ac:dyDescent="0.25">
      <c r="R3056" s="75"/>
      <c r="S3056" s="75"/>
    </row>
    <row r="3057" spans="18:19" x14ac:dyDescent="0.25">
      <c r="R3057" s="75"/>
      <c r="S3057" s="75"/>
    </row>
    <row r="3058" spans="18:19" x14ac:dyDescent="0.25">
      <c r="R3058" s="75"/>
      <c r="S3058" s="75"/>
    </row>
    <row r="3059" spans="18:19" x14ac:dyDescent="0.25">
      <c r="R3059" s="75"/>
      <c r="S3059" s="75"/>
    </row>
    <row r="3060" spans="18:19" x14ac:dyDescent="0.25">
      <c r="R3060" s="75"/>
      <c r="S3060" s="75"/>
    </row>
    <row r="3061" spans="18:19" x14ac:dyDescent="0.25">
      <c r="R3061" s="75"/>
      <c r="S3061" s="75"/>
    </row>
    <row r="3062" spans="18:19" x14ac:dyDescent="0.25">
      <c r="R3062" s="75"/>
      <c r="S3062" s="75"/>
    </row>
    <row r="3063" spans="18:19" x14ac:dyDescent="0.25">
      <c r="R3063" s="75"/>
      <c r="S3063" s="75"/>
    </row>
    <row r="3064" spans="18:19" x14ac:dyDescent="0.25">
      <c r="R3064" s="75"/>
      <c r="S3064" s="75"/>
    </row>
    <row r="3065" spans="18:19" x14ac:dyDescent="0.25">
      <c r="R3065" s="75"/>
      <c r="S3065" s="75"/>
    </row>
    <row r="3066" spans="18:19" x14ac:dyDescent="0.25">
      <c r="R3066" s="75"/>
      <c r="S3066" s="75"/>
    </row>
    <row r="3067" spans="18:19" x14ac:dyDescent="0.25">
      <c r="R3067" s="75"/>
      <c r="S3067" s="75"/>
    </row>
    <row r="3068" spans="18:19" x14ac:dyDescent="0.25">
      <c r="R3068" s="75"/>
      <c r="S3068" s="75"/>
    </row>
    <row r="3069" spans="18:19" x14ac:dyDescent="0.25">
      <c r="R3069" s="75"/>
      <c r="S3069" s="75"/>
    </row>
    <row r="3070" spans="18:19" x14ac:dyDescent="0.25">
      <c r="R3070" s="75"/>
      <c r="S3070" s="75"/>
    </row>
    <row r="3071" spans="18:19" x14ac:dyDescent="0.25">
      <c r="R3071" s="75"/>
      <c r="S3071" s="75"/>
    </row>
    <row r="3072" spans="18:19" x14ac:dyDescent="0.25">
      <c r="R3072" s="75"/>
      <c r="S3072" s="75"/>
    </row>
    <row r="3073" spans="18:19" x14ac:dyDescent="0.25">
      <c r="R3073" s="75"/>
      <c r="S3073" s="75"/>
    </row>
    <row r="3074" spans="18:19" x14ac:dyDescent="0.25">
      <c r="R3074" s="75"/>
      <c r="S3074" s="75"/>
    </row>
    <row r="3075" spans="18:19" x14ac:dyDescent="0.25">
      <c r="R3075" s="75"/>
      <c r="S3075" s="75"/>
    </row>
    <row r="3076" spans="18:19" x14ac:dyDescent="0.25">
      <c r="R3076" s="75"/>
      <c r="S3076" s="75"/>
    </row>
    <row r="3077" spans="18:19" x14ac:dyDescent="0.25">
      <c r="R3077" s="75"/>
      <c r="S3077" s="75"/>
    </row>
    <row r="3078" spans="18:19" x14ac:dyDescent="0.25">
      <c r="R3078" s="75"/>
      <c r="S3078" s="75"/>
    </row>
    <row r="3079" spans="18:19" x14ac:dyDescent="0.25">
      <c r="R3079" s="75"/>
      <c r="S3079" s="75"/>
    </row>
    <row r="3080" spans="18:19" x14ac:dyDescent="0.25">
      <c r="R3080" s="75"/>
      <c r="S3080" s="75"/>
    </row>
    <row r="3081" spans="18:19" x14ac:dyDescent="0.25">
      <c r="R3081" s="75"/>
      <c r="S3081" s="75"/>
    </row>
    <row r="3082" spans="18:19" x14ac:dyDescent="0.25">
      <c r="R3082" s="75"/>
      <c r="S3082" s="75"/>
    </row>
    <row r="3083" spans="18:19" x14ac:dyDescent="0.25">
      <c r="R3083" s="75"/>
      <c r="S3083" s="75"/>
    </row>
    <row r="3084" spans="18:19" x14ac:dyDescent="0.25">
      <c r="R3084" s="75"/>
      <c r="S3084" s="75"/>
    </row>
    <row r="3085" spans="18:19" x14ac:dyDescent="0.25">
      <c r="R3085" s="75"/>
      <c r="S3085" s="75"/>
    </row>
    <row r="3086" spans="18:19" x14ac:dyDescent="0.25">
      <c r="R3086" s="75"/>
      <c r="S3086" s="75"/>
    </row>
    <row r="3087" spans="18:19" x14ac:dyDescent="0.25">
      <c r="R3087" s="75"/>
      <c r="S3087" s="75"/>
    </row>
    <row r="3088" spans="18:19" x14ac:dyDescent="0.25">
      <c r="R3088" s="75"/>
      <c r="S3088" s="75"/>
    </row>
    <row r="3089" spans="18:19" x14ac:dyDescent="0.25">
      <c r="R3089" s="75"/>
      <c r="S3089" s="75"/>
    </row>
    <row r="3090" spans="18:19" x14ac:dyDescent="0.25">
      <c r="R3090" s="75"/>
      <c r="S3090" s="75"/>
    </row>
    <row r="3091" spans="18:19" x14ac:dyDescent="0.25">
      <c r="R3091" s="75"/>
      <c r="S3091" s="75"/>
    </row>
    <row r="3092" spans="18:19" x14ac:dyDescent="0.25">
      <c r="R3092" s="75"/>
      <c r="S3092" s="75"/>
    </row>
    <row r="3093" spans="18:19" x14ac:dyDescent="0.25">
      <c r="R3093" s="75"/>
      <c r="S3093" s="75"/>
    </row>
    <row r="3094" spans="18:19" x14ac:dyDescent="0.25">
      <c r="R3094" s="75"/>
      <c r="S3094" s="75"/>
    </row>
    <row r="3095" spans="18:19" x14ac:dyDescent="0.25">
      <c r="R3095" s="75"/>
      <c r="S3095" s="75"/>
    </row>
    <row r="3096" spans="18:19" x14ac:dyDescent="0.25">
      <c r="R3096" s="75"/>
      <c r="S3096" s="75"/>
    </row>
    <row r="3097" spans="18:19" x14ac:dyDescent="0.25">
      <c r="R3097" s="75"/>
      <c r="S3097" s="75"/>
    </row>
    <row r="3098" spans="18:19" x14ac:dyDescent="0.25">
      <c r="R3098" s="75"/>
      <c r="S3098" s="75"/>
    </row>
    <row r="3099" spans="18:19" x14ac:dyDescent="0.25">
      <c r="R3099" s="75"/>
      <c r="S3099" s="75"/>
    </row>
    <row r="3100" spans="18:19" x14ac:dyDescent="0.25">
      <c r="R3100" s="75"/>
      <c r="S3100" s="75"/>
    </row>
    <row r="3101" spans="18:19" x14ac:dyDescent="0.25">
      <c r="R3101" s="75"/>
      <c r="S3101" s="75"/>
    </row>
    <row r="3102" spans="18:19" x14ac:dyDescent="0.25">
      <c r="R3102" s="75"/>
      <c r="S3102" s="75"/>
    </row>
    <row r="3103" spans="18:19" x14ac:dyDescent="0.25">
      <c r="R3103" s="75"/>
      <c r="S3103" s="75"/>
    </row>
    <row r="3104" spans="18:19" x14ac:dyDescent="0.25">
      <c r="R3104" s="75"/>
      <c r="S3104" s="75"/>
    </row>
    <row r="3105" spans="18:19" x14ac:dyDescent="0.25">
      <c r="R3105" s="75"/>
      <c r="S3105" s="75"/>
    </row>
    <row r="3106" spans="18:19" x14ac:dyDescent="0.25">
      <c r="R3106" s="75"/>
      <c r="S3106" s="75"/>
    </row>
    <row r="3107" spans="18:19" x14ac:dyDescent="0.25">
      <c r="R3107" s="75"/>
      <c r="S3107" s="75"/>
    </row>
    <row r="3108" spans="18:19" x14ac:dyDescent="0.25">
      <c r="R3108" s="75"/>
      <c r="S3108" s="75"/>
    </row>
    <row r="3109" spans="18:19" x14ac:dyDescent="0.25">
      <c r="R3109" s="75"/>
      <c r="S3109" s="75"/>
    </row>
    <row r="3110" spans="18:19" x14ac:dyDescent="0.25">
      <c r="R3110" s="75"/>
      <c r="S3110" s="75"/>
    </row>
    <row r="3111" spans="18:19" x14ac:dyDescent="0.25">
      <c r="R3111" s="75"/>
      <c r="S3111" s="75"/>
    </row>
    <row r="3112" spans="18:19" x14ac:dyDescent="0.25">
      <c r="R3112" s="75"/>
      <c r="S3112" s="75"/>
    </row>
    <row r="3113" spans="18:19" x14ac:dyDescent="0.25">
      <c r="R3113" s="75"/>
      <c r="S3113" s="75"/>
    </row>
    <row r="3114" spans="18:19" x14ac:dyDescent="0.25">
      <c r="R3114" s="75"/>
      <c r="S3114" s="75"/>
    </row>
    <row r="3115" spans="18:19" x14ac:dyDescent="0.25">
      <c r="R3115" s="75"/>
      <c r="S3115" s="75"/>
    </row>
    <row r="3116" spans="18:19" x14ac:dyDescent="0.25">
      <c r="R3116" s="75"/>
      <c r="S3116" s="75"/>
    </row>
    <row r="3117" spans="18:19" x14ac:dyDescent="0.25">
      <c r="R3117" s="75"/>
      <c r="S3117" s="75"/>
    </row>
    <row r="3118" spans="18:19" x14ac:dyDescent="0.25">
      <c r="R3118" s="75"/>
      <c r="S3118" s="75"/>
    </row>
    <row r="3119" spans="18:19" x14ac:dyDescent="0.25">
      <c r="R3119" s="75"/>
      <c r="S3119" s="75"/>
    </row>
    <row r="3120" spans="18:19" x14ac:dyDescent="0.25">
      <c r="R3120" s="75"/>
      <c r="S3120" s="75"/>
    </row>
    <row r="3121" spans="18:19" x14ac:dyDescent="0.25">
      <c r="R3121" s="75"/>
      <c r="S3121" s="75"/>
    </row>
    <row r="3122" spans="18:19" x14ac:dyDescent="0.25">
      <c r="R3122" s="75"/>
      <c r="S3122" s="75"/>
    </row>
    <row r="3123" spans="18:19" x14ac:dyDescent="0.25">
      <c r="R3123" s="75"/>
      <c r="S3123" s="75"/>
    </row>
    <row r="3124" spans="18:19" x14ac:dyDescent="0.25">
      <c r="R3124" s="75"/>
      <c r="S3124" s="75"/>
    </row>
    <row r="3125" spans="18:19" x14ac:dyDescent="0.25">
      <c r="R3125" s="75"/>
      <c r="S3125" s="75"/>
    </row>
    <row r="3126" spans="18:19" x14ac:dyDescent="0.25">
      <c r="R3126" s="75"/>
      <c r="S3126" s="75"/>
    </row>
    <row r="3127" spans="18:19" x14ac:dyDescent="0.25">
      <c r="R3127" s="75"/>
      <c r="S3127" s="75"/>
    </row>
    <row r="3128" spans="18:19" x14ac:dyDescent="0.25">
      <c r="R3128" s="75"/>
      <c r="S3128" s="75"/>
    </row>
    <row r="3129" spans="18:19" x14ac:dyDescent="0.25">
      <c r="R3129" s="75"/>
      <c r="S3129" s="75"/>
    </row>
    <row r="3130" spans="18:19" x14ac:dyDescent="0.25">
      <c r="R3130" s="75"/>
      <c r="S3130" s="75"/>
    </row>
    <row r="3131" spans="18:19" x14ac:dyDescent="0.25">
      <c r="R3131" s="75"/>
      <c r="S3131" s="75"/>
    </row>
    <row r="3132" spans="18:19" x14ac:dyDescent="0.25">
      <c r="R3132" s="75"/>
      <c r="S3132" s="75"/>
    </row>
    <row r="3133" spans="18:19" x14ac:dyDescent="0.25">
      <c r="R3133" s="75"/>
      <c r="S3133" s="75"/>
    </row>
    <row r="3134" spans="18:19" x14ac:dyDescent="0.25">
      <c r="R3134" s="75"/>
      <c r="S3134" s="75"/>
    </row>
    <row r="3135" spans="18:19" x14ac:dyDescent="0.25">
      <c r="R3135" s="75"/>
      <c r="S3135" s="75"/>
    </row>
    <row r="3136" spans="18:19" x14ac:dyDescent="0.25">
      <c r="R3136" s="75"/>
      <c r="S3136" s="75"/>
    </row>
    <row r="3137" spans="18:19" x14ac:dyDescent="0.25">
      <c r="R3137" s="75"/>
      <c r="S3137" s="75"/>
    </row>
    <row r="3138" spans="18:19" x14ac:dyDescent="0.25">
      <c r="R3138" s="75"/>
      <c r="S3138" s="75"/>
    </row>
    <row r="3139" spans="18:19" x14ac:dyDescent="0.25">
      <c r="R3139" s="75"/>
      <c r="S3139" s="75"/>
    </row>
    <row r="3140" spans="18:19" x14ac:dyDescent="0.25">
      <c r="R3140" s="75"/>
      <c r="S3140" s="75"/>
    </row>
    <row r="3141" spans="18:19" x14ac:dyDescent="0.25">
      <c r="R3141" s="75"/>
      <c r="S3141" s="75"/>
    </row>
    <row r="3142" spans="18:19" x14ac:dyDescent="0.25">
      <c r="R3142" s="75"/>
      <c r="S3142" s="75"/>
    </row>
    <row r="3143" spans="18:19" x14ac:dyDescent="0.25">
      <c r="R3143" s="75"/>
      <c r="S3143" s="75"/>
    </row>
    <row r="3144" spans="18:19" x14ac:dyDescent="0.25">
      <c r="R3144" s="75"/>
      <c r="S3144" s="75"/>
    </row>
    <row r="3145" spans="18:19" x14ac:dyDescent="0.25">
      <c r="R3145" s="75"/>
      <c r="S3145" s="75"/>
    </row>
    <row r="3146" spans="18:19" x14ac:dyDescent="0.25">
      <c r="R3146" s="75"/>
      <c r="S3146" s="75"/>
    </row>
    <row r="3147" spans="18:19" x14ac:dyDescent="0.25">
      <c r="R3147" s="75"/>
      <c r="S3147" s="75"/>
    </row>
    <row r="3148" spans="18:19" x14ac:dyDescent="0.25">
      <c r="R3148" s="75"/>
      <c r="S3148" s="75"/>
    </row>
    <row r="3149" spans="18:19" x14ac:dyDescent="0.25">
      <c r="R3149" s="75"/>
      <c r="S3149" s="75"/>
    </row>
    <row r="3150" spans="18:19" x14ac:dyDescent="0.25">
      <c r="R3150" s="75"/>
      <c r="S3150" s="75"/>
    </row>
    <row r="3151" spans="18:19" x14ac:dyDescent="0.25">
      <c r="R3151" s="75"/>
      <c r="S3151" s="75"/>
    </row>
    <row r="3152" spans="18:19" x14ac:dyDescent="0.25">
      <c r="R3152" s="75"/>
      <c r="S3152" s="75"/>
    </row>
    <row r="3153" spans="18:19" x14ac:dyDescent="0.25">
      <c r="R3153" s="75"/>
      <c r="S3153" s="75"/>
    </row>
    <row r="3154" spans="18:19" x14ac:dyDescent="0.25">
      <c r="R3154" s="75"/>
      <c r="S3154" s="75"/>
    </row>
    <row r="3155" spans="18:19" x14ac:dyDescent="0.25">
      <c r="R3155" s="75"/>
      <c r="S3155" s="75"/>
    </row>
    <row r="3156" spans="18:19" x14ac:dyDescent="0.25">
      <c r="R3156" s="75"/>
      <c r="S3156" s="75"/>
    </row>
    <row r="3157" spans="18:19" x14ac:dyDescent="0.25">
      <c r="R3157" s="75"/>
      <c r="S3157" s="75"/>
    </row>
    <row r="3158" spans="18:19" x14ac:dyDescent="0.25">
      <c r="R3158" s="75"/>
      <c r="S3158" s="75"/>
    </row>
    <row r="3159" spans="18:19" x14ac:dyDescent="0.25">
      <c r="R3159" s="75"/>
      <c r="S3159" s="75"/>
    </row>
    <row r="3160" spans="18:19" x14ac:dyDescent="0.25">
      <c r="R3160" s="75"/>
      <c r="S3160" s="75"/>
    </row>
    <row r="3161" spans="18:19" x14ac:dyDescent="0.25">
      <c r="R3161" s="75"/>
      <c r="S3161" s="75"/>
    </row>
    <row r="3162" spans="18:19" x14ac:dyDescent="0.25">
      <c r="R3162" s="75"/>
      <c r="S3162" s="75"/>
    </row>
    <row r="3163" spans="18:19" x14ac:dyDescent="0.25">
      <c r="R3163" s="75"/>
      <c r="S3163" s="75"/>
    </row>
    <row r="3164" spans="18:19" x14ac:dyDescent="0.25">
      <c r="R3164" s="75"/>
      <c r="S3164" s="75"/>
    </row>
    <row r="3165" spans="18:19" x14ac:dyDescent="0.25">
      <c r="R3165" s="75"/>
      <c r="S3165" s="75"/>
    </row>
    <row r="3166" spans="18:19" x14ac:dyDescent="0.25">
      <c r="R3166" s="75"/>
      <c r="S3166" s="75"/>
    </row>
    <row r="3167" spans="18:19" x14ac:dyDescent="0.25">
      <c r="R3167" s="75"/>
      <c r="S3167" s="75"/>
    </row>
    <row r="3168" spans="18:19" x14ac:dyDescent="0.25">
      <c r="R3168" s="75"/>
      <c r="S3168" s="75"/>
    </row>
    <row r="3169" spans="18:19" x14ac:dyDescent="0.25">
      <c r="R3169" s="75"/>
      <c r="S3169" s="75"/>
    </row>
    <row r="3170" spans="18:19" x14ac:dyDescent="0.25">
      <c r="R3170" s="75"/>
      <c r="S3170" s="75"/>
    </row>
    <row r="3171" spans="18:19" x14ac:dyDescent="0.25">
      <c r="R3171" s="75"/>
      <c r="S3171" s="75"/>
    </row>
    <row r="3172" spans="18:19" x14ac:dyDescent="0.25">
      <c r="R3172" s="75"/>
      <c r="S3172" s="75"/>
    </row>
    <row r="3173" spans="18:19" x14ac:dyDescent="0.25">
      <c r="R3173" s="75"/>
      <c r="S3173" s="75"/>
    </row>
    <row r="3174" spans="18:19" x14ac:dyDescent="0.25">
      <c r="R3174" s="75"/>
      <c r="S3174" s="75"/>
    </row>
    <row r="3175" spans="18:19" x14ac:dyDescent="0.25">
      <c r="R3175" s="75"/>
      <c r="S3175" s="75"/>
    </row>
    <row r="3176" spans="18:19" x14ac:dyDescent="0.25">
      <c r="R3176" s="75"/>
      <c r="S3176" s="75"/>
    </row>
    <row r="3177" spans="18:19" x14ac:dyDescent="0.25">
      <c r="R3177" s="75"/>
      <c r="S3177" s="75"/>
    </row>
    <row r="3178" spans="18:19" x14ac:dyDescent="0.25">
      <c r="R3178" s="75"/>
      <c r="S3178" s="75"/>
    </row>
    <row r="3179" spans="18:19" x14ac:dyDescent="0.25">
      <c r="R3179" s="75"/>
      <c r="S3179" s="75"/>
    </row>
    <row r="3180" spans="18:19" x14ac:dyDescent="0.25">
      <c r="R3180" s="75"/>
      <c r="S3180" s="75"/>
    </row>
    <row r="3181" spans="18:19" x14ac:dyDescent="0.25">
      <c r="R3181" s="75"/>
      <c r="S3181" s="75"/>
    </row>
    <row r="3182" spans="18:19" x14ac:dyDescent="0.25">
      <c r="R3182" s="75"/>
      <c r="S3182" s="75"/>
    </row>
    <row r="3183" spans="18:19" x14ac:dyDescent="0.25">
      <c r="R3183" s="75"/>
      <c r="S3183" s="75"/>
    </row>
    <row r="3184" spans="18:19" x14ac:dyDescent="0.25">
      <c r="R3184" s="75"/>
      <c r="S3184" s="75"/>
    </row>
    <row r="3185" spans="18:19" x14ac:dyDescent="0.25">
      <c r="R3185" s="75"/>
      <c r="S3185" s="75"/>
    </row>
    <row r="3186" spans="18:19" x14ac:dyDescent="0.25">
      <c r="R3186" s="75"/>
      <c r="S3186" s="75"/>
    </row>
    <row r="3187" spans="18:19" x14ac:dyDescent="0.25">
      <c r="R3187" s="75"/>
      <c r="S3187" s="75"/>
    </row>
    <row r="3188" spans="18:19" x14ac:dyDescent="0.25">
      <c r="R3188" s="75"/>
      <c r="S3188" s="75"/>
    </row>
    <row r="3189" spans="18:19" x14ac:dyDescent="0.25">
      <c r="R3189" s="75"/>
      <c r="S3189" s="75"/>
    </row>
    <row r="3190" spans="18:19" x14ac:dyDescent="0.25">
      <c r="R3190" s="75"/>
      <c r="S3190" s="75"/>
    </row>
    <row r="3191" spans="18:19" x14ac:dyDescent="0.25">
      <c r="R3191" s="75"/>
      <c r="S3191" s="75"/>
    </row>
    <row r="3192" spans="18:19" x14ac:dyDescent="0.25">
      <c r="R3192" s="75"/>
      <c r="S3192" s="75"/>
    </row>
    <row r="3193" spans="18:19" x14ac:dyDescent="0.25">
      <c r="R3193" s="75"/>
      <c r="S3193" s="75"/>
    </row>
    <row r="3194" spans="18:19" x14ac:dyDescent="0.25">
      <c r="R3194" s="75"/>
      <c r="S3194" s="75"/>
    </row>
    <row r="3195" spans="18:19" x14ac:dyDescent="0.25">
      <c r="R3195" s="75"/>
      <c r="S3195" s="75"/>
    </row>
    <row r="3196" spans="18:19" x14ac:dyDescent="0.25">
      <c r="R3196" s="75"/>
      <c r="S3196" s="75"/>
    </row>
    <row r="3197" spans="18:19" x14ac:dyDescent="0.25">
      <c r="R3197" s="75"/>
      <c r="S3197" s="75"/>
    </row>
    <row r="3198" spans="18:19" x14ac:dyDescent="0.25">
      <c r="R3198" s="75"/>
      <c r="S3198" s="75"/>
    </row>
    <row r="3199" spans="18:19" x14ac:dyDescent="0.25">
      <c r="R3199" s="75"/>
      <c r="S3199" s="75"/>
    </row>
    <row r="3200" spans="18:19" x14ac:dyDescent="0.25">
      <c r="R3200" s="75"/>
      <c r="S3200" s="75"/>
    </row>
    <row r="3201" spans="18:19" x14ac:dyDescent="0.25">
      <c r="R3201" s="75"/>
      <c r="S3201" s="75"/>
    </row>
    <row r="3202" spans="18:19" x14ac:dyDescent="0.25">
      <c r="R3202" s="75"/>
      <c r="S3202" s="75"/>
    </row>
    <row r="3203" spans="18:19" x14ac:dyDescent="0.25">
      <c r="R3203" s="75"/>
      <c r="S3203" s="75"/>
    </row>
    <row r="3204" spans="18:19" x14ac:dyDescent="0.25">
      <c r="R3204" s="75"/>
      <c r="S3204" s="75"/>
    </row>
    <row r="3205" spans="18:19" x14ac:dyDescent="0.25">
      <c r="R3205" s="75"/>
      <c r="S3205" s="75"/>
    </row>
    <row r="3206" spans="18:19" x14ac:dyDescent="0.25">
      <c r="R3206" s="75"/>
      <c r="S3206" s="75"/>
    </row>
    <row r="3207" spans="18:19" x14ac:dyDescent="0.25">
      <c r="R3207" s="75"/>
      <c r="S3207" s="75"/>
    </row>
    <row r="3208" spans="18:19" x14ac:dyDescent="0.25">
      <c r="R3208" s="75"/>
      <c r="S3208" s="75"/>
    </row>
    <row r="3209" spans="18:19" x14ac:dyDescent="0.25">
      <c r="R3209" s="75"/>
      <c r="S3209" s="75"/>
    </row>
    <row r="3210" spans="18:19" x14ac:dyDescent="0.25">
      <c r="R3210" s="75"/>
      <c r="S3210" s="75"/>
    </row>
    <row r="3211" spans="18:19" x14ac:dyDescent="0.25">
      <c r="R3211" s="75"/>
      <c r="S3211" s="75"/>
    </row>
    <row r="3212" spans="18:19" x14ac:dyDescent="0.25">
      <c r="R3212" s="75"/>
      <c r="S3212" s="75"/>
    </row>
    <row r="3213" spans="18:19" x14ac:dyDescent="0.25">
      <c r="R3213" s="75"/>
      <c r="S3213" s="75"/>
    </row>
    <row r="3214" spans="18:19" x14ac:dyDescent="0.25">
      <c r="R3214" s="75"/>
      <c r="S3214" s="75"/>
    </row>
    <row r="3215" spans="18:19" x14ac:dyDescent="0.25">
      <c r="R3215" s="75"/>
      <c r="S3215" s="75"/>
    </row>
    <row r="3216" spans="18:19" x14ac:dyDescent="0.25">
      <c r="R3216" s="75"/>
      <c r="S3216" s="75"/>
    </row>
    <row r="3217" spans="18:19" x14ac:dyDescent="0.25">
      <c r="R3217" s="75"/>
      <c r="S3217" s="75"/>
    </row>
    <row r="3218" spans="18:19" x14ac:dyDescent="0.25">
      <c r="R3218" s="75"/>
      <c r="S3218" s="75"/>
    </row>
    <row r="3219" spans="18:19" x14ac:dyDescent="0.25">
      <c r="R3219" s="75"/>
      <c r="S3219" s="75"/>
    </row>
    <row r="3220" spans="18:19" x14ac:dyDescent="0.25">
      <c r="R3220" s="75"/>
      <c r="S3220" s="75"/>
    </row>
    <row r="3221" spans="18:19" x14ac:dyDescent="0.25">
      <c r="R3221" s="75"/>
      <c r="S3221" s="75"/>
    </row>
    <row r="3222" spans="18:19" x14ac:dyDescent="0.25">
      <c r="R3222" s="75"/>
      <c r="S3222" s="75"/>
    </row>
    <row r="3223" spans="18:19" x14ac:dyDescent="0.25">
      <c r="R3223" s="75"/>
      <c r="S3223" s="75"/>
    </row>
    <row r="3224" spans="18:19" x14ac:dyDescent="0.25">
      <c r="R3224" s="75"/>
      <c r="S3224" s="75"/>
    </row>
    <row r="3225" spans="18:19" x14ac:dyDescent="0.25">
      <c r="R3225" s="75"/>
      <c r="S3225" s="75"/>
    </row>
    <row r="3226" spans="18:19" x14ac:dyDescent="0.25">
      <c r="R3226" s="75"/>
      <c r="S3226" s="75"/>
    </row>
    <row r="3227" spans="18:19" x14ac:dyDescent="0.25">
      <c r="R3227" s="75"/>
      <c r="S3227" s="75"/>
    </row>
    <row r="3228" spans="18:19" x14ac:dyDescent="0.25">
      <c r="R3228" s="75"/>
      <c r="S3228" s="75"/>
    </row>
    <row r="3229" spans="18:19" x14ac:dyDescent="0.25">
      <c r="R3229" s="75"/>
      <c r="S3229" s="75"/>
    </row>
    <row r="3230" spans="18:19" x14ac:dyDescent="0.25">
      <c r="R3230" s="75"/>
      <c r="S3230" s="75"/>
    </row>
    <row r="3231" spans="18:19" x14ac:dyDescent="0.25">
      <c r="R3231" s="75"/>
      <c r="S3231" s="75"/>
    </row>
    <row r="3232" spans="18:19" x14ac:dyDescent="0.25">
      <c r="R3232" s="75"/>
      <c r="S3232" s="75"/>
    </row>
    <row r="3233" spans="18:19" x14ac:dyDescent="0.25">
      <c r="R3233" s="75"/>
      <c r="S3233" s="75"/>
    </row>
    <row r="3234" spans="18:19" x14ac:dyDescent="0.25">
      <c r="R3234" s="75"/>
      <c r="S3234" s="75"/>
    </row>
    <row r="3235" spans="18:19" x14ac:dyDescent="0.25">
      <c r="R3235" s="75"/>
      <c r="S3235" s="75"/>
    </row>
    <row r="3236" spans="18:19" x14ac:dyDescent="0.25">
      <c r="R3236" s="75"/>
      <c r="S3236" s="75"/>
    </row>
    <row r="3237" spans="18:19" x14ac:dyDescent="0.25">
      <c r="R3237" s="75"/>
      <c r="S3237" s="75"/>
    </row>
    <row r="3238" spans="18:19" x14ac:dyDescent="0.25">
      <c r="R3238" s="75"/>
      <c r="S3238" s="75"/>
    </row>
    <row r="3239" spans="18:19" x14ac:dyDescent="0.25">
      <c r="R3239" s="75"/>
      <c r="S3239" s="75"/>
    </row>
    <row r="3240" spans="18:19" x14ac:dyDescent="0.25">
      <c r="R3240" s="75"/>
      <c r="S3240" s="75"/>
    </row>
    <row r="3241" spans="18:19" x14ac:dyDescent="0.25">
      <c r="R3241" s="75"/>
      <c r="S3241" s="75"/>
    </row>
    <row r="3242" spans="18:19" x14ac:dyDescent="0.25">
      <c r="R3242" s="75"/>
      <c r="S3242" s="75"/>
    </row>
    <row r="3243" spans="18:19" x14ac:dyDescent="0.25">
      <c r="R3243" s="75"/>
      <c r="S3243" s="75"/>
    </row>
    <row r="3244" spans="18:19" x14ac:dyDescent="0.25">
      <c r="R3244" s="75"/>
      <c r="S3244" s="75"/>
    </row>
    <row r="3245" spans="18:19" x14ac:dyDescent="0.25">
      <c r="R3245" s="75"/>
      <c r="S3245" s="75"/>
    </row>
    <row r="3246" spans="18:19" x14ac:dyDescent="0.25">
      <c r="R3246" s="75"/>
      <c r="S3246" s="75"/>
    </row>
    <row r="3247" spans="18:19" x14ac:dyDescent="0.25">
      <c r="R3247" s="75"/>
      <c r="S3247" s="75"/>
    </row>
    <row r="3248" spans="18:19" x14ac:dyDescent="0.25">
      <c r="R3248" s="75"/>
      <c r="S3248" s="75"/>
    </row>
    <row r="3249" spans="18:19" x14ac:dyDescent="0.25">
      <c r="R3249" s="75"/>
      <c r="S3249" s="75"/>
    </row>
    <row r="3250" spans="18:19" x14ac:dyDescent="0.25">
      <c r="R3250" s="75"/>
      <c r="S3250" s="75"/>
    </row>
    <row r="3251" spans="18:19" x14ac:dyDescent="0.25">
      <c r="R3251" s="75"/>
      <c r="S3251" s="75"/>
    </row>
    <row r="3252" spans="18:19" x14ac:dyDescent="0.25">
      <c r="R3252" s="75"/>
      <c r="S3252" s="75"/>
    </row>
    <row r="3253" spans="18:19" x14ac:dyDescent="0.25">
      <c r="R3253" s="75"/>
      <c r="S3253" s="75"/>
    </row>
    <row r="3254" spans="18:19" x14ac:dyDescent="0.25">
      <c r="R3254" s="75"/>
      <c r="S3254" s="75"/>
    </row>
    <row r="3255" spans="18:19" x14ac:dyDescent="0.25">
      <c r="R3255" s="75"/>
      <c r="S3255" s="75"/>
    </row>
    <row r="3256" spans="18:19" x14ac:dyDescent="0.25">
      <c r="R3256" s="75"/>
      <c r="S3256" s="75"/>
    </row>
    <row r="3257" spans="18:19" x14ac:dyDescent="0.25">
      <c r="R3257" s="75"/>
      <c r="S3257" s="75"/>
    </row>
    <row r="3258" spans="18:19" x14ac:dyDescent="0.25">
      <c r="R3258" s="75"/>
      <c r="S3258" s="75"/>
    </row>
    <row r="3259" spans="18:19" x14ac:dyDescent="0.25">
      <c r="R3259" s="75"/>
      <c r="S3259" s="75"/>
    </row>
    <row r="3260" spans="18:19" x14ac:dyDescent="0.25">
      <c r="R3260" s="75"/>
      <c r="S3260" s="75"/>
    </row>
    <row r="3261" spans="18:19" x14ac:dyDescent="0.25">
      <c r="R3261" s="75"/>
      <c r="S3261" s="75"/>
    </row>
    <row r="3262" spans="18:19" x14ac:dyDescent="0.25">
      <c r="R3262" s="75"/>
      <c r="S3262" s="75"/>
    </row>
    <row r="3263" spans="18:19" x14ac:dyDescent="0.25">
      <c r="R3263" s="75"/>
      <c r="S3263" s="75"/>
    </row>
    <row r="3264" spans="18:19" x14ac:dyDescent="0.25">
      <c r="R3264" s="75"/>
      <c r="S3264" s="75"/>
    </row>
    <row r="3265" spans="18:19" x14ac:dyDescent="0.25">
      <c r="R3265" s="75"/>
      <c r="S3265" s="75"/>
    </row>
    <row r="3266" spans="18:19" x14ac:dyDescent="0.25">
      <c r="R3266" s="75"/>
      <c r="S3266" s="75"/>
    </row>
    <row r="3267" spans="18:19" x14ac:dyDescent="0.25">
      <c r="R3267" s="75"/>
      <c r="S3267" s="75"/>
    </row>
    <row r="3268" spans="18:19" x14ac:dyDescent="0.25">
      <c r="R3268" s="75"/>
      <c r="S3268" s="75"/>
    </row>
    <row r="3269" spans="18:19" x14ac:dyDescent="0.25">
      <c r="R3269" s="75"/>
      <c r="S3269" s="75"/>
    </row>
    <row r="3270" spans="18:19" x14ac:dyDescent="0.25">
      <c r="R3270" s="75"/>
      <c r="S3270" s="75"/>
    </row>
    <row r="3271" spans="18:19" x14ac:dyDescent="0.25">
      <c r="R3271" s="75"/>
      <c r="S3271" s="75"/>
    </row>
    <row r="3272" spans="18:19" x14ac:dyDescent="0.25">
      <c r="R3272" s="75"/>
      <c r="S3272" s="75"/>
    </row>
    <row r="3273" spans="18:19" x14ac:dyDescent="0.25">
      <c r="R3273" s="75"/>
      <c r="S3273" s="75"/>
    </row>
    <row r="3274" spans="18:19" x14ac:dyDescent="0.25">
      <c r="R3274" s="75"/>
      <c r="S3274" s="75"/>
    </row>
    <row r="3275" spans="18:19" x14ac:dyDescent="0.25">
      <c r="R3275" s="75"/>
      <c r="S3275" s="75"/>
    </row>
    <row r="3276" spans="18:19" x14ac:dyDescent="0.25">
      <c r="R3276" s="75"/>
      <c r="S3276" s="75"/>
    </row>
    <row r="3277" spans="18:19" x14ac:dyDescent="0.25">
      <c r="R3277" s="75"/>
      <c r="S3277" s="75"/>
    </row>
    <row r="3278" spans="18:19" x14ac:dyDescent="0.25">
      <c r="R3278" s="75"/>
      <c r="S3278" s="75"/>
    </row>
    <row r="3279" spans="18:19" x14ac:dyDescent="0.25">
      <c r="R3279" s="75"/>
      <c r="S3279" s="75"/>
    </row>
    <row r="3280" spans="18:19" x14ac:dyDescent="0.25">
      <c r="R3280" s="75"/>
      <c r="S3280" s="75"/>
    </row>
    <row r="3281" spans="18:19" x14ac:dyDescent="0.25">
      <c r="R3281" s="75"/>
      <c r="S3281" s="75"/>
    </row>
    <row r="3282" spans="18:19" x14ac:dyDescent="0.25">
      <c r="R3282" s="75"/>
      <c r="S3282" s="75"/>
    </row>
    <row r="3283" spans="18:19" x14ac:dyDescent="0.25">
      <c r="R3283" s="75"/>
      <c r="S3283" s="75"/>
    </row>
    <row r="3284" spans="18:19" x14ac:dyDescent="0.25">
      <c r="R3284" s="75"/>
      <c r="S3284" s="75"/>
    </row>
    <row r="3285" spans="18:19" x14ac:dyDescent="0.25">
      <c r="R3285" s="75"/>
      <c r="S3285" s="75"/>
    </row>
    <row r="3286" spans="18:19" x14ac:dyDescent="0.25">
      <c r="R3286" s="75"/>
      <c r="S3286" s="75"/>
    </row>
    <row r="3287" spans="18:19" x14ac:dyDescent="0.25">
      <c r="R3287" s="75"/>
      <c r="S3287" s="75"/>
    </row>
    <row r="3288" spans="18:19" x14ac:dyDescent="0.25">
      <c r="R3288" s="75"/>
      <c r="S3288" s="75"/>
    </row>
    <row r="3289" spans="18:19" x14ac:dyDescent="0.25">
      <c r="R3289" s="75"/>
      <c r="S3289" s="75"/>
    </row>
    <row r="3290" spans="18:19" x14ac:dyDescent="0.25">
      <c r="R3290" s="75"/>
      <c r="S3290" s="75"/>
    </row>
    <row r="3291" spans="18:19" x14ac:dyDescent="0.25">
      <c r="R3291" s="75"/>
      <c r="S3291" s="75"/>
    </row>
    <row r="3292" spans="18:19" x14ac:dyDescent="0.25">
      <c r="R3292" s="75"/>
      <c r="S3292" s="75"/>
    </row>
    <row r="3293" spans="18:19" x14ac:dyDescent="0.25">
      <c r="R3293" s="75"/>
      <c r="S3293" s="75"/>
    </row>
    <row r="3294" spans="18:19" x14ac:dyDescent="0.25">
      <c r="R3294" s="75"/>
      <c r="S3294" s="75"/>
    </row>
    <row r="3295" spans="18:19" x14ac:dyDescent="0.25">
      <c r="R3295" s="75"/>
      <c r="S3295" s="75"/>
    </row>
    <row r="3296" spans="18:19" x14ac:dyDescent="0.25">
      <c r="R3296" s="75"/>
      <c r="S3296" s="75"/>
    </row>
    <row r="3297" spans="18:19" x14ac:dyDescent="0.25">
      <c r="R3297" s="75"/>
      <c r="S3297" s="75"/>
    </row>
    <row r="3298" spans="18:19" x14ac:dyDescent="0.25">
      <c r="R3298" s="75"/>
      <c r="S3298" s="75"/>
    </row>
    <row r="3299" spans="18:19" x14ac:dyDescent="0.25">
      <c r="R3299" s="75"/>
      <c r="S3299" s="75"/>
    </row>
    <row r="3300" spans="18:19" x14ac:dyDescent="0.25">
      <c r="R3300" s="75"/>
      <c r="S3300" s="75"/>
    </row>
    <row r="3301" spans="18:19" x14ac:dyDescent="0.25">
      <c r="R3301" s="75"/>
      <c r="S3301" s="75"/>
    </row>
    <row r="3302" spans="18:19" x14ac:dyDescent="0.25">
      <c r="R3302" s="75"/>
      <c r="S3302" s="75"/>
    </row>
    <row r="3303" spans="18:19" x14ac:dyDescent="0.25">
      <c r="R3303" s="75"/>
      <c r="S3303" s="75"/>
    </row>
    <row r="3304" spans="18:19" x14ac:dyDescent="0.25">
      <c r="R3304" s="75"/>
      <c r="S3304" s="75"/>
    </row>
    <row r="3305" spans="18:19" x14ac:dyDescent="0.25">
      <c r="R3305" s="75"/>
      <c r="S3305" s="75"/>
    </row>
    <row r="3306" spans="18:19" x14ac:dyDescent="0.25">
      <c r="R3306" s="75"/>
      <c r="S3306" s="75"/>
    </row>
    <row r="3307" spans="18:19" x14ac:dyDescent="0.25">
      <c r="R3307" s="75"/>
      <c r="S3307" s="75"/>
    </row>
    <row r="3308" spans="18:19" x14ac:dyDescent="0.25">
      <c r="R3308" s="75"/>
      <c r="S3308" s="75"/>
    </row>
    <row r="3309" spans="18:19" x14ac:dyDescent="0.25">
      <c r="R3309" s="75"/>
      <c r="S3309" s="75"/>
    </row>
    <row r="3310" spans="18:19" x14ac:dyDescent="0.25">
      <c r="R3310" s="75"/>
      <c r="S3310" s="75"/>
    </row>
    <row r="3311" spans="18:19" x14ac:dyDescent="0.25">
      <c r="R3311" s="75"/>
      <c r="S3311" s="75"/>
    </row>
    <row r="3312" spans="18:19" x14ac:dyDescent="0.25">
      <c r="R3312" s="75"/>
      <c r="S3312" s="75"/>
    </row>
    <row r="3313" spans="18:19" x14ac:dyDescent="0.25">
      <c r="R3313" s="75"/>
      <c r="S3313" s="75"/>
    </row>
    <row r="3314" spans="18:19" x14ac:dyDescent="0.25">
      <c r="R3314" s="75"/>
      <c r="S3314" s="75"/>
    </row>
    <row r="3315" spans="18:19" x14ac:dyDescent="0.25">
      <c r="R3315" s="75"/>
      <c r="S3315" s="75"/>
    </row>
    <row r="3316" spans="18:19" x14ac:dyDescent="0.25">
      <c r="R3316" s="75"/>
      <c r="S3316" s="75"/>
    </row>
    <row r="3317" spans="18:19" x14ac:dyDescent="0.25">
      <c r="R3317" s="75"/>
      <c r="S3317" s="75"/>
    </row>
    <row r="3318" spans="18:19" x14ac:dyDescent="0.25">
      <c r="R3318" s="75"/>
      <c r="S3318" s="75"/>
    </row>
    <row r="3319" spans="18:19" x14ac:dyDescent="0.25">
      <c r="R3319" s="75"/>
      <c r="S3319" s="75"/>
    </row>
    <row r="3320" spans="18:19" x14ac:dyDescent="0.25">
      <c r="R3320" s="75"/>
      <c r="S3320" s="75"/>
    </row>
    <row r="3321" spans="18:19" x14ac:dyDescent="0.25">
      <c r="R3321" s="75"/>
      <c r="S3321" s="75"/>
    </row>
    <row r="3322" spans="18:19" x14ac:dyDescent="0.25">
      <c r="R3322" s="75"/>
      <c r="S3322" s="75"/>
    </row>
    <row r="3323" spans="18:19" x14ac:dyDescent="0.25">
      <c r="R3323" s="75"/>
      <c r="S3323" s="75"/>
    </row>
    <row r="3324" spans="18:19" x14ac:dyDescent="0.25">
      <c r="R3324" s="75"/>
      <c r="S3324" s="75"/>
    </row>
    <row r="3325" spans="18:19" x14ac:dyDescent="0.25">
      <c r="R3325" s="75"/>
      <c r="S3325" s="75"/>
    </row>
    <row r="3326" spans="18:19" x14ac:dyDescent="0.25">
      <c r="R3326" s="75"/>
      <c r="S3326" s="75"/>
    </row>
    <row r="3327" spans="18:19" x14ac:dyDescent="0.25">
      <c r="R3327" s="75"/>
      <c r="S3327" s="75"/>
    </row>
    <row r="3328" spans="18:19" x14ac:dyDescent="0.25">
      <c r="R3328" s="75"/>
      <c r="S3328" s="75"/>
    </row>
    <row r="3329" spans="18:19" x14ac:dyDescent="0.25">
      <c r="R3329" s="75"/>
      <c r="S3329" s="75"/>
    </row>
    <row r="3330" spans="18:19" x14ac:dyDescent="0.25">
      <c r="R3330" s="75"/>
      <c r="S3330" s="75"/>
    </row>
    <row r="3331" spans="18:19" x14ac:dyDescent="0.25">
      <c r="R3331" s="75"/>
      <c r="S3331" s="75"/>
    </row>
    <row r="3332" spans="18:19" x14ac:dyDescent="0.25">
      <c r="R3332" s="75"/>
      <c r="S3332" s="75"/>
    </row>
    <row r="3333" spans="18:19" x14ac:dyDescent="0.25">
      <c r="R3333" s="75"/>
      <c r="S3333" s="75"/>
    </row>
    <row r="3334" spans="18:19" x14ac:dyDescent="0.25">
      <c r="R3334" s="75"/>
      <c r="S3334" s="75"/>
    </row>
    <row r="3335" spans="18:19" x14ac:dyDescent="0.25">
      <c r="R3335" s="75"/>
      <c r="S3335" s="75"/>
    </row>
    <row r="3336" spans="18:19" x14ac:dyDescent="0.25">
      <c r="R3336" s="75"/>
      <c r="S3336" s="75"/>
    </row>
    <row r="3337" spans="18:19" x14ac:dyDescent="0.25">
      <c r="R3337" s="75"/>
      <c r="S3337" s="75"/>
    </row>
    <row r="3338" spans="18:19" x14ac:dyDescent="0.25">
      <c r="R3338" s="75"/>
      <c r="S3338" s="75"/>
    </row>
    <row r="3339" spans="18:19" x14ac:dyDescent="0.25">
      <c r="R3339" s="75"/>
      <c r="S3339" s="75"/>
    </row>
    <row r="3340" spans="18:19" x14ac:dyDescent="0.25">
      <c r="R3340" s="75"/>
      <c r="S3340" s="75"/>
    </row>
    <row r="3341" spans="18:19" x14ac:dyDescent="0.25">
      <c r="R3341" s="75"/>
      <c r="S3341" s="75"/>
    </row>
    <row r="3342" spans="18:19" x14ac:dyDescent="0.25">
      <c r="R3342" s="75"/>
      <c r="S3342" s="75"/>
    </row>
    <row r="3343" spans="18:19" x14ac:dyDescent="0.25">
      <c r="R3343" s="75"/>
      <c r="S3343" s="75"/>
    </row>
    <row r="3344" spans="18:19" x14ac:dyDescent="0.25">
      <c r="R3344" s="75"/>
      <c r="S3344" s="75"/>
    </row>
    <row r="3345" spans="18:19" x14ac:dyDescent="0.25">
      <c r="R3345" s="75"/>
      <c r="S3345" s="75"/>
    </row>
    <row r="3346" spans="18:19" x14ac:dyDescent="0.25">
      <c r="R3346" s="75"/>
      <c r="S3346" s="75"/>
    </row>
    <row r="3347" spans="18:19" x14ac:dyDescent="0.25">
      <c r="R3347" s="75"/>
      <c r="S3347" s="75"/>
    </row>
    <row r="3348" spans="18:19" x14ac:dyDescent="0.25">
      <c r="R3348" s="75"/>
      <c r="S3348" s="75"/>
    </row>
    <row r="3349" spans="18:19" x14ac:dyDescent="0.25">
      <c r="R3349" s="75"/>
      <c r="S3349" s="75"/>
    </row>
    <row r="3350" spans="18:19" x14ac:dyDescent="0.25">
      <c r="R3350" s="75"/>
      <c r="S3350" s="75"/>
    </row>
    <row r="3351" spans="18:19" x14ac:dyDescent="0.25">
      <c r="R3351" s="75"/>
      <c r="S3351" s="75"/>
    </row>
    <row r="3352" spans="18:19" x14ac:dyDescent="0.25">
      <c r="R3352" s="75"/>
      <c r="S3352" s="75"/>
    </row>
    <row r="3353" spans="18:19" x14ac:dyDescent="0.25">
      <c r="R3353" s="75"/>
      <c r="S3353" s="75"/>
    </row>
    <row r="3354" spans="18:19" x14ac:dyDescent="0.25">
      <c r="R3354" s="75"/>
      <c r="S3354" s="75"/>
    </row>
    <row r="3355" spans="18:19" x14ac:dyDescent="0.25">
      <c r="R3355" s="75"/>
      <c r="S3355" s="75"/>
    </row>
    <row r="3356" spans="18:19" x14ac:dyDescent="0.25">
      <c r="R3356" s="75"/>
      <c r="S3356" s="75"/>
    </row>
    <row r="3357" spans="18:19" x14ac:dyDescent="0.25">
      <c r="R3357" s="75"/>
      <c r="S3357" s="75"/>
    </row>
    <row r="3358" spans="18:19" x14ac:dyDescent="0.25">
      <c r="R3358" s="75"/>
      <c r="S3358" s="75"/>
    </row>
    <row r="3359" spans="18:19" x14ac:dyDescent="0.25">
      <c r="R3359" s="75"/>
      <c r="S3359" s="75"/>
    </row>
    <row r="3360" spans="18:19" x14ac:dyDescent="0.25">
      <c r="R3360" s="75"/>
      <c r="S3360" s="75"/>
    </row>
    <row r="3361" spans="18:19" x14ac:dyDescent="0.25">
      <c r="R3361" s="75"/>
      <c r="S3361" s="75"/>
    </row>
    <row r="3362" spans="18:19" x14ac:dyDescent="0.25">
      <c r="R3362" s="75"/>
      <c r="S3362" s="75"/>
    </row>
    <row r="3363" spans="18:19" x14ac:dyDescent="0.25">
      <c r="R3363" s="75"/>
      <c r="S3363" s="75"/>
    </row>
    <row r="3364" spans="18:19" x14ac:dyDescent="0.25">
      <c r="R3364" s="75"/>
      <c r="S3364" s="75"/>
    </row>
    <row r="3365" spans="18:19" x14ac:dyDescent="0.25">
      <c r="R3365" s="75"/>
      <c r="S3365" s="75"/>
    </row>
    <row r="3366" spans="18:19" x14ac:dyDescent="0.25">
      <c r="R3366" s="75"/>
      <c r="S3366" s="75"/>
    </row>
    <row r="3367" spans="18:19" x14ac:dyDescent="0.25">
      <c r="R3367" s="75"/>
      <c r="S3367" s="75"/>
    </row>
    <row r="3368" spans="18:19" x14ac:dyDescent="0.25">
      <c r="R3368" s="75"/>
      <c r="S3368" s="75"/>
    </row>
    <row r="3369" spans="18:19" x14ac:dyDescent="0.25">
      <c r="R3369" s="75"/>
      <c r="S3369" s="75"/>
    </row>
    <row r="3370" spans="18:19" x14ac:dyDescent="0.25">
      <c r="R3370" s="75"/>
      <c r="S3370" s="75"/>
    </row>
    <row r="3371" spans="18:19" x14ac:dyDescent="0.25">
      <c r="R3371" s="75"/>
      <c r="S3371" s="75"/>
    </row>
    <row r="3372" spans="18:19" x14ac:dyDescent="0.25">
      <c r="R3372" s="75"/>
      <c r="S3372" s="75"/>
    </row>
    <row r="3373" spans="18:19" x14ac:dyDescent="0.25">
      <c r="R3373" s="75"/>
      <c r="S3373" s="75"/>
    </row>
    <row r="3374" spans="18:19" x14ac:dyDescent="0.25">
      <c r="R3374" s="75"/>
      <c r="S3374" s="75"/>
    </row>
    <row r="3375" spans="18:19" x14ac:dyDescent="0.25">
      <c r="R3375" s="75"/>
      <c r="S3375" s="75"/>
    </row>
    <row r="3376" spans="18:19" x14ac:dyDescent="0.25">
      <c r="R3376" s="75"/>
      <c r="S3376" s="75"/>
    </row>
    <row r="3377" spans="18:19" x14ac:dyDescent="0.25">
      <c r="R3377" s="75"/>
      <c r="S3377" s="75"/>
    </row>
    <row r="3378" spans="18:19" x14ac:dyDescent="0.25">
      <c r="R3378" s="75"/>
      <c r="S3378" s="75"/>
    </row>
    <row r="3379" spans="18:19" x14ac:dyDescent="0.25">
      <c r="R3379" s="75"/>
      <c r="S3379" s="75"/>
    </row>
    <row r="3380" spans="18:19" x14ac:dyDescent="0.25">
      <c r="R3380" s="75"/>
      <c r="S3380" s="75"/>
    </row>
    <row r="3381" spans="18:19" x14ac:dyDescent="0.25">
      <c r="R3381" s="75"/>
      <c r="S3381" s="75"/>
    </row>
    <row r="3382" spans="18:19" x14ac:dyDescent="0.25">
      <c r="R3382" s="75"/>
      <c r="S3382" s="75"/>
    </row>
    <row r="3383" spans="18:19" x14ac:dyDescent="0.25">
      <c r="R3383" s="75"/>
      <c r="S3383" s="75"/>
    </row>
    <row r="3384" spans="18:19" x14ac:dyDescent="0.25">
      <c r="R3384" s="75"/>
      <c r="S3384" s="75"/>
    </row>
    <row r="3385" spans="18:19" x14ac:dyDescent="0.25">
      <c r="R3385" s="75"/>
      <c r="S3385" s="75"/>
    </row>
    <row r="3386" spans="18:19" x14ac:dyDescent="0.25">
      <c r="R3386" s="75"/>
      <c r="S3386" s="75"/>
    </row>
    <row r="3387" spans="18:19" x14ac:dyDescent="0.25">
      <c r="R3387" s="75"/>
      <c r="S3387" s="75"/>
    </row>
    <row r="3388" spans="18:19" x14ac:dyDescent="0.25">
      <c r="R3388" s="75"/>
      <c r="S3388" s="75"/>
    </row>
    <row r="3389" spans="18:19" x14ac:dyDescent="0.25">
      <c r="R3389" s="75"/>
      <c r="S3389" s="75"/>
    </row>
    <row r="3390" spans="18:19" x14ac:dyDescent="0.25">
      <c r="R3390" s="75"/>
      <c r="S3390" s="75"/>
    </row>
    <row r="3391" spans="18:19" x14ac:dyDescent="0.25">
      <c r="R3391" s="75"/>
      <c r="S3391" s="75"/>
    </row>
    <row r="3392" spans="18:19" x14ac:dyDescent="0.25">
      <c r="R3392" s="75"/>
      <c r="S3392" s="75"/>
    </row>
    <row r="3393" spans="18:19" x14ac:dyDescent="0.25">
      <c r="R3393" s="75"/>
      <c r="S3393" s="75"/>
    </row>
    <row r="3394" spans="18:19" x14ac:dyDescent="0.25">
      <c r="R3394" s="75"/>
      <c r="S3394" s="75"/>
    </row>
    <row r="3395" spans="18:19" x14ac:dyDescent="0.25">
      <c r="R3395" s="75"/>
      <c r="S3395" s="75"/>
    </row>
    <row r="3396" spans="18:19" x14ac:dyDescent="0.25">
      <c r="R3396" s="75"/>
      <c r="S3396" s="75"/>
    </row>
    <row r="3397" spans="18:19" x14ac:dyDescent="0.25">
      <c r="R3397" s="75"/>
      <c r="S3397" s="75"/>
    </row>
    <row r="3398" spans="18:19" x14ac:dyDescent="0.25">
      <c r="R3398" s="75"/>
      <c r="S3398" s="75"/>
    </row>
    <row r="3399" spans="18:19" x14ac:dyDescent="0.25">
      <c r="R3399" s="75"/>
      <c r="S3399" s="75"/>
    </row>
    <row r="3400" spans="18:19" x14ac:dyDescent="0.25">
      <c r="R3400" s="75"/>
      <c r="S3400" s="75"/>
    </row>
    <row r="3401" spans="18:19" x14ac:dyDescent="0.25">
      <c r="R3401" s="75"/>
      <c r="S3401" s="75"/>
    </row>
    <row r="3402" spans="18:19" x14ac:dyDescent="0.25">
      <c r="R3402" s="75"/>
      <c r="S3402" s="75"/>
    </row>
    <row r="3403" spans="18:19" x14ac:dyDescent="0.25">
      <c r="R3403" s="75"/>
      <c r="S3403" s="75"/>
    </row>
    <row r="3404" spans="18:19" x14ac:dyDescent="0.25">
      <c r="R3404" s="75"/>
      <c r="S3404" s="75"/>
    </row>
    <row r="3405" spans="18:19" x14ac:dyDescent="0.25">
      <c r="R3405" s="75"/>
      <c r="S3405" s="75"/>
    </row>
    <row r="3406" spans="18:19" x14ac:dyDescent="0.25">
      <c r="R3406" s="75"/>
      <c r="S3406" s="75"/>
    </row>
    <row r="3407" spans="18:19" x14ac:dyDescent="0.25">
      <c r="R3407" s="75"/>
      <c r="S3407" s="75"/>
    </row>
    <row r="3408" spans="18:19" x14ac:dyDescent="0.25">
      <c r="R3408" s="75"/>
      <c r="S3408" s="75"/>
    </row>
    <row r="3409" spans="18:19" x14ac:dyDescent="0.25">
      <c r="R3409" s="75"/>
      <c r="S3409" s="75"/>
    </row>
    <row r="3410" spans="18:19" x14ac:dyDescent="0.25">
      <c r="R3410" s="75"/>
      <c r="S3410" s="75"/>
    </row>
    <row r="3411" spans="18:19" x14ac:dyDescent="0.25">
      <c r="R3411" s="75"/>
      <c r="S3411" s="75"/>
    </row>
    <row r="3412" spans="18:19" x14ac:dyDescent="0.25">
      <c r="R3412" s="75"/>
      <c r="S3412" s="75"/>
    </row>
    <row r="3413" spans="18:19" x14ac:dyDescent="0.25">
      <c r="R3413" s="75"/>
      <c r="S3413" s="75"/>
    </row>
    <row r="3414" spans="18:19" x14ac:dyDescent="0.25">
      <c r="R3414" s="75"/>
      <c r="S3414" s="75"/>
    </row>
    <row r="3415" spans="18:19" x14ac:dyDescent="0.25">
      <c r="R3415" s="75"/>
      <c r="S3415" s="75"/>
    </row>
    <row r="3416" spans="18:19" x14ac:dyDescent="0.25">
      <c r="R3416" s="75"/>
      <c r="S3416" s="75"/>
    </row>
    <row r="3417" spans="18:19" x14ac:dyDescent="0.25">
      <c r="R3417" s="75"/>
      <c r="S3417" s="75"/>
    </row>
    <row r="3418" spans="18:19" x14ac:dyDescent="0.25">
      <c r="R3418" s="75"/>
      <c r="S3418" s="75"/>
    </row>
    <row r="3419" spans="18:19" x14ac:dyDescent="0.25">
      <c r="R3419" s="75"/>
      <c r="S3419" s="75"/>
    </row>
    <row r="3420" spans="18:19" x14ac:dyDescent="0.25">
      <c r="R3420" s="75"/>
      <c r="S3420" s="75"/>
    </row>
    <row r="3421" spans="18:19" x14ac:dyDescent="0.25">
      <c r="R3421" s="75"/>
      <c r="S3421" s="75"/>
    </row>
    <row r="3422" spans="18:19" x14ac:dyDescent="0.25">
      <c r="R3422" s="75"/>
      <c r="S3422" s="75"/>
    </row>
    <row r="3423" spans="18:19" x14ac:dyDescent="0.25">
      <c r="R3423" s="75"/>
      <c r="S3423" s="75"/>
    </row>
    <row r="3424" spans="18:19" x14ac:dyDescent="0.25">
      <c r="R3424" s="75"/>
      <c r="S3424" s="75"/>
    </row>
    <row r="3425" spans="18:19" x14ac:dyDescent="0.25">
      <c r="R3425" s="75"/>
      <c r="S3425" s="75"/>
    </row>
    <row r="3426" spans="18:19" x14ac:dyDescent="0.25">
      <c r="R3426" s="75"/>
      <c r="S3426" s="75"/>
    </row>
    <row r="3427" spans="18:19" x14ac:dyDescent="0.25">
      <c r="R3427" s="75"/>
      <c r="S3427" s="75"/>
    </row>
    <row r="3428" spans="18:19" x14ac:dyDescent="0.25">
      <c r="R3428" s="75"/>
      <c r="S3428" s="75"/>
    </row>
    <row r="3429" spans="18:19" x14ac:dyDescent="0.25">
      <c r="R3429" s="75"/>
      <c r="S3429" s="75"/>
    </row>
    <row r="3430" spans="18:19" x14ac:dyDescent="0.25">
      <c r="R3430" s="75"/>
      <c r="S3430" s="75"/>
    </row>
    <row r="3431" spans="18:19" x14ac:dyDescent="0.25">
      <c r="R3431" s="75"/>
      <c r="S3431" s="75"/>
    </row>
    <row r="3432" spans="18:19" x14ac:dyDescent="0.25">
      <c r="R3432" s="75"/>
      <c r="S3432" s="75"/>
    </row>
    <row r="3433" spans="18:19" x14ac:dyDescent="0.25">
      <c r="R3433" s="75"/>
      <c r="S3433" s="75"/>
    </row>
    <row r="3434" spans="18:19" x14ac:dyDescent="0.25">
      <c r="R3434" s="75"/>
      <c r="S3434" s="75"/>
    </row>
    <row r="3435" spans="18:19" x14ac:dyDescent="0.25">
      <c r="R3435" s="75"/>
      <c r="S3435" s="75"/>
    </row>
    <row r="3436" spans="18:19" x14ac:dyDescent="0.25">
      <c r="R3436" s="75"/>
      <c r="S3436" s="75"/>
    </row>
    <row r="3437" spans="18:19" x14ac:dyDescent="0.25">
      <c r="R3437" s="75"/>
      <c r="S3437" s="75"/>
    </row>
    <row r="3438" spans="18:19" x14ac:dyDescent="0.25">
      <c r="R3438" s="75"/>
      <c r="S3438" s="75"/>
    </row>
    <row r="3439" spans="18:19" x14ac:dyDescent="0.25">
      <c r="R3439" s="75"/>
      <c r="S3439" s="75"/>
    </row>
    <row r="3440" spans="18:19" x14ac:dyDescent="0.25">
      <c r="R3440" s="75"/>
      <c r="S3440" s="75"/>
    </row>
    <row r="3441" spans="18:19" x14ac:dyDescent="0.25">
      <c r="R3441" s="75"/>
      <c r="S3441" s="75"/>
    </row>
    <row r="3442" spans="18:19" x14ac:dyDescent="0.25">
      <c r="R3442" s="75"/>
      <c r="S3442" s="75"/>
    </row>
    <row r="3443" spans="18:19" x14ac:dyDescent="0.25">
      <c r="R3443" s="75"/>
      <c r="S3443" s="75"/>
    </row>
    <row r="3444" spans="18:19" x14ac:dyDescent="0.25">
      <c r="R3444" s="75"/>
      <c r="S3444" s="75"/>
    </row>
    <row r="3445" spans="18:19" x14ac:dyDescent="0.25">
      <c r="R3445" s="75"/>
      <c r="S3445" s="75"/>
    </row>
    <row r="3446" spans="18:19" x14ac:dyDescent="0.25">
      <c r="R3446" s="75"/>
      <c r="S3446" s="75"/>
    </row>
    <row r="3447" spans="18:19" x14ac:dyDescent="0.25">
      <c r="R3447" s="75"/>
      <c r="S3447" s="75"/>
    </row>
    <row r="3448" spans="18:19" x14ac:dyDescent="0.25">
      <c r="R3448" s="75"/>
      <c r="S3448" s="75"/>
    </row>
    <row r="3449" spans="18:19" x14ac:dyDescent="0.25">
      <c r="R3449" s="75"/>
      <c r="S3449" s="75"/>
    </row>
    <row r="3450" spans="18:19" x14ac:dyDescent="0.25">
      <c r="R3450" s="75"/>
      <c r="S3450" s="75"/>
    </row>
    <row r="3451" spans="18:19" x14ac:dyDescent="0.25">
      <c r="R3451" s="75"/>
      <c r="S3451" s="75"/>
    </row>
    <row r="3452" spans="18:19" x14ac:dyDescent="0.25">
      <c r="R3452" s="75"/>
      <c r="S3452" s="75"/>
    </row>
    <row r="3453" spans="18:19" x14ac:dyDescent="0.25">
      <c r="R3453" s="75"/>
      <c r="S3453" s="75"/>
    </row>
    <row r="3454" spans="18:19" x14ac:dyDescent="0.25">
      <c r="R3454" s="75"/>
      <c r="S3454" s="75"/>
    </row>
    <row r="3455" spans="18:19" x14ac:dyDescent="0.25">
      <c r="R3455" s="75"/>
      <c r="S3455" s="75"/>
    </row>
    <row r="3456" spans="18:19" x14ac:dyDescent="0.25">
      <c r="R3456" s="75"/>
      <c r="S3456" s="75"/>
    </row>
    <row r="3457" spans="18:19" x14ac:dyDescent="0.25">
      <c r="R3457" s="75"/>
      <c r="S3457" s="75"/>
    </row>
    <row r="3458" spans="18:19" x14ac:dyDescent="0.25">
      <c r="R3458" s="75"/>
      <c r="S3458" s="75"/>
    </row>
    <row r="3459" spans="18:19" x14ac:dyDescent="0.25">
      <c r="R3459" s="75"/>
      <c r="S3459" s="75"/>
    </row>
    <row r="3460" spans="18:19" x14ac:dyDescent="0.25">
      <c r="R3460" s="75"/>
      <c r="S3460" s="75"/>
    </row>
    <row r="3461" spans="18:19" x14ac:dyDescent="0.25">
      <c r="R3461" s="75"/>
      <c r="S3461" s="75"/>
    </row>
    <row r="3462" spans="18:19" x14ac:dyDescent="0.25">
      <c r="R3462" s="75"/>
      <c r="S3462" s="75"/>
    </row>
    <row r="3463" spans="18:19" x14ac:dyDescent="0.25">
      <c r="R3463" s="75"/>
      <c r="S3463" s="75"/>
    </row>
    <row r="3464" spans="18:19" x14ac:dyDescent="0.25">
      <c r="R3464" s="75"/>
      <c r="S3464" s="75"/>
    </row>
    <row r="3465" spans="18:19" x14ac:dyDescent="0.25">
      <c r="R3465" s="75"/>
      <c r="S3465" s="75"/>
    </row>
    <row r="3466" spans="18:19" x14ac:dyDescent="0.25">
      <c r="R3466" s="75"/>
      <c r="S3466" s="75"/>
    </row>
    <row r="3467" spans="18:19" x14ac:dyDescent="0.25">
      <c r="R3467" s="75"/>
      <c r="S3467" s="75"/>
    </row>
    <row r="3468" spans="18:19" x14ac:dyDescent="0.25">
      <c r="R3468" s="75"/>
      <c r="S3468" s="75"/>
    </row>
    <row r="3469" spans="18:19" x14ac:dyDescent="0.25">
      <c r="R3469" s="75"/>
      <c r="S3469" s="75"/>
    </row>
    <row r="3470" spans="18:19" x14ac:dyDescent="0.25">
      <c r="R3470" s="75"/>
      <c r="S3470" s="75"/>
    </row>
    <row r="3471" spans="18:19" x14ac:dyDescent="0.25">
      <c r="R3471" s="75"/>
      <c r="S3471" s="75"/>
    </row>
    <row r="3472" spans="18:19" x14ac:dyDescent="0.25">
      <c r="R3472" s="75"/>
      <c r="S3472" s="75"/>
    </row>
    <row r="3473" spans="18:19" x14ac:dyDescent="0.25">
      <c r="R3473" s="75"/>
      <c r="S3473" s="75"/>
    </row>
    <row r="3474" spans="18:19" x14ac:dyDescent="0.25">
      <c r="R3474" s="75"/>
      <c r="S3474" s="75"/>
    </row>
    <row r="3475" spans="18:19" x14ac:dyDescent="0.25">
      <c r="R3475" s="75"/>
      <c r="S3475" s="75"/>
    </row>
    <row r="3476" spans="18:19" x14ac:dyDescent="0.25">
      <c r="R3476" s="75"/>
      <c r="S3476" s="75"/>
    </row>
    <row r="3477" spans="18:19" x14ac:dyDescent="0.25">
      <c r="R3477" s="75"/>
      <c r="S3477" s="75"/>
    </row>
    <row r="3478" spans="18:19" x14ac:dyDescent="0.25">
      <c r="R3478" s="75"/>
      <c r="S3478" s="75"/>
    </row>
    <row r="3479" spans="18:19" x14ac:dyDescent="0.25">
      <c r="R3479" s="75"/>
      <c r="S3479" s="75"/>
    </row>
    <row r="3480" spans="18:19" x14ac:dyDescent="0.25">
      <c r="R3480" s="75"/>
      <c r="S3480" s="75"/>
    </row>
    <row r="3481" spans="18:19" x14ac:dyDescent="0.25">
      <c r="R3481" s="75"/>
      <c r="S3481" s="75"/>
    </row>
    <row r="3482" spans="18:19" x14ac:dyDescent="0.25">
      <c r="R3482" s="75"/>
      <c r="S3482" s="75"/>
    </row>
    <row r="3483" spans="18:19" x14ac:dyDescent="0.25">
      <c r="R3483" s="75"/>
      <c r="S3483" s="75"/>
    </row>
    <row r="3484" spans="18:19" x14ac:dyDescent="0.25">
      <c r="R3484" s="75"/>
      <c r="S3484" s="75"/>
    </row>
    <row r="3485" spans="18:19" x14ac:dyDescent="0.25">
      <c r="R3485" s="75"/>
      <c r="S3485" s="75"/>
    </row>
    <row r="3486" spans="18:19" x14ac:dyDescent="0.25">
      <c r="R3486" s="75"/>
      <c r="S3486" s="75"/>
    </row>
    <row r="3487" spans="18:19" x14ac:dyDescent="0.25">
      <c r="R3487" s="75"/>
      <c r="S3487" s="75"/>
    </row>
    <row r="3488" spans="18:19" x14ac:dyDescent="0.25">
      <c r="R3488" s="75"/>
      <c r="S3488" s="75"/>
    </row>
    <row r="3489" spans="18:19" x14ac:dyDescent="0.25">
      <c r="R3489" s="75"/>
      <c r="S3489" s="75"/>
    </row>
    <row r="3490" spans="18:19" x14ac:dyDescent="0.25">
      <c r="R3490" s="75"/>
      <c r="S3490" s="75"/>
    </row>
    <row r="3491" spans="18:19" x14ac:dyDescent="0.25">
      <c r="R3491" s="75"/>
      <c r="S3491" s="75"/>
    </row>
    <row r="3492" spans="18:19" x14ac:dyDescent="0.25">
      <c r="R3492" s="75"/>
      <c r="S3492" s="75"/>
    </row>
    <row r="3493" spans="18:19" x14ac:dyDescent="0.25">
      <c r="R3493" s="75"/>
      <c r="S3493" s="75"/>
    </row>
    <row r="3494" spans="18:19" x14ac:dyDescent="0.25">
      <c r="R3494" s="75"/>
      <c r="S3494" s="75"/>
    </row>
    <row r="3495" spans="18:19" x14ac:dyDescent="0.25">
      <c r="R3495" s="75"/>
      <c r="S3495" s="75"/>
    </row>
    <row r="3496" spans="18:19" x14ac:dyDescent="0.25">
      <c r="R3496" s="75"/>
      <c r="S3496" s="75"/>
    </row>
    <row r="3497" spans="18:19" x14ac:dyDescent="0.25">
      <c r="R3497" s="75"/>
      <c r="S3497" s="75"/>
    </row>
    <row r="3498" spans="18:19" x14ac:dyDescent="0.25">
      <c r="R3498" s="75"/>
      <c r="S3498" s="75"/>
    </row>
    <row r="3499" spans="18:19" x14ac:dyDescent="0.25">
      <c r="R3499" s="75"/>
      <c r="S3499" s="75"/>
    </row>
    <row r="3500" spans="18:19" x14ac:dyDescent="0.25">
      <c r="R3500" s="75"/>
      <c r="S3500" s="75"/>
    </row>
    <row r="3501" spans="18:19" x14ac:dyDescent="0.25">
      <c r="R3501" s="75"/>
      <c r="S3501" s="75"/>
    </row>
    <row r="3502" spans="18:19" x14ac:dyDescent="0.25">
      <c r="R3502" s="75"/>
      <c r="S3502" s="75"/>
    </row>
    <row r="3503" spans="18:19" x14ac:dyDescent="0.25">
      <c r="R3503" s="75"/>
      <c r="S3503" s="75"/>
    </row>
    <row r="3504" spans="18:19" x14ac:dyDescent="0.25">
      <c r="R3504" s="75"/>
      <c r="S3504" s="75"/>
    </row>
    <row r="3505" spans="18:19" x14ac:dyDescent="0.25">
      <c r="R3505" s="75"/>
      <c r="S3505" s="75"/>
    </row>
    <row r="3506" spans="18:19" x14ac:dyDescent="0.25">
      <c r="R3506" s="75"/>
      <c r="S3506" s="75"/>
    </row>
    <row r="3507" spans="18:19" x14ac:dyDescent="0.25">
      <c r="R3507" s="75"/>
      <c r="S3507" s="75"/>
    </row>
    <row r="3508" spans="18:19" x14ac:dyDescent="0.25">
      <c r="R3508" s="75"/>
      <c r="S3508" s="75"/>
    </row>
    <row r="3509" spans="18:19" x14ac:dyDescent="0.25">
      <c r="R3509" s="75"/>
      <c r="S3509" s="75"/>
    </row>
    <row r="3510" spans="18:19" x14ac:dyDescent="0.25">
      <c r="R3510" s="75"/>
      <c r="S3510" s="75"/>
    </row>
    <row r="3511" spans="18:19" x14ac:dyDescent="0.25">
      <c r="R3511" s="75"/>
      <c r="S3511" s="75"/>
    </row>
    <row r="3512" spans="18:19" x14ac:dyDescent="0.25">
      <c r="R3512" s="75"/>
      <c r="S3512" s="75"/>
    </row>
    <row r="3513" spans="18:19" x14ac:dyDescent="0.25">
      <c r="R3513" s="75"/>
      <c r="S3513" s="75"/>
    </row>
    <row r="3514" spans="18:19" x14ac:dyDescent="0.25">
      <c r="R3514" s="75"/>
      <c r="S3514" s="75"/>
    </row>
    <row r="3515" spans="18:19" x14ac:dyDescent="0.25">
      <c r="R3515" s="75"/>
      <c r="S3515" s="75"/>
    </row>
    <row r="3516" spans="18:19" x14ac:dyDescent="0.25">
      <c r="R3516" s="75"/>
      <c r="S3516" s="75"/>
    </row>
    <row r="3517" spans="18:19" x14ac:dyDescent="0.25">
      <c r="R3517" s="75"/>
      <c r="S3517" s="75"/>
    </row>
    <row r="3518" spans="18:19" x14ac:dyDescent="0.25">
      <c r="R3518" s="75"/>
      <c r="S3518" s="75"/>
    </row>
    <row r="3519" spans="18:19" x14ac:dyDescent="0.25">
      <c r="R3519" s="75"/>
      <c r="S3519" s="75"/>
    </row>
    <row r="3520" spans="18:19" x14ac:dyDescent="0.25">
      <c r="R3520" s="75"/>
      <c r="S3520" s="75"/>
    </row>
    <row r="3521" spans="18:19" x14ac:dyDescent="0.25">
      <c r="R3521" s="75"/>
      <c r="S3521" s="75"/>
    </row>
    <row r="3522" spans="18:19" x14ac:dyDescent="0.25">
      <c r="R3522" s="75"/>
      <c r="S3522" s="75"/>
    </row>
    <row r="3523" spans="18:19" x14ac:dyDescent="0.25">
      <c r="R3523" s="75"/>
      <c r="S3523" s="75"/>
    </row>
    <row r="3524" spans="18:19" x14ac:dyDescent="0.25">
      <c r="R3524" s="75"/>
      <c r="S3524" s="75"/>
    </row>
    <row r="3525" spans="18:19" x14ac:dyDescent="0.25">
      <c r="R3525" s="75"/>
      <c r="S3525" s="75"/>
    </row>
    <row r="3526" spans="18:19" x14ac:dyDescent="0.25">
      <c r="R3526" s="75"/>
      <c r="S3526" s="75"/>
    </row>
    <row r="3527" spans="18:19" x14ac:dyDescent="0.25">
      <c r="R3527" s="75"/>
      <c r="S3527" s="75"/>
    </row>
    <row r="3528" spans="18:19" x14ac:dyDescent="0.25">
      <c r="R3528" s="75"/>
      <c r="S3528" s="75"/>
    </row>
    <row r="3529" spans="18:19" x14ac:dyDescent="0.25">
      <c r="R3529" s="75"/>
      <c r="S3529" s="75"/>
    </row>
    <row r="3530" spans="18:19" x14ac:dyDescent="0.25">
      <c r="R3530" s="75"/>
      <c r="S3530" s="75"/>
    </row>
    <row r="3531" spans="18:19" x14ac:dyDescent="0.25">
      <c r="R3531" s="75"/>
      <c r="S3531" s="75"/>
    </row>
    <row r="3532" spans="18:19" x14ac:dyDescent="0.25">
      <c r="R3532" s="75"/>
      <c r="S3532" s="75"/>
    </row>
    <row r="3533" spans="18:19" x14ac:dyDescent="0.25">
      <c r="R3533" s="75"/>
      <c r="S3533" s="75"/>
    </row>
    <row r="3534" spans="18:19" x14ac:dyDescent="0.25">
      <c r="R3534" s="75"/>
      <c r="S3534" s="75"/>
    </row>
    <row r="3535" spans="18:19" x14ac:dyDescent="0.25">
      <c r="R3535" s="75"/>
      <c r="S3535" s="75"/>
    </row>
    <row r="3536" spans="18:19" x14ac:dyDescent="0.25">
      <c r="R3536" s="75"/>
      <c r="S3536" s="75"/>
    </row>
    <row r="3537" spans="18:19" x14ac:dyDescent="0.25">
      <c r="R3537" s="75"/>
      <c r="S3537" s="75"/>
    </row>
    <row r="3538" spans="18:19" x14ac:dyDescent="0.25">
      <c r="R3538" s="75"/>
      <c r="S3538" s="75"/>
    </row>
    <row r="3539" spans="18:19" x14ac:dyDescent="0.25">
      <c r="R3539" s="75"/>
      <c r="S3539" s="75"/>
    </row>
    <row r="3540" spans="18:19" x14ac:dyDescent="0.25">
      <c r="R3540" s="75"/>
      <c r="S3540" s="75"/>
    </row>
    <row r="3541" spans="18:19" x14ac:dyDescent="0.25">
      <c r="R3541" s="75"/>
      <c r="S3541" s="75"/>
    </row>
    <row r="3542" spans="18:19" x14ac:dyDescent="0.25">
      <c r="R3542" s="75"/>
      <c r="S3542" s="75"/>
    </row>
    <row r="3543" spans="18:19" x14ac:dyDescent="0.25">
      <c r="R3543" s="75"/>
      <c r="S3543" s="75"/>
    </row>
    <row r="3544" spans="18:19" x14ac:dyDescent="0.25">
      <c r="R3544" s="75"/>
      <c r="S3544" s="75"/>
    </row>
    <row r="3545" spans="18:19" x14ac:dyDescent="0.25">
      <c r="R3545" s="75"/>
      <c r="S3545" s="75"/>
    </row>
    <row r="3546" spans="18:19" x14ac:dyDescent="0.25">
      <c r="R3546" s="75"/>
      <c r="S3546" s="75"/>
    </row>
    <row r="3547" spans="18:19" x14ac:dyDescent="0.25">
      <c r="R3547" s="75"/>
      <c r="S3547" s="75"/>
    </row>
    <row r="3548" spans="18:19" x14ac:dyDescent="0.25">
      <c r="R3548" s="75"/>
      <c r="S3548" s="75"/>
    </row>
    <row r="3549" spans="18:19" x14ac:dyDescent="0.25">
      <c r="R3549" s="75"/>
      <c r="S3549" s="75"/>
    </row>
    <row r="3550" spans="18:19" x14ac:dyDescent="0.25">
      <c r="R3550" s="75"/>
      <c r="S3550" s="75"/>
    </row>
    <row r="3551" spans="18:19" x14ac:dyDescent="0.25">
      <c r="R3551" s="75"/>
      <c r="S3551" s="75"/>
    </row>
    <row r="3552" spans="18:19" x14ac:dyDescent="0.25">
      <c r="R3552" s="75"/>
      <c r="S3552" s="75"/>
    </row>
    <row r="3553" spans="18:19" x14ac:dyDescent="0.25">
      <c r="R3553" s="75"/>
      <c r="S3553" s="75"/>
    </row>
    <row r="3554" spans="18:19" x14ac:dyDescent="0.25">
      <c r="R3554" s="75"/>
      <c r="S3554" s="75"/>
    </row>
    <row r="3555" spans="18:19" x14ac:dyDescent="0.25">
      <c r="R3555" s="75"/>
      <c r="S3555" s="75"/>
    </row>
    <row r="3556" spans="18:19" x14ac:dyDescent="0.25">
      <c r="R3556" s="75"/>
      <c r="S3556" s="75"/>
    </row>
    <row r="3557" spans="18:19" x14ac:dyDescent="0.25">
      <c r="R3557" s="75"/>
      <c r="S3557" s="75"/>
    </row>
    <row r="3558" spans="18:19" x14ac:dyDescent="0.25">
      <c r="R3558" s="75"/>
      <c r="S3558" s="75"/>
    </row>
    <row r="3559" spans="18:19" x14ac:dyDescent="0.25">
      <c r="R3559" s="75"/>
      <c r="S3559" s="75"/>
    </row>
    <row r="3560" spans="18:19" x14ac:dyDescent="0.25">
      <c r="R3560" s="75"/>
      <c r="S3560" s="75"/>
    </row>
    <row r="3561" spans="18:19" x14ac:dyDescent="0.25">
      <c r="R3561" s="75"/>
      <c r="S3561" s="75"/>
    </row>
    <row r="3562" spans="18:19" x14ac:dyDescent="0.25">
      <c r="R3562" s="75"/>
      <c r="S3562" s="75"/>
    </row>
    <row r="3563" spans="18:19" x14ac:dyDescent="0.25">
      <c r="R3563" s="75"/>
      <c r="S3563" s="75"/>
    </row>
    <row r="3564" spans="18:19" x14ac:dyDescent="0.25">
      <c r="R3564" s="75"/>
      <c r="S3564" s="75"/>
    </row>
    <row r="3565" spans="18:19" x14ac:dyDescent="0.25">
      <c r="R3565" s="75"/>
      <c r="S3565" s="75"/>
    </row>
    <row r="3566" spans="18:19" x14ac:dyDescent="0.25">
      <c r="R3566" s="75"/>
      <c r="S3566" s="75"/>
    </row>
    <row r="3567" spans="18:19" x14ac:dyDescent="0.25">
      <c r="R3567" s="75"/>
      <c r="S3567" s="75"/>
    </row>
    <row r="3568" spans="18:19" x14ac:dyDescent="0.25">
      <c r="R3568" s="75"/>
      <c r="S3568" s="75"/>
    </row>
    <row r="3569" spans="18:19" x14ac:dyDescent="0.25">
      <c r="R3569" s="75"/>
      <c r="S3569" s="75"/>
    </row>
    <row r="3570" spans="18:19" x14ac:dyDescent="0.25">
      <c r="R3570" s="75"/>
      <c r="S3570" s="75"/>
    </row>
    <row r="3571" spans="18:19" x14ac:dyDescent="0.25">
      <c r="R3571" s="75"/>
      <c r="S3571" s="75"/>
    </row>
    <row r="3572" spans="18:19" x14ac:dyDescent="0.25">
      <c r="R3572" s="75"/>
      <c r="S3572" s="75"/>
    </row>
    <row r="3573" spans="18:19" x14ac:dyDescent="0.25">
      <c r="R3573" s="75"/>
      <c r="S3573" s="75"/>
    </row>
    <row r="3574" spans="18:19" x14ac:dyDescent="0.25">
      <c r="R3574" s="75"/>
      <c r="S3574" s="75"/>
    </row>
    <row r="3575" spans="18:19" x14ac:dyDescent="0.25">
      <c r="R3575" s="75"/>
      <c r="S3575" s="75"/>
    </row>
    <row r="3576" spans="18:19" x14ac:dyDescent="0.25">
      <c r="R3576" s="75"/>
      <c r="S3576" s="75"/>
    </row>
    <row r="3577" spans="18:19" x14ac:dyDescent="0.25">
      <c r="R3577" s="75"/>
      <c r="S3577" s="75"/>
    </row>
    <row r="3578" spans="18:19" x14ac:dyDescent="0.25">
      <c r="R3578" s="75"/>
      <c r="S3578" s="75"/>
    </row>
    <row r="3579" spans="18:19" x14ac:dyDescent="0.25">
      <c r="R3579" s="75"/>
      <c r="S3579" s="75"/>
    </row>
    <row r="3580" spans="18:19" x14ac:dyDescent="0.25">
      <c r="R3580" s="75"/>
      <c r="S3580" s="75"/>
    </row>
    <row r="3581" spans="18:19" x14ac:dyDescent="0.25">
      <c r="R3581" s="75"/>
      <c r="S3581" s="75"/>
    </row>
    <row r="3582" spans="18:19" x14ac:dyDescent="0.25">
      <c r="R3582" s="75"/>
      <c r="S3582" s="75"/>
    </row>
    <row r="3583" spans="18:19" x14ac:dyDescent="0.25">
      <c r="R3583" s="75"/>
      <c r="S3583" s="75"/>
    </row>
    <row r="3584" spans="18:19" x14ac:dyDescent="0.25">
      <c r="R3584" s="75"/>
      <c r="S3584" s="75"/>
    </row>
    <row r="3585" spans="18:19" x14ac:dyDescent="0.25">
      <c r="R3585" s="75"/>
      <c r="S3585" s="75"/>
    </row>
    <row r="3586" spans="18:19" x14ac:dyDescent="0.25">
      <c r="R3586" s="75"/>
      <c r="S3586" s="75"/>
    </row>
    <row r="3587" spans="18:19" x14ac:dyDescent="0.25">
      <c r="R3587" s="75"/>
      <c r="S3587" s="75"/>
    </row>
    <row r="3588" spans="18:19" x14ac:dyDescent="0.25">
      <c r="R3588" s="75"/>
      <c r="S3588" s="75"/>
    </row>
    <row r="3589" spans="18:19" x14ac:dyDescent="0.25">
      <c r="R3589" s="75"/>
      <c r="S3589" s="75"/>
    </row>
    <row r="3590" spans="18:19" x14ac:dyDescent="0.25">
      <c r="R3590" s="75"/>
      <c r="S3590" s="75"/>
    </row>
    <row r="3591" spans="18:19" x14ac:dyDescent="0.25">
      <c r="R3591" s="75"/>
      <c r="S3591" s="75"/>
    </row>
    <row r="3592" spans="18:19" x14ac:dyDescent="0.25">
      <c r="R3592" s="75"/>
      <c r="S3592" s="75"/>
    </row>
    <row r="3593" spans="18:19" x14ac:dyDescent="0.25">
      <c r="R3593" s="75"/>
      <c r="S3593" s="75"/>
    </row>
    <row r="3594" spans="18:19" x14ac:dyDescent="0.25">
      <c r="R3594" s="75"/>
      <c r="S3594" s="75"/>
    </row>
    <row r="3595" spans="18:19" x14ac:dyDescent="0.25">
      <c r="R3595" s="75"/>
      <c r="S3595" s="75"/>
    </row>
    <row r="3596" spans="18:19" x14ac:dyDescent="0.25">
      <c r="R3596" s="75"/>
      <c r="S3596" s="75"/>
    </row>
    <row r="3597" spans="18:19" x14ac:dyDescent="0.25">
      <c r="R3597" s="75"/>
      <c r="S3597" s="75"/>
    </row>
    <row r="3598" spans="18:19" x14ac:dyDescent="0.25">
      <c r="R3598" s="75"/>
      <c r="S3598" s="75"/>
    </row>
    <row r="3599" spans="18:19" x14ac:dyDescent="0.25">
      <c r="R3599" s="75"/>
      <c r="S3599" s="75"/>
    </row>
    <row r="3600" spans="18:19" x14ac:dyDescent="0.25">
      <c r="R3600" s="75"/>
      <c r="S3600" s="75"/>
    </row>
    <row r="3601" spans="18:19" x14ac:dyDescent="0.25">
      <c r="R3601" s="75"/>
      <c r="S3601" s="75"/>
    </row>
    <row r="3602" spans="18:19" x14ac:dyDescent="0.25">
      <c r="R3602" s="75"/>
      <c r="S3602" s="75"/>
    </row>
    <row r="3603" spans="18:19" x14ac:dyDescent="0.25">
      <c r="R3603" s="75"/>
      <c r="S3603" s="75"/>
    </row>
    <row r="3604" spans="18:19" x14ac:dyDescent="0.25">
      <c r="R3604" s="75"/>
      <c r="S3604" s="75"/>
    </row>
    <row r="3605" spans="18:19" x14ac:dyDescent="0.25">
      <c r="R3605" s="75"/>
      <c r="S3605" s="75"/>
    </row>
    <row r="3606" spans="18:19" x14ac:dyDescent="0.25">
      <c r="R3606" s="75"/>
      <c r="S3606" s="75"/>
    </row>
    <row r="3607" spans="18:19" x14ac:dyDescent="0.25">
      <c r="R3607" s="75"/>
      <c r="S3607" s="75"/>
    </row>
    <row r="3608" spans="18:19" x14ac:dyDescent="0.25">
      <c r="R3608" s="75"/>
      <c r="S3608" s="75"/>
    </row>
    <row r="3609" spans="18:19" x14ac:dyDescent="0.25">
      <c r="R3609" s="75"/>
      <c r="S3609" s="75"/>
    </row>
    <row r="3610" spans="18:19" x14ac:dyDescent="0.25">
      <c r="R3610" s="75"/>
      <c r="S3610" s="75"/>
    </row>
    <row r="3611" spans="18:19" x14ac:dyDescent="0.25">
      <c r="R3611" s="75"/>
      <c r="S3611" s="75"/>
    </row>
    <row r="3612" spans="18:19" x14ac:dyDescent="0.25">
      <c r="R3612" s="75"/>
      <c r="S3612" s="75"/>
    </row>
    <row r="3613" spans="18:19" x14ac:dyDescent="0.25">
      <c r="R3613" s="75"/>
      <c r="S3613" s="75"/>
    </row>
    <row r="3614" spans="18:19" x14ac:dyDescent="0.25">
      <c r="R3614" s="75"/>
      <c r="S3614" s="75"/>
    </row>
    <row r="3615" spans="18:19" x14ac:dyDescent="0.25">
      <c r="R3615" s="75"/>
      <c r="S3615" s="75"/>
    </row>
    <row r="3616" spans="18:19" x14ac:dyDescent="0.25">
      <c r="R3616" s="75"/>
      <c r="S3616" s="75"/>
    </row>
    <row r="3617" spans="18:19" x14ac:dyDescent="0.25">
      <c r="R3617" s="75"/>
      <c r="S3617" s="75"/>
    </row>
    <row r="3618" spans="18:19" x14ac:dyDescent="0.25">
      <c r="R3618" s="75"/>
      <c r="S3618" s="75"/>
    </row>
    <row r="3619" spans="18:19" x14ac:dyDescent="0.25">
      <c r="R3619" s="75"/>
      <c r="S3619" s="75"/>
    </row>
    <row r="3620" spans="18:19" x14ac:dyDescent="0.25">
      <c r="R3620" s="75"/>
      <c r="S3620" s="75"/>
    </row>
    <row r="3621" spans="18:19" x14ac:dyDescent="0.25">
      <c r="R3621" s="75"/>
      <c r="S3621" s="75"/>
    </row>
    <row r="3622" spans="18:19" x14ac:dyDescent="0.25">
      <c r="R3622" s="75"/>
      <c r="S3622" s="75"/>
    </row>
    <row r="3623" spans="18:19" x14ac:dyDescent="0.25">
      <c r="R3623" s="75"/>
      <c r="S3623" s="75"/>
    </row>
    <row r="3624" spans="18:19" x14ac:dyDescent="0.25">
      <c r="R3624" s="75"/>
      <c r="S3624" s="75"/>
    </row>
    <row r="3625" spans="18:19" x14ac:dyDescent="0.25">
      <c r="R3625" s="75"/>
      <c r="S3625" s="75"/>
    </row>
    <row r="3626" spans="18:19" x14ac:dyDescent="0.25">
      <c r="R3626" s="75"/>
      <c r="S3626" s="75"/>
    </row>
    <row r="3627" spans="18:19" x14ac:dyDescent="0.25">
      <c r="R3627" s="75"/>
      <c r="S3627" s="75"/>
    </row>
    <row r="3628" spans="18:19" x14ac:dyDescent="0.25">
      <c r="R3628" s="75"/>
      <c r="S3628" s="75"/>
    </row>
    <row r="3629" spans="18:19" x14ac:dyDescent="0.25">
      <c r="R3629" s="75"/>
      <c r="S3629" s="75"/>
    </row>
    <row r="3630" spans="18:19" x14ac:dyDescent="0.25">
      <c r="R3630" s="75"/>
      <c r="S3630" s="75"/>
    </row>
    <row r="3631" spans="18:19" x14ac:dyDescent="0.25">
      <c r="R3631" s="75"/>
      <c r="S3631" s="75"/>
    </row>
    <row r="3632" spans="18:19" x14ac:dyDescent="0.25">
      <c r="R3632" s="75"/>
      <c r="S3632" s="75"/>
    </row>
    <row r="3633" spans="18:19" x14ac:dyDescent="0.25">
      <c r="R3633" s="75"/>
      <c r="S3633" s="75"/>
    </row>
    <row r="3634" spans="18:19" x14ac:dyDescent="0.25">
      <c r="R3634" s="75"/>
      <c r="S3634" s="75"/>
    </row>
    <row r="3635" spans="18:19" x14ac:dyDescent="0.25">
      <c r="R3635" s="75"/>
      <c r="S3635" s="75"/>
    </row>
    <row r="3636" spans="18:19" x14ac:dyDescent="0.25">
      <c r="R3636" s="75"/>
      <c r="S3636" s="75"/>
    </row>
    <row r="3637" spans="18:19" x14ac:dyDescent="0.25">
      <c r="R3637" s="75"/>
      <c r="S3637" s="75"/>
    </row>
    <row r="3638" spans="18:19" x14ac:dyDescent="0.25">
      <c r="R3638" s="75"/>
      <c r="S3638" s="75"/>
    </row>
    <row r="3639" spans="18:19" x14ac:dyDescent="0.25">
      <c r="R3639" s="75"/>
      <c r="S3639" s="75"/>
    </row>
    <row r="3640" spans="18:19" x14ac:dyDescent="0.25">
      <c r="R3640" s="75"/>
      <c r="S3640" s="75"/>
    </row>
    <row r="3641" spans="18:19" x14ac:dyDescent="0.25">
      <c r="R3641" s="75"/>
      <c r="S3641" s="75"/>
    </row>
    <row r="3642" spans="18:19" x14ac:dyDescent="0.25">
      <c r="R3642" s="75"/>
      <c r="S3642" s="75"/>
    </row>
    <row r="3643" spans="18:19" x14ac:dyDescent="0.25">
      <c r="R3643" s="75"/>
      <c r="S3643" s="75"/>
    </row>
    <row r="3644" spans="18:19" x14ac:dyDescent="0.25">
      <c r="R3644" s="75"/>
      <c r="S3644" s="75"/>
    </row>
    <row r="3645" spans="18:19" x14ac:dyDescent="0.25">
      <c r="R3645" s="75"/>
      <c r="S3645" s="75"/>
    </row>
    <row r="3646" spans="18:19" x14ac:dyDescent="0.25">
      <c r="R3646" s="75"/>
      <c r="S3646" s="75"/>
    </row>
    <row r="3647" spans="18:19" x14ac:dyDescent="0.25">
      <c r="R3647" s="75"/>
      <c r="S3647" s="75"/>
    </row>
    <row r="3648" spans="18:19" x14ac:dyDescent="0.25">
      <c r="R3648" s="75"/>
      <c r="S3648" s="75"/>
    </row>
    <row r="3649" spans="18:19" x14ac:dyDescent="0.25">
      <c r="R3649" s="75"/>
      <c r="S3649" s="75"/>
    </row>
    <row r="3650" spans="18:19" x14ac:dyDescent="0.25">
      <c r="R3650" s="75"/>
      <c r="S3650" s="75"/>
    </row>
    <row r="3651" spans="18:19" x14ac:dyDescent="0.25">
      <c r="R3651" s="75"/>
      <c r="S3651" s="75"/>
    </row>
    <row r="3652" spans="18:19" x14ac:dyDescent="0.25">
      <c r="R3652" s="75"/>
      <c r="S3652" s="75"/>
    </row>
    <row r="3653" spans="18:19" x14ac:dyDescent="0.25">
      <c r="R3653" s="75"/>
      <c r="S3653" s="75"/>
    </row>
    <row r="3654" spans="18:19" x14ac:dyDescent="0.25">
      <c r="R3654" s="75"/>
      <c r="S3654" s="75"/>
    </row>
    <row r="3655" spans="18:19" x14ac:dyDescent="0.25">
      <c r="R3655" s="75"/>
      <c r="S3655" s="75"/>
    </row>
    <row r="3656" spans="18:19" x14ac:dyDescent="0.25">
      <c r="R3656" s="75"/>
      <c r="S3656" s="75"/>
    </row>
    <row r="3657" spans="18:19" x14ac:dyDescent="0.25">
      <c r="R3657" s="75"/>
      <c r="S3657" s="75"/>
    </row>
    <row r="3658" spans="18:19" x14ac:dyDescent="0.25">
      <c r="R3658" s="75"/>
      <c r="S3658" s="75"/>
    </row>
    <row r="3659" spans="18:19" x14ac:dyDescent="0.25">
      <c r="R3659" s="75"/>
      <c r="S3659" s="75"/>
    </row>
    <row r="3660" spans="18:19" x14ac:dyDescent="0.25">
      <c r="R3660" s="75"/>
      <c r="S3660" s="75"/>
    </row>
    <row r="3661" spans="18:19" x14ac:dyDescent="0.25">
      <c r="R3661" s="75"/>
      <c r="S3661" s="75"/>
    </row>
    <row r="3662" spans="18:19" x14ac:dyDescent="0.25">
      <c r="R3662" s="75"/>
      <c r="S3662" s="75"/>
    </row>
    <row r="3663" spans="18:19" x14ac:dyDescent="0.25">
      <c r="R3663" s="75"/>
      <c r="S3663" s="75"/>
    </row>
    <row r="3664" spans="18:19" x14ac:dyDescent="0.25">
      <c r="R3664" s="75"/>
      <c r="S3664" s="75"/>
    </row>
    <row r="3665" spans="18:19" x14ac:dyDescent="0.25">
      <c r="R3665" s="75"/>
      <c r="S3665" s="75"/>
    </row>
    <row r="3666" spans="18:19" x14ac:dyDescent="0.25">
      <c r="R3666" s="75"/>
      <c r="S3666" s="75"/>
    </row>
    <row r="3667" spans="18:19" x14ac:dyDescent="0.25">
      <c r="R3667" s="75"/>
      <c r="S3667" s="75"/>
    </row>
    <row r="3668" spans="18:19" x14ac:dyDescent="0.25">
      <c r="R3668" s="75"/>
      <c r="S3668" s="75"/>
    </row>
    <row r="3669" spans="18:19" x14ac:dyDescent="0.25">
      <c r="R3669" s="75"/>
      <c r="S3669" s="75"/>
    </row>
    <row r="3670" spans="18:19" x14ac:dyDescent="0.25">
      <c r="R3670" s="75"/>
      <c r="S3670" s="75"/>
    </row>
    <row r="3671" spans="18:19" x14ac:dyDescent="0.25">
      <c r="R3671" s="75"/>
      <c r="S3671" s="75"/>
    </row>
    <row r="3672" spans="18:19" x14ac:dyDescent="0.25">
      <c r="R3672" s="75"/>
      <c r="S3672" s="75"/>
    </row>
    <row r="3673" spans="18:19" x14ac:dyDescent="0.25">
      <c r="R3673" s="75"/>
      <c r="S3673" s="75"/>
    </row>
    <row r="3674" spans="18:19" x14ac:dyDescent="0.25">
      <c r="R3674" s="75"/>
      <c r="S3674" s="75"/>
    </row>
    <row r="3675" spans="18:19" x14ac:dyDescent="0.25">
      <c r="R3675" s="75"/>
      <c r="S3675" s="75"/>
    </row>
    <row r="3676" spans="18:19" x14ac:dyDescent="0.25">
      <c r="R3676" s="75"/>
      <c r="S3676" s="75"/>
    </row>
    <row r="3677" spans="18:19" x14ac:dyDescent="0.25">
      <c r="R3677" s="75"/>
      <c r="S3677" s="75"/>
    </row>
    <row r="3678" spans="18:19" x14ac:dyDescent="0.25">
      <c r="R3678" s="75"/>
      <c r="S3678" s="75"/>
    </row>
    <row r="3679" spans="18:19" x14ac:dyDescent="0.25">
      <c r="R3679" s="75"/>
      <c r="S3679" s="75"/>
    </row>
    <row r="3680" spans="18:19" x14ac:dyDescent="0.25">
      <c r="R3680" s="75"/>
      <c r="S3680" s="75"/>
    </row>
    <row r="3681" spans="18:19" x14ac:dyDescent="0.25">
      <c r="R3681" s="75"/>
      <c r="S3681" s="75"/>
    </row>
    <row r="3682" spans="18:19" x14ac:dyDescent="0.25">
      <c r="R3682" s="75"/>
      <c r="S3682" s="75"/>
    </row>
    <row r="3683" spans="18:19" x14ac:dyDescent="0.25">
      <c r="R3683" s="75"/>
      <c r="S3683" s="75"/>
    </row>
    <row r="3684" spans="18:19" x14ac:dyDescent="0.25">
      <c r="R3684" s="75"/>
      <c r="S3684" s="75"/>
    </row>
    <row r="3685" spans="18:19" x14ac:dyDescent="0.25">
      <c r="R3685" s="75"/>
      <c r="S3685" s="75"/>
    </row>
    <row r="3686" spans="18:19" x14ac:dyDescent="0.25">
      <c r="R3686" s="75"/>
      <c r="S3686" s="75"/>
    </row>
    <row r="3687" spans="18:19" x14ac:dyDescent="0.25">
      <c r="R3687" s="75"/>
      <c r="S3687" s="75"/>
    </row>
    <row r="3688" spans="18:19" x14ac:dyDescent="0.25">
      <c r="R3688" s="75"/>
      <c r="S3688" s="75"/>
    </row>
    <row r="3689" spans="18:19" x14ac:dyDescent="0.25">
      <c r="R3689" s="75"/>
      <c r="S3689" s="75"/>
    </row>
    <row r="3690" spans="18:19" x14ac:dyDescent="0.25">
      <c r="R3690" s="75"/>
      <c r="S3690" s="75"/>
    </row>
    <row r="3691" spans="18:19" x14ac:dyDescent="0.25">
      <c r="R3691" s="75"/>
      <c r="S3691" s="75"/>
    </row>
    <row r="3692" spans="18:19" x14ac:dyDescent="0.25">
      <c r="R3692" s="75"/>
      <c r="S3692" s="75"/>
    </row>
    <row r="3693" spans="18:19" x14ac:dyDescent="0.25">
      <c r="R3693" s="75"/>
      <c r="S3693" s="75"/>
    </row>
    <row r="3694" spans="18:19" x14ac:dyDescent="0.25">
      <c r="R3694" s="75"/>
      <c r="S3694" s="75"/>
    </row>
    <row r="3695" spans="18:19" x14ac:dyDescent="0.25">
      <c r="R3695" s="75"/>
      <c r="S3695" s="75"/>
    </row>
    <row r="3696" spans="18:19" x14ac:dyDescent="0.25">
      <c r="R3696" s="75"/>
      <c r="S3696" s="75"/>
    </row>
    <row r="3697" spans="18:19" x14ac:dyDescent="0.25">
      <c r="R3697" s="75"/>
      <c r="S3697" s="75"/>
    </row>
    <row r="3698" spans="18:19" x14ac:dyDescent="0.25">
      <c r="R3698" s="75"/>
      <c r="S3698" s="75"/>
    </row>
    <row r="3699" spans="18:19" x14ac:dyDescent="0.25">
      <c r="R3699" s="75"/>
      <c r="S3699" s="75"/>
    </row>
    <row r="3700" spans="18:19" x14ac:dyDescent="0.25">
      <c r="R3700" s="75"/>
      <c r="S3700" s="75"/>
    </row>
    <row r="3701" spans="18:19" x14ac:dyDescent="0.25">
      <c r="R3701" s="75"/>
      <c r="S3701" s="75"/>
    </row>
    <row r="3702" spans="18:19" x14ac:dyDescent="0.25">
      <c r="R3702" s="75"/>
      <c r="S3702" s="75"/>
    </row>
    <row r="3703" spans="18:19" x14ac:dyDescent="0.25">
      <c r="R3703" s="75"/>
      <c r="S3703" s="75"/>
    </row>
    <row r="3704" spans="18:19" x14ac:dyDescent="0.25">
      <c r="R3704" s="75"/>
      <c r="S3704" s="75"/>
    </row>
    <row r="3705" spans="18:19" x14ac:dyDescent="0.25">
      <c r="R3705" s="75"/>
      <c r="S3705" s="75"/>
    </row>
    <row r="3706" spans="18:19" x14ac:dyDescent="0.25">
      <c r="R3706" s="75"/>
      <c r="S3706" s="75"/>
    </row>
    <row r="3707" spans="18:19" x14ac:dyDescent="0.25">
      <c r="R3707" s="75"/>
      <c r="S3707" s="75"/>
    </row>
    <row r="3708" spans="18:19" x14ac:dyDescent="0.25">
      <c r="R3708" s="75"/>
      <c r="S3708" s="75"/>
    </row>
    <row r="3709" spans="18:19" x14ac:dyDescent="0.25">
      <c r="R3709" s="75"/>
      <c r="S3709" s="75"/>
    </row>
    <row r="3710" spans="18:19" x14ac:dyDescent="0.25">
      <c r="R3710" s="75"/>
      <c r="S3710" s="75"/>
    </row>
    <row r="3711" spans="18:19" x14ac:dyDescent="0.25">
      <c r="R3711" s="75"/>
      <c r="S3711" s="75"/>
    </row>
    <row r="3712" spans="18:19" x14ac:dyDescent="0.25">
      <c r="R3712" s="75"/>
      <c r="S3712" s="75"/>
    </row>
    <row r="3713" spans="18:19" x14ac:dyDescent="0.25">
      <c r="R3713" s="75"/>
      <c r="S3713" s="75"/>
    </row>
    <row r="3714" spans="18:19" x14ac:dyDescent="0.25">
      <c r="R3714" s="75"/>
      <c r="S3714" s="75"/>
    </row>
    <row r="3715" spans="18:19" x14ac:dyDescent="0.25">
      <c r="R3715" s="75"/>
      <c r="S3715" s="75"/>
    </row>
    <row r="3716" spans="18:19" x14ac:dyDescent="0.25">
      <c r="R3716" s="75"/>
      <c r="S3716" s="75"/>
    </row>
    <row r="3717" spans="18:19" x14ac:dyDescent="0.25">
      <c r="R3717" s="75"/>
      <c r="S3717" s="75"/>
    </row>
    <row r="3718" spans="18:19" x14ac:dyDescent="0.25">
      <c r="R3718" s="75"/>
      <c r="S3718" s="75"/>
    </row>
    <row r="3719" spans="18:19" x14ac:dyDescent="0.25">
      <c r="R3719" s="75"/>
      <c r="S3719" s="75"/>
    </row>
    <row r="3720" spans="18:19" x14ac:dyDescent="0.25">
      <c r="R3720" s="75"/>
      <c r="S3720" s="75"/>
    </row>
    <row r="3721" spans="18:19" x14ac:dyDescent="0.25">
      <c r="R3721" s="75"/>
      <c r="S3721" s="75"/>
    </row>
    <row r="3722" spans="18:19" x14ac:dyDescent="0.25">
      <c r="R3722" s="75"/>
      <c r="S3722" s="75"/>
    </row>
    <row r="3723" spans="18:19" x14ac:dyDescent="0.25">
      <c r="R3723" s="75"/>
      <c r="S3723" s="75"/>
    </row>
    <row r="3724" spans="18:19" x14ac:dyDescent="0.25">
      <c r="R3724" s="75"/>
      <c r="S3724" s="75"/>
    </row>
    <row r="3725" spans="18:19" x14ac:dyDescent="0.25">
      <c r="R3725" s="75"/>
      <c r="S3725" s="75"/>
    </row>
    <row r="3726" spans="18:19" x14ac:dyDescent="0.25">
      <c r="R3726" s="75"/>
      <c r="S3726" s="75"/>
    </row>
    <row r="3727" spans="18:19" x14ac:dyDescent="0.25">
      <c r="R3727" s="75"/>
      <c r="S3727" s="75"/>
    </row>
    <row r="3728" spans="18:19" x14ac:dyDescent="0.25">
      <c r="R3728" s="75"/>
      <c r="S3728" s="75"/>
    </row>
    <row r="3729" spans="18:19" x14ac:dyDescent="0.25">
      <c r="R3729" s="75"/>
      <c r="S3729" s="75"/>
    </row>
    <row r="3730" spans="18:19" x14ac:dyDescent="0.25">
      <c r="R3730" s="75"/>
      <c r="S3730" s="75"/>
    </row>
    <row r="3731" spans="18:19" x14ac:dyDescent="0.25">
      <c r="R3731" s="75"/>
      <c r="S3731" s="75"/>
    </row>
    <row r="3732" spans="18:19" x14ac:dyDescent="0.25">
      <c r="R3732" s="75"/>
      <c r="S3732" s="75"/>
    </row>
    <row r="3733" spans="18:19" x14ac:dyDescent="0.25">
      <c r="R3733" s="75"/>
      <c r="S3733" s="75"/>
    </row>
    <row r="3734" spans="18:19" x14ac:dyDescent="0.25">
      <c r="R3734" s="75"/>
      <c r="S3734" s="75"/>
    </row>
    <row r="3735" spans="18:19" x14ac:dyDescent="0.25">
      <c r="R3735" s="75"/>
      <c r="S3735" s="75"/>
    </row>
    <row r="3736" spans="18:19" x14ac:dyDescent="0.25">
      <c r="R3736" s="75"/>
      <c r="S3736" s="75"/>
    </row>
    <row r="3737" spans="18:19" x14ac:dyDescent="0.25">
      <c r="R3737" s="75"/>
      <c r="S3737" s="75"/>
    </row>
    <row r="3738" spans="18:19" x14ac:dyDescent="0.25">
      <c r="R3738" s="75"/>
      <c r="S3738" s="75"/>
    </row>
    <row r="3739" spans="18:19" x14ac:dyDescent="0.25">
      <c r="R3739" s="75"/>
      <c r="S3739" s="75"/>
    </row>
    <row r="3740" spans="18:19" x14ac:dyDescent="0.25">
      <c r="R3740" s="75"/>
      <c r="S3740" s="75"/>
    </row>
    <row r="3741" spans="18:19" x14ac:dyDescent="0.25">
      <c r="R3741" s="75"/>
      <c r="S3741" s="75"/>
    </row>
    <row r="3742" spans="18:19" x14ac:dyDescent="0.25">
      <c r="R3742" s="75"/>
      <c r="S3742" s="75"/>
    </row>
    <row r="3743" spans="18:19" x14ac:dyDescent="0.25">
      <c r="R3743" s="75"/>
      <c r="S3743" s="75"/>
    </row>
    <row r="3744" spans="18:19" x14ac:dyDescent="0.25">
      <c r="R3744" s="75"/>
      <c r="S3744" s="75"/>
    </row>
    <row r="3745" spans="18:19" x14ac:dyDescent="0.25">
      <c r="R3745" s="75"/>
      <c r="S3745" s="75"/>
    </row>
    <row r="3746" spans="18:19" x14ac:dyDescent="0.25">
      <c r="R3746" s="75"/>
      <c r="S3746" s="75"/>
    </row>
    <row r="3747" spans="18:19" x14ac:dyDescent="0.25">
      <c r="R3747" s="75"/>
      <c r="S3747" s="75"/>
    </row>
    <row r="3748" spans="18:19" x14ac:dyDescent="0.25">
      <c r="R3748" s="75"/>
      <c r="S3748" s="75"/>
    </row>
    <row r="3749" spans="18:19" x14ac:dyDescent="0.25">
      <c r="R3749" s="75"/>
      <c r="S3749" s="75"/>
    </row>
    <row r="3750" spans="18:19" x14ac:dyDescent="0.25">
      <c r="R3750" s="75"/>
      <c r="S3750" s="75"/>
    </row>
    <row r="3751" spans="18:19" x14ac:dyDescent="0.25">
      <c r="R3751" s="75"/>
      <c r="S3751" s="75"/>
    </row>
    <row r="3752" spans="18:19" x14ac:dyDescent="0.25">
      <c r="R3752" s="75"/>
      <c r="S3752" s="75"/>
    </row>
    <row r="3753" spans="18:19" x14ac:dyDescent="0.25">
      <c r="R3753" s="75"/>
      <c r="S3753" s="75"/>
    </row>
    <row r="3754" spans="18:19" x14ac:dyDescent="0.25">
      <c r="R3754" s="75"/>
      <c r="S3754" s="75"/>
    </row>
    <row r="3755" spans="18:19" x14ac:dyDescent="0.25">
      <c r="R3755" s="75"/>
      <c r="S3755" s="75"/>
    </row>
    <row r="3756" spans="18:19" x14ac:dyDescent="0.25">
      <c r="R3756" s="75"/>
      <c r="S3756" s="75"/>
    </row>
    <row r="3757" spans="18:19" x14ac:dyDescent="0.25">
      <c r="R3757" s="75"/>
      <c r="S3757" s="75"/>
    </row>
    <row r="3758" spans="18:19" x14ac:dyDescent="0.25">
      <c r="R3758" s="75"/>
      <c r="S3758" s="75"/>
    </row>
    <row r="3759" spans="18:19" x14ac:dyDescent="0.25">
      <c r="R3759" s="75"/>
      <c r="S3759" s="75"/>
    </row>
    <row r="3760" spans="18:19" x14ac:dyDescent="0.25">
      <c r="R3760" s="75"/>
      <c r="S3760" s="75"/>
    </row>
    <row r="3761" spans="18:19" x14ac:dyDescent="0.25">
      <c r="R3761" s="75"/>
      <c r="S3761" s="75"/>
    </row>
    <row r="3762" spans="18:19" x14ac:dyDescent="0.25">
      <c r="R3762" s="75"/>
      <c r="S3762" s="75"/>
    </row>
    <row r="3763" spans="18:19" x14ac:dyDescent="0.25">
      <c r="R3763" s="75"/>
      <c r="S3763" s="75"/>
    </row>
    <row r="3764" spans="18:19" x14ac:dyDescent="0.25">
      <c r="R3764" s="75"/>
      <c r="S3764" s="75"/>
    </row>
    <row r="3765" spans="18:19" x14ac:dyDescent="0.25">
      <c r="R3765" s="75"/>
      <c r="S3765" s="75"/>
    </row>
    <row r="3766" spans="18:19" x14ac:dyDescent="0.25">
      <c r="R3766" s="75"/>
      <c r="S3766" s="75"/>
    </row>
    <row r="3767" spans="18:19" x14ac:dyDescent="0.25">
      <c r="R3767" s="75"/>
      <c r="S3767" s="75"/>
    </row>
    <row r="3768" spans="18:19" x14ac:dyDescent="0.25">
      <c r="R3768" s="75"/>
      <c r="S3768" s="75"/>
    </row>
    <row r="3769" spans="18:19" x14ac:dyDescent="0.25">
      <c r="R3769" s="75"/>
      <c r="S3769" s="75"/>
    </row>
    <row r="3770" spans="18:19" x14ac:dyDescent="0.25">
      <c r="R3770" s="75"/>
      <c r="S3770" s="75"/>
    </row>
    <row r="3771" spans="18:19" x14ac:dyDescent="0.25">
      <c r="R3771" s="75"/>
      <c r="S3771" s="75"/>
    </row>
    <row r="3772" spans="18:19" x14ac:dyDescent="0.25">
      <c r="R3772" s="75"/>
      <c r="S3772" s="75"/>
    </row>
    <row r="3773" spans="18:19" x14ac:dyDescent="0.25">
      <c r="R3773" s="75"/>
      <c r="S3773" s="75"/>
    </row>
    <row r="3774" spans="18:19" x14ac:dyDescent="0.25">
      <c r="R3774" s="75"/>
      <c r="S3774" s="75"/>
    </row>
    <row r="3775" spans="18:19" x14ac:dyDescent="0.25">
      <c r="R3775" s="75"/>
      <c r="S3775" s="75"/>
    </row>
    <row r="3776" spans="18:19" x14ac:dyDescent="0.25">
      <c r="R3776" s="75"/>
      <c r="S3776" s="75"/>
    </row>
    <row r="3777" spans="18:19" x14ac:dyDescent="0.25">
      <c r="R3777" s="75"/>
      <c r="S3777" s="75"/>
    </row>
    <row r="3778" spans="18:19" x14ac:dyDescent="0.25">
      <c r="R3778" s="75"/>
      <c r="S3778" s="75"/>
    </row>
    <row r="3779" spans="18:19" x14ac:dyDescent="0.25">
      <c r="R3779" s="75"/>
      <c r="S3779" s="75"/>
    </row>
    <row r="3780" spans="18:19" x14ac:dyDescent="0.25">
      <c r="R3780" s="75"/>
      <c r="S3780" s="75"/>
    </row>
    <row r="3781" spans="18:19" x14ac:dyDescent="0.25">
      <c r="R3781" s="75"/>
      <c r="S3781" s="75"/>
    </row>
    <row r="3782" spans="18:19" x14ac:dyDescent="0.25">
      <c r="R3782" s="75"/>
      <c r="S3782" s="75"/>
    </row>
    <row r="3783" spans="18:19" x14ac:dyDescent="0.25">
      <c r="R3783" s="75"/>
      <c r="S3783" s="75"/>
    </row>
    <row r="3784" spans="18:19" x14ac:dyDescent="0.25">
      <c r="R3784" s="75"/>
      <c r="S3784" s="75"/>
    </row>
    <row r="3785" spans="18:19" x14ac:dyDescent="0.25">
      <c r="R3785" s="75"/>
      <c r="S3785" s="75"/>
    </row>
    <row r="3786" spans="18:19" x14ac:dyDescent="0.25">
      <c r="R3786" s="75"/>
      <c r="S3786" s="75"/>
    </row>
    <row r="3787" spans="18:19" x14ac:dyDescent="0.25">
      <c r="R3787" s="75"/>
      <c r="S3787" s="75"/>
    </row>
    <row r="3788" spans="18:19" x14ac:dyDescent="0.25">
      <c r="R3788" s="75"/>
      <c r="S3788" s="75"/>
    </row>
    <row r="3789" spans="18:19" x14ac:dyDescent="0.25">
      <c r="R3789" s="75"/>
      <c r="S3789" s="75"/>
    </row>
    <row r="3790" spans="18:19" x14ac:dyDescent="0.25">
      <c r="R3790" s="75"/>
      <c r="S3790" s="75"/>
    </row>
    <row r="3791" spans="18:19" x14ac:dyDescent="0.25">
      <c r="R3791" s="75"/>
      <c r="S3791" s="75"/>
    </row>
    <row r="3792" spans="18:19" x14ac:dyDescent="0.25">
      <c r="R3792" s="75"/>
      <c r="S3792" s="75"/>
    </row>
    <row r="3793" spans="18:19" x14ac:dyDescent="0.25">
      <c r="R3793" s="75"/>
      <c r="S3793" s="75"/>
    </row>
    <row r="3794" spans="18:19" x14ac:dyDescent="0.25">
      <c r="R3794" s="75"/>
      <c r="S3794" s="75"/>
    </row>
    <row r="3795" spans="18:19" x14ac:dyDescent="0.25">
      <c r="R3795" s="75"/>
      <c r="S3795" s="75"/>
    </row>
    <row r="3796" spans="18:19" x14ac:dyDescent="0.25">
      <c r="R3796" s="75"/>
      <c r="S3796" s="75"/>
    </row>
    <row r="3797" spans="18:19" x14ac:dyDescent="0.25">
      <c r="R3797" s="75"/>
      <c r="S3797" s="75"/>
    </row>
    <row r="3798" spans="18:19" x14ac:dyDescent="0.25">
      <c r="R3798" s="75"/>
      <c r="S3798" s="75"/>
    </row>
    <row r="3799" spans="18:19" x14ac:dyDescent="0.25">
      <c r="R3799" s="75"/>
      <c r="S3799" s="75"/>
    </row>
    <row r="3800" spans="18:19" x14ac:dyDescent="0.25">
      <c r="R3800" s="75"/>
      <c r="S3800" s="75"/>
    </row>
    <row r="3801" spans="18:19" x14ac:dyDescent="0.25">
      <c r="R3801" s="75"/>
      <c r="S3801" s="75"/>
    </row>
    <row r="3802" spans="18:19" x14ac:dyDescent="0.25">
      <c r="R3802" s="75"/>
      <c r="S3802" s="75"/>
    </row>
    <row r="3803" spans="18:19" x14ac:dyDescent="0.25">
      <c r="R3803" s="75"/>
      <c r="S3803" s="75"/>
    </row>
    <row r="3804" spans="18:19" x14ac:dyDescent="0.25">
      <c r="R3804" s="75"/>
      <c r="S3804" s="75"/>
    </row>
    <row r="3805" spans="18:19" x14ac:dyDescent="0.25">
      <c r="R3805" s="75"/>
      <c r="S3805" s="75"/>
    </row>
    <row r="3806" spans="18:19" x14ac:dyDescent="0.25">
      <c r="R3806" s="75"/>
      <c r="S3806" s="75"/>
    </row>
    <row r="3807" spans="18:19" x14ac:dyDescent="0.25">
      <c r="R3807" s="75"/>
      <c r="S3807" s="75"/>
    </row>
    <row r="3808" spans="18:19" x14ac:dyDescent="0.25">
      <c r="R3808" s="75"/>
      <c r="S3808" s="75"/>
    </row>
    <row r="3809" spans="18:19" x14ac:dyDescent="0.25">
      <c r="R3809" s="75"/>
      <c r="S3809" s="75"/>
    </row>
    <row r="3810" spans="18:19" x14ac:dyDescent="0.25">
      <c r="R3810" s="75"/>
      <c r="S3810" s="75"/>
    </row>
    <row r="3811" spans="18:19" x14ac:dyDescent="0.25">
      <c r="R3811" s="75"/>
      <c r="S3811" s="75"/>
    </row>
    <row r="3812" spans="18:19" x14ac:dyDescent="0.25">
      <c r="R3812" s="75"/>
      <c r="S3812" s="75"/>
    </row>
    <row r="3813" spans="18:19" x14ac:dyDescent="0.25">
      <c r="R3813" s="75"/>
      <c r="S3813" s="75"/>
    </row>
    <row r="3814" spans="18:19" x14ac:dyDescent="0.25">
      <c r="R3814" s="75"/>
      <c r="S3814" s="75"/>
    </row>
    <row r="3815" spans="18:19" x14ac:dyDescent="0.25">
      <c r="R3815" s="75"/>
      <c r="S3815" s="75"/>
    </row>
    <row r="3816" spans="18:19" x14ac:dyDescent="0.25">
      <c r="R3816" s="75"/>
      <c r="S3816" s="75"/>
    </row>
    <row r="3817" spans="18:19" x14ac:dyDescent="0.25">
      <c r="R3817" s="75"/>
      <c r="S3817" s="75"/>
    </row>
    <row r="3818" spans="18:19" x14ac:dyDescent="0.25">
      <c r="R3818" s="75"/>
      <c r="S3818" s="75"/>
    </row>
    <row r="3819" spans="18:19" x14ac:dyDescent="0.25">
      <c r="R3819" s="75"/>
      <c r="S3819" s="75"/>
    </row>
    <row r="3820" spans="18:19" x14ac:dyDescent="0.25">
      <c r="R3820" s="75"/>
      <c r="S3820" s="75"/>
    </row>
    <row r="3821" spans="18:19" x14ac:dyDescent="0.25">
      <c r="R3821" s="75"/>
      <c r="S3821" s="75"/>
    </row>
    <row r="3822" spans="18:19" x14ac:dyDescent="0.25">
      <c r="R3822" s="75"/>
      <c r="S3822" s="75"/>
    </row>
    <row r="3823" spans="18:19" x14ac:dyDescent="0.25">
      <c r="R3823" s="75"/>
      <c r="S3823" s="75"/>
    </row>
    <row r="3824" spans="18:19" x14ac:dyDescent="0.25">
      <c r="R3824" s="75"/>
      <c r="S3824" s="75"/>
    </row>
    <row r="3825" spans="18:19" x14ac:dyDescent="0.25">
      <c r="R3825" s="75"/>
      <c r="S3825" s="75"/>
    </row>
    <row r="3826" spans="18:19" x14ac:dyDescent="0.25">
      <c r="R3826" s="75"/>
      <c r="S3826" s="75"/>
    </row>
    <row r="3827" spans="18:19" x14ac:dyDescent="0.25">
      <c r="R3827" s="75"/>
      <c r="S3827" s="75"/>
    </row>
    <row r="3828" spans="18:19" x14ac:dyDescent="0.25">
      <c r="R3828" s="75"/>
      <c r="S3828" s="75"/>
    </row>
    <row r="3829" spans="18:19" x14ac:dyDescent="0.25">
      <c r="R3829" s="75"/>
      <c r="S3829" s="75"/>
    </row>
    <row r="3830" spans="18:19" x14ac:dyDescent="0.25">
      <c r="R3830" s="75"/>
      <c r="S3830" s="75"/>
    </row>
    <row r="3831" spans="18:19" x14ac:dyDescent="0.25">
      <c r="R3831" s="75"/>
      <c r="S3831" s="75"/>
    </row>
    <row r="3832" spans="18:19" x14ac:dyDescent="0.25">
      <c r="R3832" s="75"/>
      <c r="S3832" s="75"/>
    </row>
    <row r="3833" spans="18:19" x14ac:dyDescent="0.25">
      <c r="R3833" s="75"/>
      <c r="S3833" s="75"/>
    </row>
    <row r="3834" spans="18:19" x14ac:dyDescent="0.25">
      <c r="R3834" s="75"/>
      <c r="S3834" s="75"/>
    </row>
    <row r="3835" spans="18:19" x14ac:dyDescent="0.25">
      <c r="R3835" s="75"/>
      <c r="S3835" s="75"/>
    </row>
    <row r="3836" spans="18:19" x14ac:dyDescent="0.25">
      <c r="R3836" s="75"/>
      <c r="S3836" s="75"/>
    </row>
    <row r="3837" spans="18:19" x14ac:dyDescent="0.25">
      <c r="R3837" s="75"/>
      <c r="S3837" s="75"/>
    </row>
    <row r="3838" spans="18:19" x14ac:dyDescent="0.25">
      <c r="R3838" s="75"/>
      <c r="S3838" s="75"/>
    </row>
    <row r="3839" spans="18:19" x14ac:dyDescent="0.25">
      <c r="R3839" s="75"/>
      <c r="S3839" s="75"/>
    </row>
    <row r="3840" spans="18:19" x14ac:dyDescent="0.25">
      <c r="R3840" s="75"/>
      <c r="S3840" s="75"/>
    </row>
    <row r="3841" spans="18:19" x14ac:dyDescent="0.25">
      <c r="R3841" s="75"/>
      <c r="S3841" s="75"/>
    </row>
    <row r="3842" spans="18:19" x14ac:dyDescent="0.25">
      <c r="R3842" s="75"/>
      <c r="S3842" s="75"/>
    </row>
    <row r="3843" spans="18:19" x14ac:dyDescent="0.25">
      <c r="R3843" s="75"/>
      <c r="S3843" s="75"/>
    </row>
    <row r="3844" spans="18:19" x14ac:dyDescent="0.25">
      <c r="R3844" s="75"/>
      <c r="S3844" s="75"/>
    </row>
    <row r="3845" spans="18:19" x14ac:dyDescent="0.25">
      <c r="R3845" s="75"/>
      <c r="S3845" s="75"/>
    </row>
    <row r="3846" spans="18:19" x14ac:dyDescent="0.25">
      <c r="R3846" s="75"/>
      <c r="S3846" s="75"/>
    </row>
    <row r="3847" spans="18:19" x14ac:dyDescent="0.25">
      <c r="R3847" s="75"/>
      <c r="S3847" s="75"/>
    </row>
    <row r="3848" spans="18:19" x14ac:dyDescent="0.25">
      <c r="R3848" s="75"/>
      <c r="S3848" s="75"/>
    </row>
    <row r="3849" spans="18:19" x14ac:dyDescent="0.25">
      <c r="R3849" s="75"/>
      <c r="S3849" s="75"/>
    </row>
    <row r="3850" spans="18:19" x14ac:dyDescent="0.25">
      <c r="R3850" s="75"/>
      <c r="S3850" s="75"/>
    </row>
    <row r="3851" spans="18:19" x14ac:dyDescent="0.25">
      <c r="R3851" s="75"/>
      <c r="S3851" s="75"/>
    </row>
    <row r="3852" spans="18:19" x14ac:dyDescent="0.25">
      <c r="R3852" s="75"/>
      <c r="S3852" s="75"/>
    </row>
    <row r="3853" spans="18:19" x14ac:dyDescent="0.25">
      <c r="R3853" s="75"/>
      <c r="S3853" s="75"/>
    </row>
    <row r="3854" spans="18:19" x14ac:dyDescent="0.25">
      <c r="R3854" s="75"/>
      <c r="S3854" s="75"/>
    </row>
    <row r="3855" spans="18:19" x14ac:dyDescent="0.25">
      <c r="R3855" s="75"/>
      <c r="S3855" s="75"/>
    </row>
    <row r="3856" spans="18:19" x14ac:dyDescent="0.25">
      <c r="R3856" s="75"/>
      <c r="S3856" s="75"/>
    </row>
    <row r="3857" spans="18:19" x14ac:dyDescent="0.25">
      <c r="R3857" s="75"/>
      <c r="S3857" s="75"/>
    </row>
    <row r="3858" spans="18:19" x14ac:dyDescent="0.25">
      <c r="R3858" s="75"/>
      <c r="S3858" s="75"/>
    </row>
    <row r="3859" spans="18:19" x14ac:dyDescent="0.25">
      <c r="R3859" s="75"/>
      <c r="S3859" s="75"/>
    </row>
    <row r="3860" spans="18:19" x14ac:dyDescent="0.25">
      <c r="R3860" s="75"/>
      <c r="S3860" s="75"/>
    </row>
    <row r="3861" spans="18:19" x14ac:dyDescent="0.25">
      <c r="R3861" s="75"/>
      <c r="S3861" s="75"/>
    </row>
    <row r="3862" spans="18:19" x14ac:dyDescent="0.25">
      <c r="R3862" s="75"/>
      <c r="S3862" s="75"/>
    </row>
    <row r="3863" spans="18:19" x14ac:dyDescent="0.25">
      <c r="R3863" s="75"/>
      <c r="S3863" s="75"/>
    </row>
    <row r="3864" spans="18:19" x14ac:dyDescent="0.25">
      <c r="R3864" s="75"/>
      <c r="S3864" s="75"/>
    </row>
    <row r="3865" spans="18:19" x14ac:dyDescent="0.25">
      <c r="R3865" s="75"/>
      <c r="S3865" s="75"/>
    </row>
    <row r="3866" spans="18:19" x14ac:dyDescent="0.25">
      <c r="R3866" s="75"/>
      <c r="S3866" s="75"/>
    </row>
    <row r="3867" spans="18:19" x14ac:dyDescent="0.25">
      <c r="R3867" s="75"/>
      <c r="S3867" s="75"/>
    </row>
    <row r="3868" spans="18:19" x14ac:dyDescent="0.25">
      <c r="R3868" s="75"/>
      <c r="S3868" s="75"/>
    </row>
    <row r="3869" spans="18:19" x14ac:dyDescent="0.25">
      <c r="R3869" s="75"/>
      <c r="S3869" s="75"/>
    </row>
    <row r="3870" spans="18:19" x14ac:dyDescent="0.25">
      <c r="R3870" s="75"/>
      <c r="S3870" s="75"/>
    </row>
    <row r="3871" spans="18:19" x14ac:dyDescent="0.25">
      <c r="R3871" s="75"/>
      <c r="S3871" s="75"/>
    </row>
    <row r="3872" spans="18:19" x14ac:dyDescent="0.25">
      <c r="R3872" s="75"/>
      <c r="S3872" s="75"/>
    </row>
    <row r="3873" spans="18:19" x14ac:dyDescent="0.25">
      <c r="R3873" s="75"/>
      <c r="S3873" s="75"/>
    </row>
    <row r="3874" spans="18:19" x14ac:dyDescent="0.25">
      <c r="R3874" s="75"/>
      <c r="S3874" s="75"/>
    </row>
    <row r="3875" spans="18:19" x14ac:dyDescent="0.25">
      <c r="R3875" s="75"/>
      <c r="S3875" s="75"/>
    </row>
    <row r="3876" spans="18:19" x14ac:dyDescent="0.25">
      <c r="R3876" s="75"/>
      <c r="S3876" s="75"/>
    </row>
    <row r="3877" spans="18:19" x14ac:dyDescent="0.25">
      <c r="R3877" s="75"/>
      <c r="S3877" s="75"/>
    </row>
    <row r="3878" spans="18:19" x14ac:dyDescent="0.25">
      <c r="R3878" s="75"/>
      <c r="S3878" s="75"/>
    </row>
    <row r="3879" spans="18:19" x14ac:dyDescent="0.25">
      <c r="R3879" s="75"/>
      <c r="S3879" s="75"/>
    </row>
    <row r="3880" spans="18:19" x14ac:dyDescent="0.25">
      <c r="R3880" s="75"/>
      <c r="S3880" s="75"/>
    </row>
    <row r="3881" spans="18:19" x14ac:dyDescent="0.25">
      <c r="R3881" s="75"/>
      <c r="S3881" s="75"/>
    </row>
    <row r="3882" spans="18:19" x14ac:dyDescent="0.25">
      <c r="R3882" s="75"/>
      <c r="S3882" s="75"/>
    </row>
    <row r="3883" spans="18:19" x14ac:dyDescent="0.25">
      <c r="R3883" s="75"/>
      <c r="S3883" s="75"/>
    </row>
    <row r="3884" spans="18:19" x14ac:dyDescent="0.25">
      <c r="R3884" s="75"/>
      <c r="S3884" s="75"/>
    </row>
    <row r="3885" spans="18:19" x14ac:dyDescent="0.25">
      <c r="R3885" s="75"/>
      <c r="S3885" s="75"/>
    </row>
    <row r="3886" spans="18:19" x14ac:dyDescent="0.25">
      <c r="R3886" s="75"/>
      <c r="S3886" s="75"/>
    </row>
    <row r="3887" spans="18:19" x14ac:dyDescent="0.25">
      <c r="R3887" s="75"/>
      <c r="S3887" s="75"/>
    </row>
    <row r="3888" spans="18:19" x14ac:dyDescent="0.25">
      <c r="R3888" s="75"/>
      <c r="S3888" s="75"/>
    </row>
    <row r="3889" spans="18:19" x14ac:dyDescent="0.25">
      <c r="R3889" s="75"/>
      <c r="S3889" s="75"/>
    </row>
    <row r="3890" spans="18:19" x14ac:dyDescent="0.25">
      <c r="R3890" s="75"/>
      <c r="S3890" s="75"/>
    </row>
    <row r="3891" spans="18:19" x14ac:dyDescent="0.25">
      <c r="R3891" s="75"/>
      <c r="S3891" s="75"/>
    </row>
    <row r="3892" spans="18:19" x14ac:dyDescent="0.25">
      <c r="R3892" s="75"/>
      <c r="S3892" s="75"/>
    </row>
    <row r="3893" spans="18:19" x14ac:dyDescent="0.25">
      <c r="R3893" s="75"/>
      <c r="S3893" s="75"/>
    </row>
    <row r="3894" spans="18:19" x14ac:dyDescent="0.25">
      <c r="R3894" s="75"/>
      <c r="S3894" s="75"/>
    </row>
    <row r="3895" spans="18:19" x14ac:dyDescent="0.25">
      <c r="R3895" s="75"/>
      <c r="S3895" s="75"/>
    </row>
    <row r="3896" spans="18:19" x14ac:dyDescent="0.25">
      <c r="R3896" s="75"/>
      <c r="S3896" s="75"/>
    </row>
    <row r="3897" spans="18:19" x14ac:dyDescent="0.25">
      <c r="R3897" s="75"/>
      <c r="S3897" s="75"/>
    </row>
    <row r="3898" spans="18:19" x14ac:dyDescent="0.25">
      <c r="R3898" s="75"/>
      <c r="S3898" s="75"/>
    </row>
    <row r="3899" spans="18:19" x14ac:dyDescent="0.25">
      <c r="R3899" s="75"/>
      <c r="S3899" s="75"/>
    </row>
    <row r="3900" spans="18:19" x14ac:dyDescent="0.25">
      <c r="R3900" s="75"/>
      <c r="S3900" s="75"/>
    </row>
    <row r="3901" spans="18:19" x14ac:dyDescent="0.25">
      <c r="R3901" s="75"/>
      <c r="S3901" s="75"/>
    </row>
    <row r="3902" spans="18:19" x14ac:dyDescent="0.25">
      <c r="R3902" s="75"/>
      <c r="S3902" s="75"/>
    </row>
    <row r="3903" spans="18:19" x14ac:dyDescent="0.25">
      <c r="R3903" s="75"/>
      <c r="S3903" s="75"/>
    </row>
    <row r="3904" spans="18:19" x14ac:dyDescent="0.25">
      <c r="R3904" s="75"/>
      <c r="S3904" s="75"/>
    </row>
    <row r="3905" spans="18:19" x14ac:dyDescent="0.25">
      <c r="R3905" s="75"/>
      <c r="S3905" s="75"/>
    </row>
    <row r="3906" spans="18:19" x14ac:dyDescent="0.25">
      <c r="R3906" s="75"/>
      <c r="S3906" s="75"/>
    </row>
    <row r="3907" spans="18:19" x14ac:dyDescent="0.25">
      <c r="R3907" s="75"/>
      <c r="S3907" s="75"/>
    </row>
    <row r="3908" spans="18:19" x14ac:dyDescent="0.25">
      <c r="R3908" s="75"/>
      <c r="S3908" s="75"/>
    </row>
    <row r="3909" spans="18:19" x14ac:dyDescent="0.25">
      <c r="R3909" s="75"/>
      <c r="S3909" s="75"/>
    </row>
    <row r="3910" spans="18:19" x14ac:dyDescent="0.25">
      <c r="R3910" s="75"/>
      <c r="S3910" s="75"/>
    </row>
    <row r="3911" spans="18:19" x14ac:dyDescent="0.25">
      <c r="R3911" s="75"/>
      <c r="S3911" s="75"/>
    </row>
    <row r="3912" spans="18:19" x14ac:dyDescent="0.25">
      <c r="R3912" s="75"/>
      <c r="S3912" s="75"/>
    </row>
    <row r="3913" spans="18:19" x14ac:dyDescent="0.25">
      <c r="R3913" s="75"/>
      <c r="S3913" s="75"/>
    </row>
    <row r="3914" spans="18:19" x14ac:dyDescent="0.25">
      <c r="R3914" s="75"/>
      <c r="S3914" s="75"/>
    </row>
    <row r="3915" spans="18:19" x14ac:dyDescent="0.25">
      <c r="R3915" s="75"/>
      <c r="S3915" s="75"/>
    </row>
    <row r="3916" spans="18:19" x14ac:dyDescent="0.25">
      <c r="R3916" s="75"/>
      <c r="S3916" s="75"/>
    </row>
    <row r="3917" spans="18:19" x14ac:dyDescent="0.25">
      <c r="R3917" s="75"/>
      <c r="S3917" s="75"/>
    </row>
    <row r="3918" spans="18:19" x14ac:dyDescent="0.25">
      <c r="R3918" s="75"/>
      <c r="S3918" s="75"/>
    </row>
    <row r="3919" spans="18:19" x14ac:dyDescent="0.25">
      <c r="R3919" s="75"/>
      <c r="S3919" s="75"/>
    </row>
    <row r="3920" spans="18:19" x14ac:dyDescent="0.25">
      <c r="R3920" s="75"/>
      <c r="S3920" s="75"/>
    </row>
    <row r="3921" spans="18:19" x14ac:dyDescent="0.25">
      <c r="R3921" s="75"/>
      <c r="S3921" s="75"/>
    </row>
    <row r="3922" spans="18:19" x14ac:dyDescent="0.25">
      <c r="R3922" s="75"/>
      <c r="S3922" s="75"/>
    </row>
    <row r="3923" spans="18:19" x14ac:dyDescent="0.25">
      <c r="R3923" s="75"/>
      <c r="S3923" s="75"/>
    </row>
    <row r="3924" spans="18:19" x14ac:dyDescent="0.25">
      <c r="R3924" s="75"/>
      <c r="S3924" s="75"/>
    </row>
    <row r="3925" spans="18:19" x14ac:dyDescent="0.25">
      <c r="R3925" s="75"/>
      <c r="S3925" s="75"/>
    </row>
    <row r="3926" spans="18:19" x14ac:dyDescent="0.25">
      <c r="R3926" s="75"/>
      <c r="S3926" s="75"/>
    </row>
    <row r="3927" spans="18:19" x14ac:dyDescent="0.25">
      <c r="R3927" s="75"/>
      <c r="S3927" s="75"/>
    </row>
    <row r="3928" spans="18:19" x14ac:dyDescent="0.25">
      <c r="R3928" s="75"/>
      <c r="S3928" s="75"/>
    </row>
    <row r="3929" spans="18:19" x14ac:dyDescent="0.25">
      <c r="R3929" s="75"/>
      <c r="S3929" s="75"/>
    </row>
    <row r="3930" spans="18:19" x14ac:dyDescent="0.25">
      <c r="R3930" s="75"/>
      <c r="S3930" s="75"/>
    </row>
    <row r="3931" spans="18:19" x14ac:dyDescent="0.25">
      <c r="R3931" s="75"/>
      <c r="S3931" s="75"/>
    </row>
    <row r="3932" spans="18:19" x14ac:dyDescent="0.25">
      <c r="R3932" s="75"/>
      <c r="S3932" s="75"/>
    </row>
    <row r="3933" spans="18:19" x14ac:dyDescent="0.25">
      <c r="R3933" s="75"/>
      <c r="S3933" s="75"/>
    </row>
    <row r="3934" spans="18:19" x14ac:dyDescent="0.25">
      <c r="R3934" s="75"/>
      <c r="S3934" s="75"/>
    </row>
    <row r="3935" spans="18:19" x14ac:dyDescent="0.25">
      <c r="R3935" s="75"/>
      <c r="S3935" s="75"/>
    </row>
    <row r="3936" spans="18:19" x14ac:dyDescent="0.25">
      <c r="R3936" s="75"/>
      <c r="S3936" s="75"/>
    </row>
    <row r="3937" spans="18:19" x14ac:dyDescent="0.25">
      <c r="R3937" s="75"/>
      <c r="S3937" s="75"/>
    </row>
    <row r="3938" spans="18:19" x14ac:dyDescent="0.25">
      <c r="R3938" s="75"/>
      <c r="S3938" s="75"/>
    </row>
    <row r="3939" spans="18:19" x14ac:dyDescent="0.25">
      <c r="R3939" s="75"/>
      <c r="S3939" s="75"/>
    </row>
    <row r="3940" spans="18:19" x14ac:dyDescent="0.25">
      <c r="R3940" s="75"/>
      <c r="S3940" s="75"/>
    </row>
    <row r="3941" spans="18:19" x14ac:dyDescent="0.25">
      <c r="R3941" s="75"/>
      <c r="S3941" s="75"/>
    </row>
    <row r="3942" spans="18:19" x14ac:dyDescent="0.25">
      <c r="R3942" s="75"/>
      <c r="S3942" s="75"/>
    </row>
    <row r="3943" spans="18:19" x14ac:dyDescent="0.25">
      <c r="R3943" s="75"/>
      <c r="S3943" s="75"/>
    </row>
    <row r="3944" spans="18:19" x14ac:dyDescent="0.25">
      <c r="R3944" s="75"/>
      <c r="S3944" s="75"/>
    </row>
    <row r="3945" spans="18:19" x14ac:dyDescent="0.25">
      <c r="R3945" s="75"/>
      <c r="S3945" s="75"/>
    </row>
    <row r="3946" spans="18:19" x14ac:dyDescent="0.25">
      <c r="R3946" s="75"/>
      <c r="S3946" s="75"/>
    </row>
    <row r="3947" spans="18:19" x14ac:dyDescent="0.25">
      <c r="R3947" s="75"/>
      <c r="S3947" s="75"/>
    </row>
    <row r="3948" spans="18:19" x14ac:dyDescent="0.25">
      <c r="R3948" s="75"/>
      <c r="S3948" s="75"/>
    </row>
    <row r="3949" spans="18:19" x14ac:dyDescent="0.25">
      <c r="R3949" s="75"/>
      <c r="S3949" s="75"/>
    </row>
    <row r="3950" spans="18:19" x14ac:dyDescent="0.25">
      <c r="R3950" s="75"/>
      <c r="S3950" s="75"/>
    </row>
    <row r="3951" spans="18:19" x14ac:dyDescent="0.25">
      <c r="R3951" s="75"/>
      <c r="S3951" s="75"/>
    </row>
    <row r="3952" spans="18:19" x14ac:dyDescent="0.25">
      <c r="R3952" s="75"/>
      <c r="S3952" s="75"/>
    </row>
    <row r="3953" spans="18:19" x14ac:dyDescent="0.25">
      <c r="R3953" s="75"/>
      <c r="S3953" s="75"/>
    </row>
    <row r="3954" spans="18:19" x14ac:dyDescent="0.25">
      <c r="R3954" s="75"/>
      <c r="S3954" s="75"/>
    </row>
    <row r="3955" spans="18:19" x14ac:dyDescent="0.25">
      <c r="R3955" s="75"/>
      <c r="S3955" s="75"/>
    </row>
    <row r="3956" spans="18:19" x14ac:dyDescent="0.25">
      <c r="R3956" s="75"/>
      <c r="S3956" s="75"/>
    </row>
    <row r="3957" spans="18:19" x14ac:dyDescent="0.25">
      <c r="R3957" s="75"/>
      <c r="S3957" s="75"/>
    </row>
    <row r="3958" spans="18:19" x14ac:dyDescent="0.25">
      <c r="R3958" s="75"/>
      <c r="S3958" s="75"/>
    </row>
    <row r="3959" spans="18:19" x14ac:dyDescent="0.25">
      <c r="R3959" s="75"/>
      <c r="S3959" s="75"/>
    </row>
    <row r="3960" spans="18:19" x14ac:dyDescent="0.25">
      <c r="R3960" s="75"/>
      <c r="S3960" s="75"/>
    </row>
    <row r="3961" spans="18:19" x14ac:dyDescent="0.25">
      <c r="R3961" s="75"/>
      <c r="S3961" s="75"/>
    </row>
    <row r="3962" spans="18:19" x14ac:dyDescent="0.25">
      <c r="R3962" s="75"/>
      <c r="S3962" s="75"/>
    </row>
    <row r="3963" spans="18:19" x14ac:dyDescent="0.25">
      <c r="R3963" s="75"/>
      <c r="S3963" s="75"/>
    </row>
    <row r="3964" spans="18:19" x14ac:dyDescent="0.25">
      <c r="R3964" s="75"/>
      <c r="S3964" s="75"/>
    </row>
    <row r="3965" spans="18:19" x14ac:dyDescent="0.25">
      <c r="R3965" s="75"/>
      <c r="S3965" s="75"/>
    </row>
    <row r="3966" spans="18:19" x14ac:dyDescent="0.25">
      <c r="R3966" s="75"/>
      <c r="S3966" s="75"/>
    </row>
    <row r="3967" spans="18:19" x14ac:dyDescent="0.25">
      <c r="R3967" s="75"/>
      <c r="S3967" s="75"/>
    </row>
    <row r="3968" spans="18:19" x14ac:dyDescent="0.25">
      <c r="R3968" s="75"/>
      <c r="S3968" s="75"/>
    </row>
    <row r="3969" spans="18:19" x14ac:dyDescent="0.25">
      <c r="R3969" s="75"/>
      <c r="S3969" s="75"/>
    </row>
    <row r="3970" spans="18:19" x14ac:dyDescent="0.25">
      <c r="R3970" s="75"/>
      <c r="S3970" s="75"/>
    </row>
    <row r="3971" spans="18:19" x14ac:dyDescent="0.25">
      <c r="R3971" s="75"/>
      <c r="S3971" s="75"/>
    </row>
    <row r="3972" spans="18:19" x14ac:dyDescent="0.25">
      <c r="R3972" s="75"/>
      <c r="S3972" s="75"/>
    </row>
    <row r="3973" spans="18:19" x14ac:dyDescent="0.25">
      <c r="R3973" s="75"/>
      <c r="S3973" s="75"/>
    </row>
    <row r="3974" spans="18:19" x14ac:dyDescent="0.25">
      <c r="R3974" s="75"/>
      <c r="S3974" s="75"/>
    </row>
    <row r="3975" spans="18:19" x14ac:dyDescent="0.25">
      <c r="R3975" s="75"/>
      <c r="S3975" s="75"/>
    </row>
    <row r="3976" spans="18:19" x14ac:dyDescent="0.25">
      <c r="R3976" s="75"/>
      <c r="S3976" s="75"/>
    </row>
    <row r="3977" spans="18:19" x14ac:dyDescent="0.25">
      <c r="R3977" s="75"/>
      <c r="S3977" s="75"/>
    </row>
    <row r="3978" spans="18:19" x14ac:dyDescent="0.25">
      <c r="R3978" s="75"/>
      <c r="S3978" s="75"/>
    </row>
    <row r="3979" spans="18:19" x14ac:dyDescent="0.25">
      <c r="R3979" s="75"/>
      <c r="S3979" s="75"/>
    </row>
    <row r="3980" spans="18:19" x14ac:dyDescent="0.25">
      <c r="R3980" s="75"/>
      <c r="S3980" s="75"/>
    </row>
    <row r="3981" spans="18:19" x14ac:dyDescent="0.25">
      <c r="R3981" s="75"/>
      <c r="S3981" s="75"/>
    </row>
    <row r="3982" spans="18:19" x14ac:dyDescent="0.25">
      <c r="R3982" s="75"/>
      <c r="S3982" s="75"/>
    </row>
    <row r="3983" spans="18:19" x14ac:dyDescent="0.25">
      <c r="R3983" s="75"/>
      <c r="S3983" s="75"/>
    </row>
    <row r="3984" spans="18:19" x14ac:dyDescent="0.25">
      <c r="R3984" s="75"/>
      <c r="S3984" s="75"/>
    </row>
    <row r="3985" spans="18:19" x14ac:dyDescent="0.25">
      <c r="R3985" s="75"/>
      <c r="S3985" s="75"/>
    </row>
    <row r="3986" spans="18:19" x14ac:dyDescent="0.25">
      <c r="R3986" s="75"/>
      <c r="S3986" s="75"/>
    </row>
    <row r="3987" spans="18:19" x14ac:dyDescent="0.25">
      <c r="R3987" s="75"/>
      <c r="S3987" s="75"/>
    </row>
    <row r="3988" spans="18:19" x14ac:dyDescent="0.25">
      <c r="R3988" s="75"/>
      <c r="S3988" s="75"/>
    </row>
    <row r="3989" spans="18:19" x14ac:dyDescent="0.25">
      <c r="R3989" s="75"/>
      <c r="S3989" s="75"/>
    </row>
    <row r="3990" spans="18:19" x14ac:dyDescent="0.25">
      <c r="R3990" s="75"/>
      <c r="S3990" s="75"/>
    </row>
    <row r="3991" spans="18:19" x14ac:dyDescent="0.25">
      <c r="R3991" s="75"/>
      <c r="S3991" s="75"/>
    </row>
    <row r="3992" spans="18:19" x14ac:dyDescent="0.25">
      <c r="R3992" s="75"/>
      <c r="S3992" s="75"/>
    </row>
    <row r="3993" spans="18:19" x14ac:dyDescent="0.25">
      <c r="R3993" s="75"/>
      <c r="S3993" s="75"/>
    </row>
    <row r="3994" spans="18:19" x14ac:dyDescent="0.25">
      <c r="R3994" s="75"/>
      <c r="S3994" s="75"/>
    </row>
    <row r="3995" spans="18:19" x14ac:dyDescent="0.25">
      <c r="R3995" s="75"/>
      <c r="S3995" s="75"/>
    </row>
    <row r="3996" spans="18:19" x14ac:dyDescent="0.25">
      <c r="R3996" s="75"/>
      <c r="S3996" s="75"/>
    </row>
    <row r="3997" spans="18:19" x14ac:dyDescent="0.25">
      <c r="R3997" s="75"/>
      <c r="S3997" s="75"/>
    </row>
    <row r="3998" spans="18:19" x14ac:dyDescent="0.25">
      <c r="R3998" s="75"/>
      <c r="S3998" s="75"/>
    </row>
    <row r="3999" spans="18:19" x14ac:dyDescent="0.25">
      <c r="R3999" s="75"/>
      <c r="S3999" s="75"/>
    </row>
    <row r="4000" spans="18:19" x14ac:dyDescent="0.25">
      <c r="R4000" s="75"/>
      <c r="S4000" s="75"/>
    </row>
    <row r="4001" spans="18:19" x14ac:dyDescent="0.25">
      <c r="R4001" s="75"/>
      <c r="S4001" s="75"/>
    </row>
    <row r="4002" spans="18:19" x14ac:dyDescent="0.25">
      <c r="R4002" s="75"/>
      <c r="S4002" s="75"/>
    </row>
    <row r="4003" spans="18:19" x14ac:dyDescent="0.25">
      <c r="R4003" s="75"/>
      <c r="S4003" s="75"/>
    </row>
    <row r="4004" spans="18:19" x14ac:dyDescent="0.25">
      <c r="R4004" s="75"/>
      <c r="S4004" s="75"/>
    </row>
    <row r="4005" spans="18:19" x14ac:dyDescent="0.25">
      <c r="R4005" s="75"/>
      <c r="S4005" s="75"/>
    </row>
    <row r="4006" spans="18:19" x14ac:dyDescent="0.25">
      <c r="R4006" s="75"/>
      <c r="S4006" s="75"/>
    </row>
    <row r="4007" spans="18:19" x14ac:dyDescent="0.25">
      <c r="R4007" s="75"/>
      <c r="S4007" s="75"/>
    </row>
    <row r="4008" spans="18:19" x14ac:dyDescent="0.25">
      <c r="R4008" s="75"/>
      <c r="S4008" s="75"/>
    </row>
    <row r="4009" spans="18:19" x14ac:dyDescent="0.25">
      <c r="R4009" s="75"/>
      <c r="S4009" s="75"/>
    </row>
    <row r="4010" spans="18:19" x14ac:dyDescent="0.25">
      <c r="R4010" s="75"/>
      <c r="S4010" s="75"/>
    </row>
    <row r="4011" spans="18:19" x14ac:dyDescent="0.25">
      <c r="R4011" s="75"/>
      <c r="S4011" s="75"/>
    </row>
    <row r="4012" spans="18:19" x14ac:dyDescent="0.25">
      <c r="R4012" s="75"/>
      <c r="S4012" s="75"/>
    </row>
    <row r="4013" spans="18:19" x14ac:dyDescent="0.25">
      <c r="R4013" s="75"/>
      <c r="S4013" s="75"/>
    </row>
    <row r="4014" spans="18:19" x14ac:dyDescent="0.25">
      <c r="R4014" s="75"/>
      <c r="S4014" s="75"/>
    </row>
    <row r="4015" spans="18:19" x14ac:dyDescent="0.25">
      <c r="R4015" s="75"/>
      <c r="S4015" s="75"/>
    </row>
    <row r="4016" spans="18:19" x14ac:dyDescent="0.25">
      <c r="R4016" s="75"/>
      <c r="S4016" s="75"/>
    </row>
    <row r="4017" spans="18:19" x14ac:dyDescent="0.25">
      <c r="R4017" s="75"/>
      <c r="S4017" s="75"/>
    </row>
    <row r="4018" spans="18:19" x14ac:dyDescent="0.25">
      <c r="R4018" s="75"/>
      <c r="S4018" s="75"/>
    </row>
    <row r="4019" spans="18:19" x14ac:dyDescent="0.25">
      <c r="R4019" s="75"/>
      <c r="S4019" s="75"/>
    </row>
    <row r="4020" spans="18:19" x14ac:dyDescent="0.25">
      <c r="R4020" s="75"/>
      <c r="S4020" s="75"/>
    </row>
    <row r="4021" spans="18:19" x14ac:dyDescent="0.25">
      <c r="R4021" s="75"/>
      <c r="S4021" s="75"/>
    </row>
    <row r="4022" spans="18:19" x14ac:dyDescent="0.25">
      <c r="R4022" s="75"/>
      <c r="S4022" s="75"/>
    </row>
    <row r="4023" spans="18:19" x14ac:dyDescent="0.25">
      <c r="R4023" s="75"/>
      <c r="S4023" s="75"/>
    </row>
    <row r="4024" spans="18:19" x14ac:dyDescent="0.25">
      <c r="R4024" s="75"/>
      <c r="S4024" s="75"/>
    </row>
    <row r="4025" spans="18:19" x14ac:dyDescent="0.25">
      <c r="R4025" s="75"/>
      <c r="S4025" s="75"/>
    </row>
    <row r="4026" spans="18:19" x14ac:dyDescent="0.25">
      <c r="R4026" s="75"/>
      <c r="S4026" s="75"/>
    </row>
    <row r="4027" spans="18:19" x14ac:dyDescent="0.25">
      <c r="R4027" s="75"/>
      <c r="S4027" s="75"/>
    </row>
    <row r="4028" spans="18:19" x14ac:dyDescent="0.25">
      <c r="R4028" s="75"/>
      <c r="S4028" s="75"/>
    </row>
    <row r="4029" spans="18:19" x14ac:dyDescent="0.25">
      <c r="R4029" s="75"/>
      <c r="S4029" s="75"/>
    </row>
    <row r="4030" spans="18:19" x14ac:dyDescent="0.25">
      <c r="R4030" s="75"/>
      <c r="S4030" s="75"/>
    </row>
    <row r="4031" spans="18:19" x14ac:dyDescent="0.25">
      <c r="R4031" s="75"/>
      <c r="S4031" s="75"/>
    </row>
    <row r="4032" spans="18:19" x14ac:dyDescent="0.25">
      <c r="R4032" s="75"/>
      <c r="S4032" s="75"/>
    </row>
    <row r="4033" spans="18:19" x14ac:dyDescent="0.25">
      <c r="R4033" s="75"/>
      <c r="S4033" s="75"/>
    </row>
    <row r="4034" spans="18:19" x14ac:dyDescent="0.25">
      <c r="R4034" s="75"/>
      <c r="S4034" s="75"/>
    </row>
    <row r="4035" spans="18:19" x14ac:dyDescent="0.25">
      <c r="R4035" s="75"/>
      <c r="S4035" s="75"/>
    </row>
    <row r="4036" spans="18:19" x14ac:dyDescent="0.25">
      <c r="R4036" s="75"/>
      <c r="S4036" s="75"/>
    </row>
    <row r="4037" spans="18:19" x14ac:dyDescent="0.25">
      <c r="R4037" s="75"/>
      <c r="S4037" s="75"/>
    </row>
    <row r="4038" spans="18:19" x14ac:dyDescent="0.25">
      <c r="R4038" s="75"/>
      <c r="S4038" s="75"/>
    </row>
    <row r="4039" spans="18:19" x14ac:dyDescent="0.25">
      <c r="R4039" s="75"/>
      <c r="S4039" s="75"/>
    </row>
    <row r="4040" spans="18:19" x14ac:dyDescent="0.25">
      <c r="R4040" s="75"/>
      <c r="S4040" s="75"/>
    </row>
    <row r="4041" spans="18:19" x14ac:dyDescent="0.25">
      <c r="R4041" s="75"/>
      <c r="S4041" s="75"/>
    </row>
    <row r="4042" spans="18:19" x14ac:dyDescent="0.25">
      <c r="R4042" s="75"/>
      <c r="S4042" s="75"/>
    </row>
    <row r="4043" spans="18:19" x14ac:dyDescent="0.25">
      <c r="R4043" s="75"/>
      <c r="S4043" s="75"/>
    </row>
    <row r="4044" spans="18:19" x14ac:dyDescent="0.25">
      <c r="R4044" s="75"/>
      <c r="S4044" s="75"/>
    </row>
    <row r="4045" spans="18:19" x14ac:dyDescent="0.25">
      <c r="R4045" s="75"/>
      <c r="S4045" s="75"/>
    </row>
    <row r="4046" spans="18:19" x14ac:dyDescent="0.25">
      <c r="R4046" s="75"/>
      <c r="S4046" s="75"/>
    </row>
    <row r="4047" spans="18:19" x14ac:dyDescent="0.25">
      <c r="R4047" s="75"/>
      <c r="S4047" s="75"/>
    </row>
    <row r="4048" spans="18:19" x14ac:dyDescent="0.25">
      <c r="R4048" s="75"/>
      <c r="S4048" s="75"/>
    </row>
    <row r="4049" spans="18:19" x14ac:dyDescent="0.25">
      <c r="R4049" s="75"/>
      <c r="S4049" s="75"/>
    </row>
    <row r="4050" spans="18:19" x14ac:dyDescent="0.25">
      <c r="R4050" s="75"/>
      <c r="S4050" s="75"/>
    </row>
    <row r="4051" spans="18:19" x14ac:dyDescent="0.25">
      <c r="R4051" s="75"/>
      <c r="S4051" s="75"/>
    </row>
    <row r="4052" spans="18:19" x14ac:dyDescent="0.25">
      <c r="R4052" s="75"/>
      <c r="S4052" s="75"/>
    </row>
    <row r="4053" spans="18:19" x14ac:dyDescent="0.25">
      <c r="R4053" s="75"/>
      <c r="S4053" s="75"/>
    </row>
    <row r="4054" spans="18:19" x14ac:dyDescent="0.25">
      <c r="R4054" s="75"/>
      <c r="S4054" s="75"/>
    </row>
    <row r="4055" spans="18:19" x14ac:dyDescent="0.25">
      <c r="R4055" s="75"/>
      <c r="S4055" s="75"/>
    </row>
    <row r="4056" spans="18:19" x14ac:dyDescent="0.25">
      <c r="R4056" s="75"/>
      <c r="S4056" s="75"/>
    </row>
    <row r="4057" spans="18:19" x14ac:dyDescent="0.25">
      <c r="R4057" s="75"/>
      <c r="S4057" s="75"/>
    </row>
    <row r="4058" spans="18:19" x14ac:dyDescent="0.25">
      <c r="R4058" s="75"/>
      <c r="S4058" s="75"/>
    </row>
    <row r="4059" spans="18:19" x14ac:dyDescent="0.25">
      <c r="R4059" s="75"/>
      <c r="S4059" s="75"/>
    </row>
    <row r="4060" spans="18:19" x14ac:dyDescent="0.25">
      <c r="R4060" s="75"/>
      <c r="S4060" s="75"/>
    </row>
    <row r="4061" spans="18:19" x14ac:dyDescent="0.25">
      <c r="R4061" s="75"/>
      <c r="S4061" s="75"/>
    </row>
    <row r="4062" spans="18:19" x14ac:dyDescent="0.25">
      <c r="R4062" s="75"/>
      <c r="S4062" s="75"/>
    </row>
    <row r="4063" spans="18:19" x14ac:dyDescent="0.25">
      <c r="R4063" s="75"/>
      <c r="S4063" s="75"/>
    </row>
    <row r="4064" spans="18:19" x14ac:dyDescent="0.25">
      <c r="R4064" s="75"/>
      <c r="S4064" s="75"/>
    </row>
    <row r="4065" spans="18:19" x14ac:dyDescent="0.25">
      <c r="R4065" s="75"/>
      <c r="S4065" s="75"/>
    </row>
    <row r="4066" spans="18:19" x14ac:dyDescent="0.25">
      <c r="R4066" s="75"/>
      <c r="S4066" s="75"/>
    </row>
    <row r="4067" spans="18:19" x14ac:dyDescent="0.25">
      <c r="R4067" s="75"/>
      <c r="S4067" s="75"/>
    </row>
    <row r="4068" spans="18:19" x14ac:dyDescent="0.25">
      <c r="R4068" s="75"/>
      <c r="S4068" s="75"/>
    </row>
    <row r="4069" spans="18:19" x14ac:dyDescent="0.25">
      <c r="R4069" s="75"/>
      <c r="S4069" s="75"/>
    </row>
    <row r="4070" spans="18:19" x14ac:dyDescent="0.25">
      <c r="R4070" s="75"/>
      <c r="S4070" s="75"/>
    </row>
    <row r="4071" spans="18:19" x14ac:dyDescent="0.25">
      <c r="R4071" s="75"/>
      <c r="S4071" s="75"/>
    </row>
    <row r="4072" spans="18:19" x14ac:dyDescent="0.25">
      <c r="R4072" s="75"/>
      <c r="S4072" s="75"/>
    </row>
    <row r="4073" spans="18:19" x14ac:dyDescent="0.25">
      <c r="R4073" s="75"/>
      <c r="S4073" s="75"/>
    </row>
    <row r="4074" spans="18:19" x14ac:dyDescent="0.25">
      <c r="R4074" s="75"/>
      <c r="S4074" s="75"/>
    </row>
    <row r="4075" spans="18:19" x14ac:dyDescent="0.25">
      <c r="R4075" s="75"/>
      <c r="S4075" s="75"/>
    </row>
    <row r="4076" spans="18:19" x14ac:dyDescent="0.25">
      <c r="R4076" s="75"/>
      <c r="S4076" s="75"/>
    </row>
    <row r="4077" spans="18:19" x14ac:dyDescent="0.25">
      <c r="R4077" s="75"/>
      <c r="S4077" s="75"/>
    </row>
    <row r="4078" spans="18:19" x14ac:dyDescent="0.25">
      <c r="R4078" s="75"/>
      <c r="S4078" s="75"/>
    </row>
    <row r="4079" spans="18:19" x14ac:dyDescent="0.25">
      <c r="R4079" s="75"/>
      <c r="S4079" s="75"/>
    </row>
    <row r="4080" spans="18:19" x14ac:dyDescent="0.25">
      <c r="R4080" s="75"/>
      <c r="S4080" s="75"/>
    </row>
    <row r="4081" spans="18:19" x14ac:dyDescent="0.25">
      <c r="R4081" s="75"/>
      <c r="S4081" s="75"/>
    </row>
    <row r="4082" spans="18:19" x14ac:dyDescent="0.25">
      <c r="R4082" s="75"/>
      <c r="S4082" s="75"/>
    </row>
    <row r="4083" spans="18:19" x14ac:dyDescent="0.25">
      <c r="R4083" s="75"/>
      <c r="S4083" s="75"/>
    </row>
    <row r="4084" spans="18:19" x14ac:dyDescent="0.25">
      <c r="R4084" s="75"/>
      <c r="S4084" s="75"/>
    </row>
    <row r="4085" spans="18:19" x14ac:dyDescent="0.25">
      <c r="R4085" s="75"/>
      <c r="S4085" s="75"/>
    </row>
    <row r="4086" spans="18:19" x14ac:dyDescent="0.25">
      <c r="R4086" s="75"/>
      <c r="S4086" s="75"/>
    </row>
    <row r="4087" spans="18:19" x14ac:dyDescent="0.25">
      <c r="R4087" s="75"/>
      <c r="S4087" s="75"/>
    </row>
    <row r="4088" spans="18:19" x14ac:dyDescent="0.25">
      <c r="R4088" s="75"/>
      <c r="S4088" s="75"/>
    </row>
    <row r="4089" spans="18:19" x14ac:dyDescent="0.25">
      <c r="R4089" s="75"/>
      <c r="S4089" s="75"/>
    </row>
    <row r="4090" spans="18:19" x14ac:dyDescent="0.25">
      <c r="R4090" s="75"/>
      <c r="S4090" s="75"/>
    </row>
    <row r="4091" spans="18:19" x14ac:dyDescent="0.25">
      <c r="R4091" s="75"/>
      <c r="S4091" s="75"/>
    </row>
    <row r="4092" spans="18:19" x14ac:dyDescent="0.25">
      <c r="R4092" s="75"/>
      <c r="S4092" s="75"/>
    </row>
    <row r="4093" spans="18:19" x14ac:dyDescent="0.25">
      <c r="R4093" s="75"/>
      <c r="S4093" s="75"/>
    </row>
    <row r="4094" spans="18:19" x14ac:dyDescent="0.25">
      <c r="R4094" s="75"/>
      <c r="S4094" s="75"/>
    </row>
    <row r="4095" spans="18:19" x14ac:dyDescent="0.25">
      <c r="R4095" s="75"/>
      <c r="S4095" s="75"/>
    </row>
    <row r="4096" spans="18:19" x14ac:dyDescent="0.25">
      <c r="R4096" s="75"/>
      <c r="S4096" s="75"/>
    </row>
    <row r="4097" spans="18:19" x14ac:dyDescent="0.25">
      <c r="R4097" s="75"/>
      <c r="S4097" s="75"/>
    </row>
    <row r="4098" spans="18:19" x14ac:dyDescent="0.25">
      <c r="R4098" s="75"/>
      <c r="S4098" s="75"/>
    </row>
    <row r="4099" spans="18:19" x14ac:dyDescent="0.25">
      <c r="R4099" s="75"/>
      <c r="S4099" s="75"/>
    </row>
    <row r="4100" spans="18:19" x14ac:dyDescent="0.25">
      <c r="R4100" s="75"/>
      <c r="S4100" s="75"/>
    </row>
    <row r="4101" spans="18:19" x14ac:dyDescent="0.25">
      <c r="R4101" s="75"/>
      <c r="S4101" s="75"/>
    </row>
    <row r="4102" spans="18:19" x14ac:dyDescent="0.25">
      <c r="R4102" s="75"/>
      <c r="S4102" s="75"/>
    </row>
    <row r="4103" spans="18:19" x14ac:dyDescent="0.25">
      <c r="R4103" s="75"/>
      <c r="S4103" s="75"/>
    </row>
    <row r="4104" spans="18:19" x14ac:dyDescent="0.25">
      <c r="R4104" s="75"/>
      <c r="S4104" s="75"/>
    </row>
    <row r="4105" spans="18:19" x14ac:dyDescent="0.25">
      <c r="R4105" s="75"/>
      <c r="S4105" s="75"/>
    </row>
    <row r="4106" spans="18:19" x14ac:dyDescent="0.25">
      <c r="R4106" s="75"/>
      <c r="S4106" s="75"/>
    </row>
    <row r="4107" spans="18:19" x14ac:dyDescent="0.25">
      <c r="R4107" s="75"/>
      <c r="S4107" s="75"/>
    </row>
    <row r="4108" spans="18:19" x14ac:dyDescent="0.25">
      <c r="R4108" s="75"/>
      <c r="S4108" s="75"/>
    </row>
    <row r="4109" spans="18:19" x14ac:dyDescent="0.25">
      <c r="R4109" s="75"/>
      <c r="S4109" s="75"/>
    </row>
    <row r="4110" spans="18:19" x14ac:dyDescent="0.25">
      <c r="R4110" s="75"/>
      <c r="S4110" s="75"/>
    </row>
    <row r="4111" spans="18:19" x14ac:dyDescent="0.25">
      <c r="R4111" s="75"/>
      <c r="S4111" s="75"/>
    </row>
    <row r="4112" spans="18:19" x14ac:dyDescent="0.25">
      <c r="R4112" s="75"/>
      <c r="S4112" s="75"/>
    </row>
    <row r="4113" spans="18:19" x14ac:dyDescent="0.25">
      <c r="R4113" s="75"/>
      <c r="S4113" s="75"/>
    </row>
    <row r="4114" spans="18:19" x14ac:dyDescent="0.25">
      <c r="R4114" s="75"/>
      <c r="S4114" s="75"/>
    </row>
    <row r="4115" spans="18:19" x14ac:dyDescent="0.25">
      <c r="R4115" s="75"/>
      <c r="S4115" s="75"/>
    </row>
    <row r="4116" spans="18:19" x14ac:dyDescent="0.25">
      <c r="R4116" s="75"/>
      <c r="S4116" s="75"/>
    </row>
    <row r="4117" spans="18:19" x14ac:dyDescent="0.25">
      <c r="R4117" s="75"/>
      <c r="S4117" s="75"/>
    </row>
    <row r="4118" spans="18:19" x14ac:dyDescent="0.25">
      <c r="R4118" s="75"/>
      <c r="S4118" s="75"/>
    </row>
    <row r="4119" spans="18:19" x14ac:dyDescent="0.25">
      <c r="R4119" s="75"/>
      <c r="S4119" s="75"/>
    </row>
    <row r="4120" spans="18:19" x14ac:dyDescent="0.25">
      <c r="R4120" s="75"/>
      <c r="S4120" s="75"/>
    </row>
    <row r="4121" spans="18:19" x14ac:dyDescent="0.25">
      <c r="R4121" s="75"/>
      <c r="S4121" s="75"/>
    </row>
    <row r="4122" spans="18:19" x14ac:dyDescent="0.25">
      <c r="R4122" s="75"/>
      <c r="S4122" s="75"/>
    </row>
    <row r="4123" spans="18:19" x14ac:dyDescent="0.25">
      <c r="R4123" s="75"/>
      <c r="S4123" s="75"/>
    </row>
    <row r="4124" spans="18:19" x14ac:dyDescent="0.25">
      <c r="R4124" s="75"/>
      <c r="S4124" s="75"/>
    </row>
    <row r="4125" spans="18:19" x14ac:dyDescent="0.25">
      <c r="R4125" s="75"/>
      <c r="S4125" s="75"/>
    </row>
    <row r="4126" spans="18:19" x14ac:dyDescent="0.25">
      <c r="R4126" s="75"/>
      <c r="S4126" s="75"/>
    </row>
    <row r="4127" spans="18:19" x14ac:dyDescent="0.25">
      <c r="R4127" s="75"/>
      <c r="S4127" s="75"/>
    </row>
    <row r="4128" spans="18:19" x14ac:dyDescent="0.25">
      <c r="R4128" s="75"/>
      <c r="S4128" s="75"/>
    </row>
    <row r="4129" spans="18:19" x14ac:dyDescent="0.25">
      <c r="R4129" s="75"/>
      <c r="S4129" s="75"/>
    </row>
    <row r="4130" spans="18:19" x14ac:dyDescent="0.25">
      <c r="R4130" s="75"/>
      <c r="S4130" s="75"/>
    </row>
    <row r="4131" spans="18:19" x14ac:dyDescent="0.25">
      <c r="R4131" s="75"/>
      <c r="S4131" s="75"/>
    </row>
    <row r="4132" spans="18:19" x14ac:dyDescent="0.25">
      <c r="R4132" s="75"/>
      <c r="S4132" s="75"/>
    </row>
    <row r="4133" spans="18:19" x14ac:dyDescent="0.25">
      <c r="R4133" s="75"/>
      <c r="S4133" s="75"/>
    </row>
    <row r="4134" spans="18:19" x14ac:dyDescent="0.25">
      <c r="R4134" s="75"/>
      <c r="S4134" s="75"/>
    </row>
    <row r="4135" spans="18:19" x14ac:dyDescent="0.25">
      <c r="R4135" s="75"/>
      <c r="S4135" s="75"/>
    </row>
    <row r="4136" spans="18:19" x14ac:dyDescent="0.25">
      <c r="R4136" s="75"/>
      <c r="S4136" s="75"/>
    </row>
    <row r="4137" spans="18:19" x14ac:dyDescent="0.25">
      <c r="R4137" s="75"/>
      <c r="S4137" s="75"/>
    </row>
    <row r="4138" spans="18:19" x14ac:dyDescent="0.25">
      <c r="R4138" s="75"/>
      <c r="S4138" s="75"/>
    </row>
    <row r="4139" spans="18:19" x14ac:dyDescent="0.25">
      <c r="R4139" s="75"/>
      <c r="S4139" s="75"/>
    </row>
    <row r="4140" spans="18:19" x14ac:dyDescent="0.25">
      <c r="R4140" s="75"/>
      <c r="S4140" s="75"/>
    </row>
    <row r="4141" spans="18:19" x14ac:dyDescent="0.25">
      <c r="R4141" s="75"/>
      <c r="S4141" s="75"/>
    </row>
    <row r="4142" spans="18:19" x14ac:dyDescent="0.25">
      <c r="R4142" s="75"/>
      <c r="S4142" s="75"/>
    </row>
    <row r="4143" spans="18:19" x14ac:dyDescent="0.25">
      <c r="R4143" s="75"/>
      <c r="S4143" s="75"/>
    </row>
    <row r="4144" spans="18:19" x14ac:dyDescent="0.25">
      <c r="R4144" s="75"/>
      <c r="S4144" s="75"/>
    </row>
    <row r="4145" spans="18:19" x14ac:dyDescent="0.25">
      <c r="R4145" s="75"/>
      <c r="S4145" s="75"/>
    </row>
    <row r="4146" spans="18:19" x14ac:dyDescent="0.25">
      <c r="R4146" s="75"/>
      <c r="S4146" s="75"/>
    </row>
    <row r="4147" spans="18:19" x14ac:dyDescent="0.25">
      <c r="R4147" s="75"/>
      <c r="S4147" s="75"/>
    </row>
    <row r="4148" spans="18:19" x14ac:dyDescent="0.25">
      <c r="R4148" s="75"/>
      <c r="S4148" s="75"/>
    </row>
    <row r="4149" spans="18:19" x14ac:dyDescent="0.25">
      <c r="R4149" s="75"/>
      <c r="S4149" s="75"/>
    </row>
    <row r="4150" spans="18:19" x14ac:dyDescent="0.25">
      <c r="R4150" s="75"/>
      <c r="S4150" s="75"/>
    </row>
    <row r="4151" spans="18:19" x14ac:dyDescent="0.25">
      <c r="R4151" s="75"/>
      <c r="S4151" s="75"/>
    </row>
    <row r="4152" spans="18:19" x14ac:dyDescent="0.25">
      <c r="R4152" s="75"/>
      <c r="S4152" s="75"/>
    </row>
    <row r="4153" spans="18:19" x14ac:dyDescent="0.25">
      <c r="R4153" s="75"/>
      <c r="S4153" s="75"/>
    </row>
    <row r="4154" spans="18:19" x14ac:dyDescent="0.25">
      <c r="R4154" s="75"/>
      <c r="S4154" s="75"/>
    </row>
    <row r="4155" spans="18:19" x14ac:dyDescent="0.25">
      <c r="R4155" s="75"/>
      <c r="S4155" s="75"/>
    </row>
    <row r="4156" spans="18:19" x14ac:dyDescent="0.25">
      <c r="R4156" s="75"/>
      <c r="S4156" s="75"/>
    </row>
    <row r="4157" spans="18:19" x14ac:dyDescent="0.25">
      <c r="R4157" s="75"/>
      <c r="S4157" s="75"/>
    </row>
    <row r="4158" spans="18:19" x14ac:dyDescent="0.25">
      <c r="R4158" s="75"/>
      <c r="S4158" s="75"/>
    </row>
    <row r="4159" spans="18:19" x14ac:dyDescent="0.25">
      <c r="R4159" s="75"/>
      <c r="S4159" s="75"/>
    </row>
    <row r="4160" spans="18:19" x14ac:dyDescent="0.25">
      <c r="R4160" s="75"/>
      <c r="S4160" s="75"/>
    </row>
    <row r="4161" spans="18:19" x14ac:dyDescent="0.25">
      <c r="R4161" s="75"/>
      <c r="S4161" s="75"/>
    </row>
    <row r="4162" spans="18:19" x14ac:dyDescent="0.25">
      <c r="R4162" s="75"/>
      <c r="S4162" s="75"/>
    </row>
    <row r="4163" spans="18:19" x14ac:dyDescent="0.25">
      <c r="R4163" s="75"/>
      <c r="S4163" s="75"/>
    </row>
    <row r="4164" spans="18:19" x14ac:dyDescent="0.25">
      <c r="R4164" s="75"/>
      <c r="S4164" s="75"/>
    </row>
    <row r="4165" spans="18:19" x14ac:dyDescent="0.25">
      <c r="R4165" s="75"/>
      <c r="S4165" s="75"/>
    </row>
    <row r="4166" spans="18:19" x14ac:dyDescent="0.25">
      <c r="R4166" s="75"/>
      <c r="S4166" s="75"/>
    </row>
    <row r="4167" spans="18:19" x14ac:dyDescent="0.25">
      <c r="R4167" s="75"/>
      <c r="S4167" s="75"/>
    </row>
    <row r="4168" spans="18:19" x14ac:dyDescent="0.25">
      <c r="R4168" s="75"/>
      <c r="S4168" s="75"/>
    </row>
    <row r="4169" spans="18:19" x14ac:dyDescent="0.25">
      <c r="R4169" s="75"/>
      <c r="S4169" s="75"/>
    </row>
    <row r="4170" spans="18:19" x14ac:dyDescent="0.25">
      <c r="R4170" s="75"/>
      <c r="S4170" s="75"/>
    </row>
    <row r="4171" spans="18:19" x14ac:dyDescent="0.25">
      <c r="R4171" s="75"/>
      <c r="S4171" s="75"/>
    </row>
    <row r="4172" spans="18:19" x14ac:dyDescent="0.25">
      <c r="R4172" s="75"/>
      <c r="S4172" s="75"/>
    </row>
    <row r="4173" spans="18:19" x14ac:dyDescent="0.25">
      <c r="R4173" s="75"/>
      <c r="S4173" s="75"/>
    </row>
    <row r="4174" spans="18:19" x14ac:dyDescent="0.25">
      <c r="R4174" s="75"/>
      <c r="S4174" s="75"/>
    </row>
    <row r="4175" spans="18:19" x14ac:dyDescent="0.25">
      <c r="R4175" s="75"/>
      <c r="S4175" s="75"/>
    </row>
    <row r="4176" spans="18:19" x14ac:dyDescent="0.25">
      <c r="R4176" s="75"/>
      <c r="S4176" s="75"/>
    </row>
    <row r="4177" spans="18:19" x14ac:dyDescent="0.25">
      <c r="R4177" s="75"/>
      <c r="S4177" s="75"/>
    </row>
    <row r="4178" spans="18:19" x14ac:dyDescent="0.25">
      <c r="R4178" s="75"/>
      <c r="S4178" s="75"/>
    </row>
    <row r="4179" spans="18:19" x14ac:dyDescent="0.25">
      <c r="R4179" s="75"/>
      <c r="S4179" s="75"/>
    </row>
    <row r="4180" spans="18:19" x14ac:dyDescent="0.25">
      <c r="R4180" s="75"/>
      <c r="S4180" s="75"/>
    </row>
    <row r="4181" spans="18:19" x14ac:dyDescent="0.25">
      <c r="R4181" s="75"/>
      <c r="S4181" s="75"/>
    </row>
    <row r="4182" spans="18:19" x14ac:dyDescent="0.25">
      <c r="R4182" s="75"/>
      <c r="S4182" s="75"/>
    </row>
    <row r="4183" spans="18:19" x14ac:dyDescent="0.25">
      <c r="R4183" s="75"/>
      <c r="S4183" s="75"/>
    </row>
    <row r="4184" spans="18:19" x14ac:dyDescent="0.25">
      <c r="R4184" s="75"/>
      <c r="S4184" s="75"/>
    </row>
    <row r="4185" spans="18:19" x14ac:dyDescent="0.25">
      <c r="R4185" s="75"/>
      <c r="S4185" s="75"/>
    </row>
    <row r="4186" spans="18:19" x14ac:dyDescent="0.25">
      <c r="R4186" s="75"/>
      <c r="S4186" s="75"/>
    </row>
    <row r="4187" spans="18:19" x14ac:dyDescent="0.25">
      <c r="R4187" s="75"/>
      <c r="S4187" s="75"/>
    </row>
    <row r="4188" spans="18:19" x14ac:dyDescent="0.25">
      <c r="R4188" s="75"/>
      <c r="S4188" s="75"/>
    </row>
    <row r="4189" spans="18:19" x14ac:dyDescent="0.25">
      <c r="R4189" s="75"/>
      <c r="S4189" s="75"/>
    </row>
    <row r="4190" spans="18:19" x14ac:dyDescent="0.25">
      <c r="R4190" s="75"/>
      <c r="S4190" s="75"/>
    </row>
    <row r="4191" spans="18:19" x14ac:dyDescent="0.25">
      <c r="R4191" s="75"/>
      <c r="S4191" s="75"/>
    </row>
    <row r="4192" spans="18:19" x14ac:dyDescent="0.25">
      <c r="R4192" s="75"/>
      <c r="S4192" s="75"/>
    </row>
    <row r="4193" spans="18:19" x14ac:dyDescent="0.25">
      <c r="R4193" s="75"/>
      <c r="S4193" s="75"/>
    </row>
    <row r="4194" spans="18:19" x14ac:dyDescent="0.25">
      <c r="R4194" s="75"/>
      <c r="S4194" s="75"/>
    </row>
    <row r="4195" spans="18:19" x14ac:dyDescent="0.25">
      <c r="R4195" s="75"/>
      <c r="S4195" s="75"/>
    </row>
    <row r="4196" spans="18:19" x14ac:dyDescent="0.25">
      <c r="R4196" s="75"/>
      <c r="S4196" s="75"/>
    </row>
    <row r="4197" spans="18:19" x14ac:dyDescent="0.25">
      <c r="R4197" s="75"/>
      <c r="S4197" s="75"/>
    </row>
    <row r="4198" spans="18:19" x14ac:dyDescent="0.25">
      <c r="R4198" s="75"/>
      <c r="S4198" s="75"/>
    </row>
    <row r="4199" spans="18:19" x14ac:dyDescent="0.25">
      <c r="R4199" s="75"/>
      <c r="S4199" s="75"/>
    </row>
    <row r="4200" spans="18:19" x14ac:dyDescent="0.25">
      <c r="R4200" s="75"/>
      <c r="S4200" s="75"/>
    </row>
    <row r="4201" spans="18:19" x14ac:dyDescent="0.25">
      <c r="R4201" s="75"/>
      <c r="S4201" s="75"/>
    </row>
    <row r="4202" spans="18:19" x14ac:dyDescent="0.25">
      <c r="R4202" s="75"/>
      <c r="S4202" s="75"/>
    </row>
    <row r="4203" spans="18:19" x14ac:dyDescent="0.25">
      <c r="R4203" s="75"/>
      <c r="S4203" s="75"/>
    </row>
    <row r="4204" spans="18:19" x14ac:dyDescent="0.25">
      <c r="R4204" s="75"/>
      <c r="S4204" s="75"/>
    </row>
    <row r="4205" spans="18:19" x14ac:dyDescent="0.25">
      <c r="R4205" s="75"/>
      <c r="S4205" s="75"/>
    </row>
    <row r="4206" spans="18:19" x14ac:dyDescent="0.25">
      <c r="R4206" s="75"/>
      <c r="S4206" s="75"/>
    </row>
    <row r="4207" spans="18:19" x14ac:dyDescent="0.25">
      <c r="R4207" s="75"/>
      <c r="S4207" s="75"/>
    </row>
    <row r="4208" spans="18:19" x14ac:dyDescent="0.25">
      <c r="R4208" s="75"/>
      <c r="S4208" s="75"/>
    </row>
    <row r="4209" spans="18:19" x14ac:dyDescent="0.25">
      <c r="R4209" s="75"/>
      <c r="S4209" s="75"/>
    </row>
    <row r="4210" spans="18:19" x14ac:dyDescent="0.25">
      <c r="R4210" s="75"/>
      <c r="S4210" s="75"/>
    </row>
    <row r="4211" spans="18:19" x14ac:dyDescent="0.25">
      <c r="R4211" s="75"/>
      <c r="S4211" s="75"/>
    </row>
    <row r="4212" spans="18:19" x14ac:dyDescent="0.25">
      <c r="R4212" s="75"/>
      <c r="S4212" s="75"/>
    </row>
    <row r="4213" spans="18:19" x14ac:dyDescent="0.25">
      <c r="R4213" s="75"/>
      <c r="S4213" s="75"/>
    </row>
    <row r="4214" spans="18:19" x14ac:dyDescent="0.25">
      <c r="R4214" s="75"/>
      <c r="S4214" s="75"/>
    </row>
    <row r="4215" spans="18:19" x14ac:dyDescent="0.25">
      <c r="R4215" s="75"/>
      <c r="S4215" s="75"/>
    </row>
    <row r="4216" spans="18:19" x14ac:dyDescent="0.25">
      <c r="R4216" s="75"/>
      <c r="S4216" s="75"/>
    </row>
    <row r="4217" spans="18:19" x14ac:dyDescent="0.25">
      <c r="R4217" s="75"/>
      <c r="S4217" s="75"/>
    </row>
    <row r="4218" spans="18:19" x14ac:dyDescent="0.25">
      <c r="R4218" s="75"/>
      <c r="S4218" s="75"/>
    </row>
    <row r="4219" spans="18:19" x14ac:dyDescent="0.25">
      <c r="R4219" s="75"/>
      <c r="S4219" s="75"/>
    </row>
    <row r="4220" spans="18:19" x14ac:dyDescent="0.25">
      <c r="R4220" s="75"/>
      <c r="S4220" s="75"/>
    </row>
    <row r="4221" spans="18:19" x14ac:dyDescent="0.25">
      <c r="R4221" s="75"/>
      <c r="S4221" s="75"/>
    </row>
    <row r="4222" spans="18:19" x14ac:dyDescent="0.25">
      <c r="R4222" s="75"/>
      <c r="S4222" s="75"/>
    </row>
    <row r="4223" spans="18:19" x14ac:dyDescent="0.25">
      <c r="R4223" s="75"/>
      <c r="S4223" s="75"/>
    </row>
    <row r="4224" spans="18:19" x14ac:dyDescent="0.25">
      <c r="R4224" s="75"/>
      <c r="S4224" s="75"/>
    </row>
    <row r="4225" spans="18:19" x14ac:dyDescent="0.25">
      <c r="R4225" s="75"/>
      <c r="S4225" s="75"/>
    </row>
    <row r="4226" spans="18:19" x14ac:dyDescent="0.25">
      <c r="R4226" s="75"/>
      <c r="S4226" s="75"/>
    </row>
    <row r="4227" spans="18:19" x14ac:dyDescent="0.25">
      <c r="R4227" s="75"/>
      <c r="S4227" s="75"/>
    </row>
    <row r="4228" spans="18:19" x14ac:dyDescent="0.25">
      <c r="R4228" s="75"/>
      <c r="S4228" s="75"/>
    </row>
    <row r="4229" spans="18:19" x14ac:dyDescent="0.25">
      <c r="R4229" s="75"/>
      <c r="S4229" s="75"/>
    </row>
    <row r="4230" spans="18:19" x14ac:dyDescent="0.25">
      <c r="R4230" s="75"/>
      <c r="S4230" s="75"/>
    </row>
    <row r="4231" spans="18:19" x14ac:dyDescent="0.25">
      <c r="R4231" s="75"/>
      <c r="S4231" s="75"/>
    </row>
    <row r="4232" spans="18:19" x14ac:dyDescent="0.25">
      <c r="R4232" s="75"/>
      <c r="S4232" s="75"/>
    </row>
    <row r="4233" spans="18:19" x14ac:dyDescent="0.25">
      <c r="R4233" s="75"/>
      <c r="S4233" s="75"/>
    </row>
    <row r="4234" spans="18:19" x14ac:dyDescent="0.25">
      <c r="R4234" s="75"/>
      <c r="S4234" s="75"/>
    </row>
    <row r="4235" spans="18:19" x14ac:dyDescent="0.25">
      <c r="R4235" s="75"/>
      <c r="S4235" s="75"/>
    </row>
    <row r="4236" spans="18:19" x14ac:dyDescent="0.25">
      <c r="R4236" s="75"/>
      <c r="S4236" s="75"/>
    </row>
    <row r="4237" spans="18:19" x14ac:dyDescent="0.25">
      <c r="R4237" s="75"/>
      <c r="S4237" s="75"/>
    </row>
    <row r="4238" spans="18:19" x14ac:dyDescent="0.25">
      <c r="R4238" s="75"/>
      <c r="S4238" s="75"/>
    </row>
    <row r="4239" spans="18:19" x14ac:dyDescent="0.25">
      <c r="R4239" s="75"/>
      <c r="S4239" s="75"/>
    </row>
    <row r="4240" spans="18:19" x14ac:dyDescent="0.25">
      <c r="R4240" s="75"/>
      <c r="S4240" s="75"/>
    </row>
    <row r="4241" spans="18:19" x14ac:dyDescent="0.25">
      <c r="R4241" s="75"/>
      <c r="S4241" s="75"/>
    </row>
    <row r="4242" spans="18:19" x14ac:dyDescent="0.25">
      <c r="R4242" s="75"/>
      <c r="S4242" s="75"/>
    </row>
    <row r="4243" spans="18:19" x14ac:dyDescent="0.25">
      <c r="R4243" s="75"/>
      <c r="S4243" s="75"/>
    </row>
    <row r="4244" spans="18:19" x14ac:dyDescent="0.25">
      <c r="R4244" s="75"/>
      <c r="S4244" s="75"/>
    </row>
    <row r="4245" spans="18:19" x14ac:dyDescent="0.25">
      <c r="R4245" s="75"/>
      <c r="S4245" s="75"/>
    </row>
    <row r="4246" spans="18:19" x14ac:dyDescent="0.25">
      <c r="R4246" s="75"/>
      <c r="S4246" s="75"/>
    </row>
    <row r="4247" spans="18:19" x14ac:dyDescent="0.25">
      <c r="R4247" s="75"/>
      <c r="S4247" s="75"/>
    </row>
    <row r="4248" spans="18:19" x14ac:dyDescent="0.25">
      <c r="R4248" s="75"/>
      <c r="S4248" s="75"/>
    </row>
    <row r="4249" spans="18:19" x14ac:dyDescent="0.25">
      <c r="R4249" s="75"/>
      <c r="S4249" s="75"/>
    </row>
    <row r="4250" spans="18:19" x14ac:dyDescent="0.25">
      <c r="R4250" s="75"/>
      <c r="S4250" s="75"/>
    </row>
    <row r="4251" spans="18:19" x14ac:dyDescent="0.25">
      <c r="R4251" s="75"/>
      <c r="S4251" s="75"/>
    </row>
    <row r="4252" spans="18:19" x14ac:dyDescent="0.25">
      <c r="R4252" s="75"/>
      <c r="S4252" s="75"/>
    </row>
    <row r="4253" spans="18:19" x14ac:dyDescent="0.25">
      <c r="R4253" s="75"/>
      <c r="S4253" s="75"/>
    </row>
    <row r="4254" spans="18:19" x14ac:dyDescent="0.25">
      <c r="R4254" s="75"/>
      <c r="S4254" s="75"/>
    </row>
    <row r="4255" spans="18:19" x14ac:dyDescent="0.25">
      <c r="R4255" s="75"/>
      <c r="S4255" s="75"/>
    </row>
    <row r="4256" spans="18:19" x14ac:dyDescent="0.25">
      <c r="R4256" s="75"/>
      <c r="S4256" s="75"/>
    </row>
    <row r="4257" spans="18:19" x14ac:dyDescent="0.25">
      <c r="R4257" s="75"/>
      <c r="S4257" s="75"/>
    </row>
    <row r="4258" spans="18:19" x14ac:dyDescent="0.25">
      <c r="R4258" s="75"/>
      <c r="S4258" s="75"/>
    </row>
    <row r="4259" spans="18:19" x14ac:dyDescent="0.25">
      <c r="R4259" s="75"/>
      <c r="S4259" s="75"/>
    </row>
    <row r="4260" spans="18:19" x14ac:dyDescent="0.25">
      <c r="R4260" s="75"/>
      <c r="S4260" s="75"/>
    </row>
    <row r="4261" spans="18:19" x14ac:dyDescent="0.25">
      <c r="R4261" s="75"/>
      <c r="S4261" s="75"/>
    </row>
    <row r="4262" spans="18:19" x14ac:dyDescent="0.25">
      <c r="R4262" s="75"/>
      <c r="S4262" s="75"/>
    </row>
    <row r="4263" spans="18:19" x14ac:dyDescent="0.25">
      <c r="R4263" s="75"/>
      <c r="S4263" s="75"/>
    </row>
    <row r="4264" spans="18:19" x14ac:dyDescent="0.25">
      <c r="R4264" s="75"/>
      <c r="S4264" s="75"/>
    </row>
    <row r="4265" spans="18:19" x14ac:dyDescent="0.25">
      <c r="R4265" s="75"/>
      <c r="S4265" s="75"/>
    </row>
    <row r="4266" spans="18:19" x14ac:dyDescent="0.25">
      <c r="R4266" s="75"/>
      <c r="S4266" s="75"/>
    </row>
    <row r="4267" spans="18:19" x14ac:dyDescent="0.25">
      <c r="R4267" s="75"/>
      <c r="S4267" s="75"/>
    </row>
    <row r="4268" spans="18:19" x14ac:dyDescent="0.25">
      <c r="R4268" s="75"/>
      <c r="S4268" s="75"/>
    </row>
    <row r="4269" spans="18:19" x14ac:dyDescent="0.25">
      <c r="R4269" s="75"/>
      <c r="S4269" s="75"/>
    </row>
    <row r="4270" spans="18:19" x14ac:dyDescent="0.25">
      <c r="R4270" s="75"/>
      <c r="S4270" s="75"/>
    </row>
    <row r="4271" spans="18:19" x14ac:dyDescent="0.25">
      <c r="R4271" s="75"/>
      <c r="S4271" s="75"/>
    </row>
    <row r="4272" spans="18:19" x14ac:dyDescent="0.25">
      <c r="R4272" s="75"/>
      <c r="S4272" s="75"/>
    </row>
    <row r="4273" spans="18:19" x14ac:dyDescent="0.25">
      <c r="R4273" s="75"/>
      <c r="S4273" s="75"/>
    </row>
    <row r="4274" spans="18:19" x14ac:dyDescent="0.25">
      <c r="R4274" s="75"/>
      <c r="S4274" s="75"/>
    </row>
    <row r="4275" spans="18:19" x14ac:dyDescent="0.25">
      <c r="R4275" s="75"/>
      <c r="S4275" s="75"/>
    </row>
    <row r="4276" spans="18:19" x14ac:dyDescent="0.25">
      <c r="R4276" s="75"/>
      <c r="S4276" s="75"/>
    </row>
    <row r="4277" spans="18:19" x14ac:dyDescent="0.25">
      <c r="R4277" s="75"/>
      <c r="S4277" s="75"/>
    </row>
    <row r="4278" spans="18:19" x14ac:dyDescent="0.25">
      <c r="R4278" s="75"/>
      <c r="S4278" s="75"/>
    </row>
    <row r="4279" spans="18:19" x14ac:dyDescent="0.25">
      <c r="R4279" s="75"/>
      <c r="S4279" s="75"/>
    </row>
    <row r="4280" spans="18:19" x14ac:dyDescent="0.25">
      <c r="R4280" s="75"/>
      <c r="S4280" s="75"/>
    </row>
    <row r="4281" spans="18:19" x14ac:dyDescent="0.25">
      <c r="R4281" s="75"/>
      <c r="S4281" s="75"/>
    </row>
    <row r="4282" spans="18:19" x14ac:dyDescent="0.25">
      <c r="R4282" s="75"/>
      <c r="S4282" s="75"/>
    </row>
    <row r="4283" spans="18:19" x14ac:dyDescent="0.25">
      <c r="R4283" s="75"/>
      <c r="S4283" s="75"/>
    </row>
    <row r="4284" spans="18:19" x14ac:dyDescent="0.25">
      <c r="R4284" s="75"/>
      <c r="S4284" s="75"/>
    </row>
    <row r="4285" spans="18:19" x14ac:dyDescent="0.25">
      <c r="R4285" s="75"/>
      <c r="S4285" s="75"/>
    </row>
    <row r="4286" spans="18:19" x14ac:dyDescent="0.25">
      <c r="R4286" s="75"/>
      <c r="S4286" s="75"/>
    </row>
    <row r="4287" spans="18:19" x14ac:dyDescent="0.25">
      <c r="R4287" s="75"/>
      <c r="S4287" s="75"/>
    </row>
    <row r="4288" spans="18:19" x14ac:dyDescent="0.25">
      <c r="R4288" s="75"/>
      <c r="S4288" s="75"/>
    </row>
    <row r="4289" spans="18:19" x14ac:dyDescent="0.25">
      <c r="R4289" s="75"/>
      <c r="S4289" s="75"/>
    </row>
    <row r="4290" spans="18:19" x14ac:dyDescent="0.25">
      <c r="R4290" s="75"/>
      <c r="S4290" s="75"/>
    </row>
    <row r="4291" spans="18:19" x14ac:dyDescent="0.25">
      <c r="R4291" s="75"/>
      <c r="S4291" s="75"/>
    </row>
    <row r="4292" spans="18:19" x14ac:dyDescent="0.25">
      <c r="R4292" s="75"/>
      <c r="S4292" s="75"/>
    </row>
    <row r="4293" spans="18:19" x14ac:dyDescent="0.25">
      <c r="R4293" s="75"/>
      <c r="S4293" s="75"/>
    </row>
    <row r="4294" spans="18:19" x14ac:dyDescent="0.25">
      <c r="R4294" s="75"/>
      <c r="S4294" s="75"/>
    </row>
    <row r="4295" spans="18:19" x14ac:dyDescent="0.25">
      <c r="R4295" s="75"/>
      <c r="S4295" s="75"/>
    </row>
    <row r="4296" spans="18:19" x14ac:dyDescent="0.25">
      <c r="R4296" s="75"/>
      <c r="S4296" s="75"/>
    </row>
    <row r="4297" spans="18:19" x14ac:dyDescent="0.25">
      <c r="R4297" s="75"/>
      <c r="S4297" s="75"/>
    </row>
    <row r="4298" spans="18:19" x14ac:dyDescent="0.25">
      <c r="R4298" s="75"/>
      <c r="S4298" s="75"/>
    </row>
    <row r="4299" spans="18:19" x14ac:dyDescent="0.25">
      <c r="R4299" s="75"/>
      <c r="S4299" s="75"/>
    </row>
    <row r="4300" spans="18:19" x14ac:dyDescent="0.25">
      <c r="R4300" s="75"/>
      <c r="S4300" s="75"/>
    </row>
    <row r="4301" spans="18:19" x14ac:dyDescent="0.25">
      <c r="R4301" s="75"/>
      <c r="S4301" s="75"/>
    </row>
    <row r="4302" spans="18:19" x14ac:dyDescent="0.25">
      <c r="R4302" s="75"/>
      <c r="S4302" s="75"/>
    </row>
    <row r="4303" spans="18:19" x14ac:dyDescent="0.25">
      <c r="R4303" s="75"/>
      <c r="S4303" s="75"/>
    </row>
    <row r="4304" spans="18:19" x14ac:dyDescent="0.25">
      <c r="R4304" s="75"/>
      <c r="S4304" s="75"/>
    </row>
    <row r="4305" spans="18:19" x14ac:dyDescent="0.25">
      <c r="R4305" s="75"/>
      <c r="S4305" s="75"/>
    </row>
    <row r="4306" spans="18:19" x14ac:dyDescent="0.25">
      <c r="R4306" s="75"/>
      <c r="S4306" s="75"/>
    </row>
    <row r="4307" spans="18:19" x14ac:dyDescent="0.25">
      <c r="R4307" s="75"/>
      <c r="S4307" s="75"/>
    </row>
    <row r="4308" spans="18:19" x14ac:dyDescent="0.25">
      <c r="R4308" s="75"/>
      <c r="S4308" s="75"/>
    </row>
    <row r="4309" spans="18:19" x14ac:dyDescent="0.25">
      <c r="R4309" s="75"/>
      <c r="S4309" s="75"/>
    </row>
    <row r="4310" spans="18:19" x14ac:dyDescent="0.25">
      <c r="R4310" s="75"/>
      <c r="S4310" s="75"/>
    </row>
    <row r="4311" spans="18:19" x14ac:dyDescent="0.25">
      <c r="R4311" s="75"/>
      <c r="S4311" s="75"/>
    </row>
    <row r="4312" spans="18:19" x14ac:dyDescent="0.25">
      <c r="R4312" s="75"/>
      <c r="S4312" s="75"/>
    </row>
    <row r="4313" spans="18:19" x14ac:dyDescent="0.25">
      <c r="R4313" s="75"/>
      <c r="S4313" s="75"/>
    </row>
    <row r="4314" spans="18:19" x14ac:dyDescent="0.25">
      <c r="R4314" s="75"/>
      <c r="S4314" s="75"/>
    </row>
    <row r="4315" spans="18:19" x14ac:dyDescent="0.25">
      <c r="R4315" s="75"/>
      <c r="S4315" s="75"/>
    </row>
    <row r="4316" spans="18:19" x14ac:dyDescent="0.25">
      <c r="R4316" s="75"/>
      <c r="S4316" s="75"/>
    </row>
    <row r="4317" spans="18:19" x14ac:dyDescent="0.25">
      <c r="R4317" s="75"/>
      <c r="S4317" s="75"/>
    </row>
    <row r="4318" spans="18:19" x14ac:dyDescent="0.25">
      <c r="R4318" s="75"/>
      <c r="S4318" s="75"/>
    </row>
    <row r="4319" spans="18:19" x14ac:dyDescent="0.25">
      <c r="R4319" s="75"/>
      <c r="S4319" s="75"/>
    </row>
    <row r="4320" spans="18:19" x14ac:dyDescent="0.25">
      <c r="R4320" s="75"/>
      <c r="S4320" s="75"/>
    </row>
    <row r="4321" spans="18:19" x14ac:dyDescent="0.25">
      <c r="R4321" s="75"/>
      <c r="S4321" s="75"/>
    </row>
    <row r="4322" spans="18:19" x14ac:dyDescent="0.25">
      <c r="R4322" s="75"/>
      <c r="S4322" s="75"/>
    </row>
    <row r="4323" spans="18:19" x14ac:dyDescent="0.25">
      <c r="R4323" s="75"/>
      <c r="S4323" s="75"/>
    </row>
    <row r="4324" spans="18:19" x14ac:dyDescent="0.25">
      <c r="R4324" s="75"/>
      <c r="S4324" s="75"/>
    </row>
    <row r="4325" spans="18:19" x14ac:dyDescent="0.25">
      <c r="R4325" s="75"/>
      <c r="S4325" s="75"/>
    </row>
    <row r="4326" spans="18:19" x14ac:dyDescent="0.25">
      <c r="R4326" s="75"/>
      <c r="S4326" s="75"/>
    </row>
    <row r="4327" spans="18:19" x14ac:dyDescent="0.25">
      <c r="R4327" s="75"/>
      <c r="S4327" s="75"/>
    </row>
    <row r="4328" spans="18:19" x14ac:dyDescent="0.25">
      <c r="R4328" s="75"/>
      <c r="S4328" s="75"/>
    </row>
    <row r="4329" spans="18:19" x14ac:dyDescent="0.25">
      <c r="R4329" s="75"/>
      <c r="S4329" s="75"/>
    </row>
    <row r="4330" spans="18:19" x14ac:dyDescent="0.25">
      <c r="R4330" s="75"/>
      <c r="S4330" s="75"/>
    </row>
    <row r="4331" spans="18:19" x14ac:dyDescent="0.25">
      <c r="R4331" s="75"/>
      <c r="S4331" s="75"/>
    </row>
    <row r="4332" spans="18:19" x14ac:dyDescent="0.25">
      <c r="R4332" s="75"/>
      <c r="S4332" s="75"/>
    </row>
    <row r="4333" spans="18:19" x14ac:dyDescent="0.25">
      <c r="R4333" s="75"/>
      <c r="S4333" s="75"/>
    </row>
    <row r="4334" spans="18:19" x14ac:dyDescent="0.25">
      <c r="R4334" s="75"/>
      <c r="S4334" s="75"/>
    </row>
    <row r="4335" spans="18:19" x14ac:dyDescent="0.25">
      <c r="R4335" s="75"/>
      <c r="S4335" s="75"/>
    </row>
    <row r="4336" spans="18:19" x14ac:dyDescent="0.25">
      <c r="R4336" s="75"/>
      <c r="S4336" s="75"/>
    </row>
    <row r="4337" spans="18:19" x14ac:dyDescent="0.25">
      <c r="R4337" s="75"/>
      <c r="S4337" s="75"/>
    </row>
    <row r="4338" spans="18:19" x14ac:dyDescent="0.25">
      <c r="R4338" s="75"/>
      <c r="S4338" s="75"/>
    </row>
    <row r="4339" spans="18:19" x14ac:dyDescent="0.25">
      <c r="R4339" s="75"/>
      <c r="S4339" s="75"/>
    </row>
    <row r="4340" spans="18:19" x14ac:dyDescent="0.25">
      <c r="R4340" s="75"/>
      <c r="S4340" s="75"/>
    </row>
    <row r="4341" spans="18:19" x14ac:dyDescent="0.25">
      <c r="R4341" s="75"/>
      <c r="S4341" s="75"/>
    </row>
    <row r="4342" spans="18:19" x14ac:dyDescent="0.25">
      <c r="R4342" s="75"/>
      <c r="S4342" s="75"/>
    </row>
    <row r="4343" spans="18:19" x14ac:dyDescent="0.25">
      <c r="R4343" s="75"/>
      <c r="S4343" s="75"/>
    </row>
    <row r="4344" spans="18:19" x14ac:dyDescent="0.25">
      <c r="R4344" s="75"/>
      <c r="S4344" s="75"/>
    </row>
    <row r="4345" spans="18:19" x14ac:dyDescent="0.25">
      <c r="R4345" s="75"/>
      <c r="S4345" s="75"/>
    </row>
    <row r="4346" spans="18:19" x14ac:dyDescent="0.25">
      <c r="R4346" s="75"/>
      <c r="S4346" s="75"/>
    </row>
    <row r="4347" spans="18:19" x14ac:dyDescent="0.25">
      <c r="R4347" s="75"/>
      <c r="S4347" s="75"/>
    </row>
    <row r="4348" spans="18:19" x14ac:dyDescent="0.25">
      <c r="R4348" s="75"/>
      <c r="S4348" s="75"/>
    </row>
    <row r="4349" spans="18:19" x14ac:dyDescent="0.25">
      <c r="R4349" s="75"/>
      <c r="S4349" s="75"/>
    </row>
    <row r="4350" spans="18:19" x14ac:dyDescent="0.25">
      <c r="R4350" s="75"/>
      <c r="S4350" s="75"/>
    </row>
    <row r="4351" spans="18:19" x14ac:dyDescent="0.25">
      <c r="R4351" s="75"/>
      <c r="S4351" s="75"/>
    </row>
    <row r="4352" spans="18:19" x14ac:dyDescent="0.25">
      <c r="R4352" s="75"/>
      <c r="S4352" s="75"/>
    </row>
    <row r="4353" spans="18:19" x14ac:dyDescent="0.25">
      <c r="R4353" s="75"/>
      <c r="S4353" s="75"/>
    </row>
    <row r="4354" spans="18:19" x14ac:dyDescent="0.25">
      <c r="R4354" s="75"/>
      <c r="S4354" s="75"/>
    </row>
    <row r="4355" spans="18:19" x14ac:dyDescent="0.25">
      <c r="R4355" s="75"/>
      <c r="S4355" s="75"/>
    </row>
    <row r="4356" spans="18:19" x14ac:dyDescent="0.25">
      <c r="R4356" s="75"/>
      <c r="S4356" s="75"/>
    </row>
    <row r="4357" spans="18:19" x14ac:dyDescent="0.25">
      <c r="R4357" s="75"/>
      <c r="S4357" s="75"/>
    </row>
    <row r="4358" spans="18:19" x14ac:dyDescent="0.25">
      <c r="R4358" s="75"/>
      <c r="S4358" s="75"/>
    </row>
    <row r="4359" spans="18:19" x14ac:dyDescent="0.25">
      <c r="R4359" s="75"/>
      <c r="S4359" s="75"/>
    </row>
    <row r="4360" spans="18:19" x14ac:dyDescent="0.25">
      <c r="R4360" s="75"/>
      <c r="S4360" s="75"/>
    </row>
    <row r="4361" spans="18:19" x14ac:dyDescent="0.25">
      <c r="R4361" s="75"/>
      <c r="S4361" s="75"/>
    </row>
    <row r="4362" spans="18:19" x14ac:dyDescent="0.25">
      <c r="R4362" s="75"/>
      <c r="S4362" s="75"/>
    </row>
    <row r="4363" spans="18:19" x14ac:dyDescent="0.25">
      <c r="R4363" s="75"/>
      <c r="S4363" s="75"/>
    </row>
    <row r="4364" spans="18:19" x14ac:dyDescent="0.25">
      <c r="R4364" s="75"/>
      <c r="S4364" s="75"/>
    </row>
    <row r="4365" spans="18:19" x14ac:dyDescent="0.25">
      <c r="R4365" s="75"/>
      <c r="S4365" s="75"/>
    </row>
    <row r="4366" spans="18:19" x14ac:dyDescent="0.25">
      <c r="R4366" s="75"/>
      <c r="S4366" s="75"/>
    </row>
    <row r="4367" spans="18:19" x14ac:dyDescent="0.25">
      <c r="R4367" s="75"/>
      <c r="S4367" s="75"/>
    </row>
    <row r="4368" spans="18:19" x14ac:dyDescent="0.25">
      <c r="R4368" s="75"/>
      <c r="S4368" s="75"/>
    </row>
    <row r="4369" spans="18:19" x14ac:dyDescent="0.25">
      <c r="R4369" s="75"/>
      <c r="S4369" s="75"/>
    </row>
    <row r="4370" spans="18:19" x14ac:dyDescent="0.25">
      <c r="R4370" s="75"/>
      <c r="S4370" s="75"/>
    </row>
    <row r="4371" spans="18:19" x14ac:dyDescent="0.25">
      <c r="R4371" s="75"/>
      <c r="S4371" s="75"/>
    </row>
    <row r="4372" spans="18:19" x14ac:dyDescent="0.25">
      <c r="R4372" s="75"/>
      <c r="S4372" s="75"/>
    </row>
    <row r="4373" spans="18:19" x14ac:dyDescent="0.25">
      <c r="R4373" s="75"/>
      <c r="S4373" s="75"/>
    </row>
    <row r="4374" spans="18:19" x14ac:dyDescent="0.25">
      <c r="R4374" s="75"/>
      <c r="S4374" s="75"/>
    </row>
    <row r="4375" spans="18:19" x14ac:dyDescent="0.25">
      <c r="R4375" s="75"/>
      <c r="S4375" s="75"/>
    </row>
    <row r="4376" spans="18:19" x14ac:dyDescent="0.25">
      <c r="R4376" s="75"/>
      <c r="S4376" s="75"/>
    </row>
    <row r="4377" spans="18:19" x14ac:dyDescent="0.25">
      <c r="R4377" s="75"/>
      <c r="S4377" s="75"/>
    </row>
    <row r="4378" spans="18:19" x14ac:dyDescent="0.25">
      <c r="R4378" s="75"/>
      <c r="S4378" s="75"/>
    </row>
    <row r="4379" spans="18:19" x14ac:dyDescent="0.25">
      <c r="R4379" s="75"/>
      <c r="S4379" s="75"/>
    </row>
    <row r="4380" spans="18:19" x14ac:dyDescent="0.25">
      <c r="R4380" s="75"/>
      <c r="S4380" s="75"/>
    </row>
    <row r="4381" spans="18:19" x14ac:dyDescent="0.25">
      <c r="R4381" s="75"/>
      <c r="S4381" s="75"/>
    </row>
    <row r="4382" spans="18:19" x14ac:dyDescent="0.25">
      <c r="R4382" s="75"/>
      <c r="S4382" s="75"/>
    </row>
    <row r="4383" spans="18:19" x14ac:dyDescent="0.25">
      <c r="R4383" s="75"/>
      <c r="S4383" s="75"/>
    </row>
    <row r="4384" spans="18:19" x14ac:dyDescent="0.25">
      <c r="R4384" s="75"/>
      <c r="S4384" s="75"/>
    </row>
    <row r="4385" spans="18:19" x14ac:dyDescent="0.25">
      <c r="R4385" s="75"/>
      <c r="S4385" s="75"/>
    </row>
    <row r="4386" spans="18:19" x14ac:dyDescent="0.25">
      <c r="R4386" s="75"/>
      <c r="S4386" s="75"/>
    </row>
    <row r="4387" spans="18:19" x14ac:dyDescent="0.25">
      <c r="R4387" s="75"/>
      <c r="S4387" s="75"/>
    </row>
    <row r="4388" spans="18:19" x14ac:dyDescent="0.25">
      <c r="R4388" s="75"/>
      <c r="S4388" s="75"/>
    </row>
    <row r="4389" spans="18:19" x14ac:dyDescent="0.25">
      <c r="R4389" s="75"/>
      <c r="S4389" s="75"/>
    </row>
    <row r="4390" spans="18:19" x14ac:dyDescent="0.25">
      <c r="R4390" s="75"/>
      <c r="S4390" s="75"/>
    </row>
    <row r="4391" spans="18:19" x14ac:dyDescent="0.25">
      <c r="R4391" s="75"/>
      <c r="S4391" s="75"/>
    </row>
    <row r="4392" spans="18:19" x14ac:dyDescent="0.25">
      <c r="R4392" s="75"/>
      <c r="S4392" s="75"/>
    </row>
    <row r="4393" spans="18:19" x14ac:dyDescent="0.25">
      <c r="R4393" s="75"/>
      <c r="S4393" s="75"/>
    </row>
    <row r="4394" spans="18:19" x14ac:dyDescent="0.25">
      <c r="R4394" s="75"/>
      <c r="S4394" s="75"/>
    </row>
    <row r="4395" spans="18:19" x14ac:dyDescent="0.25">
      <c r="R4395" s="75"/>
      <c r="S4395" s="75"/>
    </row>
    <row r="4396" spans="18:19" x14ac:dyDescent="0.25">
      <c r="R4396" s="75"/>
      <c r="S4396" s="75"/>
    </row>
    <row r="4397" spans="18:19" x14ac:dyDescent="0.25">
      <c r="R4397" s="75"/>
      <c r="S4397" s="75"/>
    </row>
    <row r="4398" spans="18:19" x14ac:dyDescent="0.25">
      <c r="R4398" s="75"/>
      <c r="S4398" s="75"/>
    </row>
    <row r="4399" spans="18:19" x14ac:dyDescent="0.25">
      <c r="R4399" s="75"/>
      <c r="S4399" s="75"/>
    </row>
    <row r="4400" spans="18:19" x14ac:dyDescent="0.25">
      <c r="R4400" s="75"/>
      <c r="S4400" s="75"/>
    </row>
    <row r="4401" spans="18:19" x14ac:dyDescent="0.25">
      <c r="R4401" s="75"/>
      <c r="S4401" s="75"/>
    </row>
    <row r="4402" spans="18:19" x14ac:dyDescent="0.25">
      <c r="R4402" s="75"/>
      <c r="S4402" s="75"/>
    </row>
    <row r="4403" spans="18:19" x14ac:dyDescent="0.25">
      <c r="R4403" s="75"/>
      <c r="S4403" s="75"/>
    </row>
    <row r="4404" spans="18:19" x14ac:dyDescent="0.25">
      <c r="R4404" s="75"/>
      <c r="S4404" s="75"/>
    </row>
    <row r="4405" spans="18:19" x14ac:dyDescent="0.25">
      <c r="R4405" s="75"/>
      <c r="S4405" s="75"/>
    </row>
    <row r="4406" spans="18:19" x14ac:dyDescent="0.25">
      <c r="R4406" s="75"/>
      <c r="S4406" s="75"/>
    </row>
    <row r="4407" spans="18:19" x14ac:dyDescent="0.25">
      <c r="R4407" s="75"/>
      <c r="S4407" s="75"/>
    </row>
    <row r="4408" spans="18:19" x14ac:dyDescent="0.25">
      <c r="R4408" s="75"/>
      <c r="S4408" s="75"/>
    </row>
    <row r="4409" spans="18:19" x14ac:dyDescent="0.25">
      <c r="R4409" s="75"/>
      <c r="S4409" s="75"/>
    </row>
    <row r="4410" spans="18:19" x14ac:dyDescent="0.25">
      <c r="R4410" s="75"/>
      <c r="S4410" s="75"/>
    </row>
    <row r="4411" spans="18:19" x14ac:dyDescent="0.25">
      <c r="R4411" s="75"/>
      <c r="S4411" s="75"/>
    </row>
    <row r="4412" spans="18:19" x14ac:dyDescent="0.25">
      <c r="R4412" s="75"/>
      <c r="S4412" s="75"/>
    </row>
    <row r="4413" spans="18:19" x14ac:dyDescent="0.25">
      <c r="R4413" s="75"/>
      <c r="S4413" s="75"/>
    </row>
    <row r="4414" spans="18:19" x14ac:dyDescent="0.25">
      <c r="R4414" s="75"/>
      <c r="S4414" s="75"/>
    </row>
    <row r="4415" spans="18:19" x14ac:dyDescent="0.25">
      <c r="R4415" s="75"/>
      <c r="S4415" s="75"/>
    </row>
    <row r="4416" spans="18:19" x14ac:dyDescent="0.25">
      <c r="R4416" s="75"/>
      <c r="S4416" s="75"/>
    </row>
    <row r="4417" spans="18:19" x14ac:dyDescent="0.25">
      <c r="R4417" s="75"/>
      <c r="S4417" s="75"/>
    </row>
    <row r="4418" spans="18:19" x14ac:dyDescent="0.25">
      <c r="R4418" s="75"/>
      <c r="S4418" s="75"/>
    </row>
    <row r="4419" spans="18:19" x14ac:dyDescent="0.25">
      <c r="R4419" s="75"/>
      <c r="S4419" s="75"/>
    </row>
    <row r="4420" spans="18:19" x14ac:dyDescent="0.25">
      <c r="R4420" s="75"/>
      <c r="S4420" s="75"/>
    </row>
    <row r="4421" spans="18:19" x14ac:dyDescent="0.25">
      <c r="R4421" s="75"/>
      <c r="S4421" s="75"/>
    </row>
    <row r="4422" spans="18:19" x14ac:dyDescent="0.25">
      <c r="R4422" s="75"/>
      <c r="S4422" s="75"/>
    </row>
    <row r="4423" spans="18:19" x14ac:dyDescent="0.25">
      <c r="R4423" s="75"/>
      <c r="S4423" s="75"/>
    </row>
    <row r="4424" spans="18:19" x14ac:dyDescent="0.25">
      <c r="R4424" s="75"/>
      <c r="S4424" s="75"/>
    </row>
    <row r="4425" spans="18:19" x14ac:dyDescent="0.25">
      <c r="R4425" s="75"/>
      <c r="S4425" s="75"/>
    </row>
    <row r="4426" spans="18:19" x14ac:dyDescent="0.25">
      <c r="R4426" s="75"/>
      <c r="S4426" s="75"/>
    </row>
    <row r="4427" spans="18:19" x14ac:dyDescent="0.25">
      <c r="R4427" s="75"/>
      <c r="S4427" s="75"/>
    </row>
    <row r="4428" spans="18:19" x14ac:dyDescent="0.25">
      <c r="R4428" s="75"/>
      <c r="S4428" s="75"/>
    </row>
    <row r="4429" spans="18:19" x14ac:dyDescent="0.25">
      <c r="R4429" s="75"/>
      <c r="S4429" s="75"/>
    </row>
    <row r="4430" spans="18:19" x14ac:dyDescent="0.25">
      <c r="R4430" s="75"/>
      <c r="S4430" s="75"/>
    </row>
    <row r="4431" spans="18:19" x14ac:dyDescent="0.25">
      <c r="R4431" s="75"/>
      <c r="S4431" s="75"/>
    </row>
    <row r="4432" spans="18:19" x14ac:dyDescent="0.25">
      <c r="R4432" s="75"/>
      <c r="S4432" s="75"/>
    </row>
    <row r="4433" spans="18:19" x14ac:dyDescent="0.25">
      <c r="R4433" s="75"/>
      <c r="S4433" s="75"/>
    </row>
    <row r="4434" spans="18:19" x14ac:dyDescent="0.25">
      <c r="R4434" s="75"/>
      <c r="S4434" s="75"/>
    </row>
    <row r="4435" spans="18:19" x14ac:dyDescent="0.25">
      <c r="R4435" s="75"/>
      <c r="S4435" s="75"/>
    </row>
    <row r="4436" spans="18:19" x14ac:dyDescent="0.25">
      <c r="R4436" s="75"/>
      <c r="S4436" s="75"/>
    </row>
    <row r="4437" spans="18:19" x14ac:dyDescent="0.25">
      <c r="R4437" s="75"/>
      <c r="S4437" s="75"/>
    </row>
    <row r="4438" spans="18:19" x14ac:dyDescent="0.25">
      <c r="R4438" s="75"/>
      <c r="S4438" s="75"/>
    </row>
    <row r="4439" spans="18:19" x14ac:dyDescent="0.25">
      <c r="R4439" s="75"/>
      <c r="S4439" s="75"/>
    </row>
    <row r="4440" spans="18:19" x14ac:dyDescent="0.25">
      <c r="R4440" s="75"/>
      <c r="S4440" s="75"/>
    </row>
    <row r="4441" spans="18:19" x14ac:dyDescent="0.25">
      <c r="R4441" s="75"/>
      <c r="S4441" s="75"/>
    </row>
    <row r="4442" spans="18:19" x14ac:dyDescent="0.25">
      <c r="R4442" s="75"/>
      <c r="S4442" s="75"/>
    </row>
    <row r="4443" spans="18:19" x14ac:dyDescent="0.25">
      <c r="R4443" s="75"/>
      <c r="S4443" s="75"/>
    </row>
    <row r="4444" spans="18:19" x14ac:dyDescent="0.25">
      <c r="R4444" s="75"/>
      <c r="S4444" s="75"/>
    </row>
    <row r="4445" spans="18:19" x14ac:dyDescent="0.25">
      <c r="R4445" s="75"/>
      <c r="S4445" s="75"/>
    </row>
    <row r="4446" spans="18:19" x14ac:dyDescent="0.25">
      <c r="R4446" s="75"/>
      <c r="S4446" s="75"/>
    </row>
    <row r="4447" spans="18:19" x14ac:dyDescent="0.25">
      <c r="R4447" s="75"/>
      <c r="S4447" s="75"/>
    </row>
    <row r="4448" spans="18:19" x14ac:dyDescent="0.25">
      <c r="R4448" s="75"/>
      <c r="S4448" s="75"/>
    </row>
    <row r="4449" spans="18:19" x14ac:dyDescent="0.25">
      <c r="R4449" s="75"/>
      <c r="S4449" s="75"/>
    </row>
    <row r="4450" spans="18:19" x14ac:dyDescent="0.25">
      <c r="R4450" s="75"/>
      <c r="S4450" s="75"/>
    </row>
    <row r="4451" spans="18:19" x14ac:dyDescent="0.25">
      <c r="R4451" s="75"/>
      <c r="S4451" s="75"/>
    </row>
    <row r="4452" spans="18:19" x14ac:dyDescent="0.25">
      <c r="R4452" s="75"/>
      <c r="S4452" s="75"/>
    </row>
    <row r="4453" spans="18:19" x14ac:dyDescent="0.25">
      <c r="R4453" s="75"/>
      <c r="S4453" s="75"/>
    </row>
    <row r="4454" spans="18:19" x14ac:dyDescent="0.25">
      <c r="R4454" s="75"/>
      <c r="S4454" s="75"/>
    </row>
    <row r="4455" spans="18:19" x14ac:dyDescent="0.25">
      <c r="R4455" s="75"/>
      <c r="S4455" s="75"/>
    </row>
    <row r="4456" spans="18:19" x14ac:dyDescent="0.25">
      <c r="R4456" s="75"/>
      <c r="S4456" s="75"/>
    </row>
    <row r="4457" spans="18:19" x14ac:dyDescent="0.25">
      <c r="R4457" s="75"/>
      <c r="S4457" s="75"/>
    </row>
    <row r="4458" spans="18:19" x14ac:dyDescent="0.25">
      <c r="R4458" s="75"/>
      <c r="S4458" s="75"/>
    </row>
    <row r="4459" spans="18:19" x14ac:dyDescent="0.25">
      <c r="R4459" s="75"/>
      <c r="S4459" s="75"/>
    </row>
    <row r="4460" spans="18:19" x14ac:dyDescent="0.25">
      <c r="R4460" s="75"/>
      <c r="S4460" s="75"/>
    </row>
    <row r="4461" spans="18:19" x14ac:dyDescent="0.25">
      <c r="R4461" s="75"/>
      <c r="S4461" s="75"/>
    </row>
    <row r="4462" spans="18:19" x14ac:dyDescent="0.25">
      <c r="R4462" s="75"/>
      <c r="S4462" s="75"/>
    </row>
    <row r="4463" spans="18:19" x14ac:dyDescent="0.25">
      <c r="R4463" s="75"/>
      <c r="S4463" s="75"/>
    </row>
    <row r="4464" spans="18:19" x14ac:dyDescent="0.25">
      <c r="R4464" s="75"/>
      <c r="S4464" s="75"/>
    </row>
    <row r="4465" spans="18:19" x14ac:dyDescent="0.25">
      <c r="R4465" s="75"/>
      <c r="S4465" s="75"/>
    </row>
    <row r="4466" spans="18:19" x14ac:dyDescent="0.25">
      <c r="R4466" s="75"/>
      <c r="S4466" s="75"/>
    </row>
    <row r="4467" spans="18:19" x14ac:dyDescent="0.25">
      <c r="R4467" s="75"/>
      <c r="S4467" s="75"/>
    </row>
    <row r="4468" spans="18:19" x14ac:dyDescent="0.25">
      <c r="R4468" s="75"/>
      <c r="S4468" s="75"/>
    </row>
    <row r="4469" spans="18:19" x14ac:dyDescent="0.25">
      <c r="R4469" s="75"/>
      <c r="S4469" s="75"/>
    </row>
    <row r="4470" spans="18:19" x14ac:dyDescent="0.25">
      <c r="R4470" s="75"/>
      <c r="S4470" s="75"/>
    </row>
    <row r="4471" spans="18:19" x14ac:dyDescent="0.25">
      <c r="R4471" s="75"/>
      <c r="S4471" s="75"/>
    </row>
    <row r="4472" spans="18:19" x14ac:dyDescent="0.25">
      <c r="R4472" s="75"/>
      <c r="S4472" s="75"/>
    </row>
    <row r="4473" spans="18:19" x14ac:dyDescent="0.25">
      <c r="R4473" s="75"/>
      <c r="S4473" s="75"/>
    </row>
    <row r="4474" spans="18:19" x14ac:dyDescent="0.25">
      <c r="R4474" s="75"/>
      <c r="S4474" s="75"/>
    </row>
    <row r="4475" spans="18:19" x14ac:dyDescent="0.25">
      <c r="R4475" s="75"/>
      <c r="S4475" s="75"/>
    </row>
    <row r="4476" spans="18:19" x14ac:dyDescent="0.25">
      <c r="R4476" s="75"/>
      <c r="S4476" s="75"/>
    </row>
    <row r="4477" spans="18:19" x14ac:dyDescent="0.25">
      <c r="R4477" s="75"/>
      <c r="S4477" s="75"/>
    </row>
    <row r="4478" spans="18:19" x14ac:dyDescent="0.25">
      <c r="R4478" s="75"/>
      <c r="S4478" s="75"/>
    </row>
    <row r="4479" spans="18:19" x14ac:dyDescent="0.25">
      <c r="R4479" s="75"/>
      <c r="S4479" s="75"/>
    </row>
    <row r="4480" spans="18:19" x14ac:dyDescent="0.25">
      <c r="R4480" s="75"/>
      <c r="S4480" s="75"/>
    </row>
    <row r="4481" spans="18:19" x14ac:dyDescent="0.25">
      <c r="R4481" s="75"/>
      <c r="S4481" s="75"/>
    </row>
    <row r="4482" spans="18:19" x14ac:dyDescent="0.25">
      <c r="R4482" s="75"/>
      <c r="S4482" s="75"/>
    </row>
    <row r="4483" spans="18:19" x14ac:dyDescent="0.25">
      <c r="R4483" s="75"/>
      <c r="S4483" s="75"/>
    </row>
    <row r="4484" spans="18:19" x14ac:dyDescent="0.25">
      <c r="R4484" s="75"/>
      <c r="S4484" s="75"/>
    </row>
    <row r="4485" spans="18:19" x14ac:dyDescent="0.25">
      <c r="R4485" s="75"/>
      <c r="S4485" s="75"/>
    </row>
    <row r="4486" spans="18:19" x14ac:dyDescent="0.25">
      <c r="R4486" s="75"/>
      <c r="S4486" s="75"/>
    </row>
    <row r="4487" spans="18:19" x14ac:dyDescent="0.25">
      <c r="R4487" s="75"/>
      <c r="S4487" s="75"/>
    </row>
    <row r="4488" spans="18:19" x14ac:dyDescent="0.25">
      <c r="R4488" s="75"/>
      <c r="S4488" s="75"/>
    </row>
    <row r="4489" spans="18:19" x14ac:dyDescent="0.25">
      <c r="R4489" s="75"/>
      <c r="S4489" s="75"/>
    </row>
    <row r="4490" spans="18:19" x14ac:dyDescent="0.25">
      <c r="R4490" s="75"/>
      <c r="S4490" s="75"/>
    </row>
    <row r="4491" spans="18:19" x14ac:dyDescent="0.25">
      <c r="R4491" s="75"/>
      <c r="S4491" s="75"/>
    </row>
    <row r="4492" spans="18:19" x14ac:dyDescent="0.25">
      <c r="R4492" s="75"/>
      <c r="S4492" s="75"/>
    </row>
    <row r="4493" spans="18:19" x14ac:dyDescent="0.25">
      <c r="R4493" s="75"/>
      <c r="S4493" s="75"/>
    </row>
    <row r="4494" spans="18:19" x14ac:dyDescent="0.25">
      <c r="R4494" s="75"/>
      <c r="S4494" s="75"/>
    </row>
    <row r="4495" spans="18:19" x14ac:dyDescent="0.25">
      <c r="R4495" s="75"/>
      <c r="S4495" s="75"/>
    </row>
    <row r="4496" spans="18:19" x14ac:dyDescent="0.25">
      <c r="R4496" s="75"/>
      <c r="S4496" s="75"/>
    </row>
    <row r="4497" spans="18:19" x14ac:dyDescent="0.25">
      <c r="R4497" s="75"/>
      <c r="S4497" s="75"/>
    </row>
    <row r="4498" spans="18:19" x14ac:dyDescent="0.25">
      <c r="R4498" s="75"/>
      <c r="S4498" s="75"/>
    </row>
    <row r="4499" spans="18:19" x14ac:dyDescent="0.25">
      <c r="R4499" s="75"/>
      <c r="S4499" s="75"/>
    </row>
    <row r="4500" spans="18:19" x14ac:dyDescent="0.25">
      <c r="R4500" s="75"/>
      <c r="S4500" s="75"/>
    </row>
    <row r="4501" spans="18:19" x14ac:dyDescent="0.25">
      <c r="R4501" s="75"/>
      <c r="S4501" s="75"/>
    </row>
    <row r="4502" spans="18:19" x14ac:dyDescent="0.25">
      <c r="R4502" s="75"/>
      <c r="S4502" s="75"/>
    </row>
    <row r="4503" spans="18:19" x14ac:dyDescent="0.25">
      <c r="R4503" s="75"/>
      <c r="S4503" s="75"/>
    </row>
    <row r="4504" spans="18:19" x14ac:dyDescent="0.25">
      <c r="R4504" s="75"/>
      <c r="S4504" s="75"/>
    </row>
    <row r="4505" spans="18:19" x14ac:dyDescent="0.25">
      <c r="R4505" s="75"/>
      <c r="S4505" s="75"/>
    </row>
    <row r="4506" spans="18:19" x14ac:dyDescent="0.25">
      <c r="R4506" s="75"/>
      <c r="S4506" s="75"/>
    </row>
    <row r="4507" spans="18:19" x14ac:dyDescent="0.25">
      <c r="R4507" s="75"/>
      <c r="S4507" s="75"/>
    </row>
    <row r="4508" spans="18:19" x14ac:dyDescent="0.25">
      <c r="R4508" s="75"/>
      <c r="S4508" s="75"/>
    </row>
    <row r="4509" spans="18:19" x14ac:dyDescent="0.25">
      <c r="R4509" s="75"/>
      <c r="S4509" s="75"/>
    </row>
    <row r="4510" spans="18:19" x14ac:dyDescent="0.25">
      <c r="R4510" s="75"/>
      <c r="S4510" s="75"/>
    </row>
    <row r="4511" spans="18:19" x14ac:dyDescent="0.25">
      <c r="R4511" s="75"/>
      <c r="S4511" s="75"/>
    </row>
    <row r="4512" spans="18:19" x14ac:dyDescent="0.25">
      <c r="R4512" s="75"/>
      <c r="S4512" s="75"/>
    </row>
    <row r="4513" spans="18:19" x14ac:dyDescent="0.25">
      <c r="R4513" s="75"/>
      <c r="S4513" s="75"/>
    </row>
    <row r="4514" spans="18:19" x14ac:dyDescent="0.25">
      <c r="R4514" s="75"/>
      <c r="S4514" s="75"/>
    </row>
    <row r="4515" spans="18:19" x14ac:dyDescent="0.25">
      <c r="R4515" s="75"/>
      <c r="S4515" s="75"/>
    </row>
    <row r="4516" spans="18:19" x14ac:dyDescent="0.25">
      <c r="R4516" s="75"/>
      <c r="S4516" s="75"/>
    </row>
    <row r="4517" spans="18:19" x14ac:dyDescent="0.25">
      <c r="R4517" s="75"/>
      <c r="S4517" s="75"/>
    </row>
    <row r="4518" spans="18:19" x14ac:dyDescent="0.25">
      <c r="R4518" s="75"/>
      <c r="S4518" s="75"/>
    </row>
    <row r="4519" spans="18:19" x14ac:dyDescent="0.25">
      <c r="R4519" s="75"/>
      <c r="S4519" s="75"/>
    </row>
    <row r="4520" spans="18:19" x14ac:dyDescent="0.25">
      <c r="R4520" s="75"/>
      <c r="S4520" s="75"/>
    </row>
    <row r="4521" spans="18:19" x14ac:dyDescent="0.25">
      <c r="R4521" s="75"/>
      <c r="S4521" s="75"/>
    </row>
    <row r="4522" spans="18:19" x14ac:dyDescent="0.25">
      <c r="R4522" s="75"/>
      <c r="S4522" s="75"/>
    </row>
    <row r="4523" spans="18:19" x14ac:dyDescent="0.25">
      <c r="R4523" s="75"/>
      <c r="S4523" s="75"/>
    </row>
    <row r="4524" spans="18:19" x14ac:dyDescent="0.25">
      <c r="R4524" s="75"/>
      <c r="S4524" s="75"/>
    </row>
    <row r="4525" spans="18:19" x14ac:dyDescent="0.25">
      <c r="R4525" s="75"/>
      <c r="S4525" s="75"/>
    </row>
    <row r="4526" spans="18:19" x14ac:dyDescent="0.25">
      <c r="R4526" s="75"/>
      <c r="S4526" s="75"/>
    </row>
    <row r="4527" spans="18:19" x14ac:dyDescent="0.25">
      <c r="R4527" s="75"/>
      <c r="S4527" s="75"/>
    </row>
    <row r="4528" spans="18:19" x14ac:dyDescent="0.25">
      <c r="R4528" s="75"/>
      <c r="S4528" s="75"/>
    </row>
    <row r="4529" spans="18:19" x14ac:dyDescent="0.25">
      <c r="R4529" s="75"/>
      <c r="S4529" s="75"/>
    </row>
    <row r="4530" spans="18:19" x14ac:dyDescent="0.25">
      <c r="R4530" s="75"/>
      <c r="S4530" s="75"/>
    </row>
    <row r="4531" spans="18:19" x14ac:dyDescent="0.25">
      <c r="R4531" s="75"/>
      <c r="S4531" s="75"/>
    </row>
    <row r="4532" spans="18:19" x14ac:dyDescent="0.25">
      <c r="R4532" s="75"/>
      <c r="S4532" s="75"/>
    </row>
    <row r="4533" spans="18:19" x14ac:dyDescent="0.25">
      <c r="R4533" s="75"/>
      <c r="S4533" s="75"/>
    </row>
    <row r="4534" spans="18:19" x14ac:dyDescent="0.25">
      <c r="R4534" s="75"/>
      <c r="S4534" s="75"/>
    </row>
    <row r="4535" spans="18:19" x14ac:dyDescent="0.25">
      <c r="R4535" s="75"/>
      <c r="S4535" s="75"/>
    </row>
    <row r="4536" spans="18:19" x14ac:dyDescent="0.25">
      <c r="R4536" s="75"/>
      <c r="S4536" s="75"/>
    </row>
    <row r="4537" spans="18:19" x14ac:dyDescent="0.25">
      <c r="R4537" s="75"/>
      <c r="S4537" s="75"/>
    </row>
    <row r="4538" spans="18:19" x14ac:dyDescent="0.25">
      <c r="R4538" s="75"/>
      <c r="S4538" s="75"/>
    </row>
    <row r="4539" spans="18:19" x14ac:dyDescent="0.25">
      <c r="R4539" s="75"/>
      <c r="S4539" s="75"/>
    </row>
    <row r="4540" spans="18:19" x14ac:dyDescent="0.25">
      <c r="R4540" s="75"/>
      <c r="S4540" s="75"/>
    </row>
    <row r="4541" spans="18:19" x14ac:dyDescent="0.25">
      <c r="R4541" s="75"/>
      <c r="S4541" s="75"/>
    </row>
    <row r="4542" spans="18:19" x14ac:dyDescent="0.25">
      <c r="R4542" s="75"/>
      <c r="S4542" s="75"/>
    </row>
    <row r="4543" spans="18:19" x14ac:dyDescent="0.25">
      <c r="R4543" s="75"/>
      <c r="S4543" s="75"/>
    </row>
    <row r="4544" spans="18:19" x14ac:dyDescent="0.25">
      <c r="R4544" s="75"/>
      <c r="S4544" s="75"/>
    </row>
    <row r="4545" spans="18:19" x14ac:dyDescent="0.25">
      <c r="R4545" s="75"/>
      <c r="S4545" s="75"/>
    </row>
    <row r="4546" spans="18:19" x14ac:dyDescent="0.25">
      <c r="R4546" s="75"/>
      <c r="S4546" s="75"/>
    </row>
    <row r="4547" spans="18:19" x14ac:dyDescent="0.25">
      <c r="R4547" s="75"/>
      <c r="S4547" s="75"/>
    </row>
    <row r="4548" spans="18:19" x14ac:dyDescent="0.25">
      <c r="R4548" s="75"/>
      <c r="S4548" s="75"/>
    </row>
    <row r="4549" spans="18:19" x14ac:dyDescent="0.25">
      <c r="R4549" s="75"/>
      <c r="S4549" s="75"/>
    </row>
    <row r="4550" spans="18:19" x14ac:dyDescent="0.25">
      <c r="R4550" s="75"/>
      <c r="S4550" s="75"/>
    </row>
    <row r="4551" spans="18:19" x14ac:dyDescent="0.25">
      <c r="R4551" s="75"/>
      <c r="S4551" s="75"/>
    </row>
    <row r="4552" spans="18:19" x14ac:dyDescent="0.25">
      <c r="R4552" s="75"/>
      <c r="S4552" s="75"/>
    </row>
    <row r="4553" spans="18:19" x14ac:dyDescent="0.25">
      <c r="R4553" s="75"/>
      <c r="S4553" s="75"/>
    </row>
    <row r="4554" spans="18:19" x14ac:dyDescent="0.25">
      <c r="R4554" s="75"/>
      <c r="S4554" s="75"/>
    </row>
    <row r="4555" spans="18:19" x14ac:dyDescent="0.25">
      <c r="R4555" s="75"/>
      <c r="S4555" s="75"/>
    </row>
    <row r="4556" spans="18:19" x14ac:dyDescent="0.25">
      <c r="R4556" s="75"/>
      <c r="S4556" s="75"/>
    </row>
    <row r="4557" spans="18:19" x14ac:dyDescent="0.25">
      <c r="R4557" s="75"/>
      <c r="S4557" s="75"/>
    </row>
    <row r="4558" spans="18:19" x14ac:dyDescent="0.25">
      <c r="R4558" s="75"/>
      <c r="S4558" s="75"/>
    </row>
    <row r="4559" spans="18:19" x14ac:dyDescent="0.25">
      <c r="R4559" s="75"/>
      <c r="S4559" s="75"/>
    </row>
    <row r="4560" spans="18:19" x14ac:dyDescent="0.25">
      <c r="R4560" s="75"/>
      <c r="S4560" s="75"/>
    </row>
    <row r="4561" spans="18:19" x14ac:dyDescent="0.25">
      <c r="R4561" s="75"/>
      <c r="S4561" s="75"/>
    </row>
    <row r="4562" spans="18:19" x14ac:dyDescent="0.25">
      <c r="R4562" s="75"/>
      <c r="S4562" s="75"/>
    </row>
    <row r="4563" spans="18:19" x14ac:dyDescent="0.25">
      <c r="R4563" s="75"/>
      <c r="S4563" s="75"/>
    </row>
    <row r="4564" spans="18:19" x14ac:dyDescent="0.25">
      <c r="R4564" s="75"/>
      <c r="S4564" s="75"/>
    </row>
    <row r="4565" spans="18:19" x14ac:dyDescent="0.25">
      <c r="R4565" s="75"/>
      <c r="S4565" s="75"/>
    </row>
    <row r="4566" spans="18:19" x14ac:dyDescent="0.25">
      <c r="R4566" s="75"/>
      <c r="S4566" s="75"/>
    </row>
    <row r="4567" spans="18:19" x14ac:dyDescent="0.25">
      <c r="R4567" s="75"/>
      <c r="S4567" s="75"/>
    </row>
    <row r="4568" spans="18:19" x14ac:dyDescent="0.25">
      <c r="R4568" s="75"/>
      <c r="S4568" s="75"/>
    </row>
    <row r="4569" spans="18:19" x14ac:dyDescent="0.25">
      <c r="R4569" s="75"/>
      <c r="S4569" s="75"/>
    </row>
    <row r="4570" spans="18:19" x14ac:dyDescent="0.25">
      <c r="R4570" s="75"/>
      <c r="S4570" s="75"/>
    </row>
    <row r="4571" spans="18:19" x14ac:dyDescent="0.25">
      <c r="R4571" s="75"/>
      <c r="S4571" s="75"/>
    </row>
    <row r="4572" spans="18:19" x14ac:dyDescent="0.25">
      <c r="R4572" s="75"/>
      <c r="S4572" s="75"/>
    </row>
    <row r="4573" spans="18:19" x14ac:dyDescent="0.25">
      <c r="R4573" s="75"/>
      <c r="S4573" s="75"/>
    </row>
    <row r="4574" spans="18:19" x14ac:dyDescent="0.25">
      <c r="R4574" s="75"/>
      <c r="S4574" s="75"/>
    </row>
    <row r="4575" spans="18:19" x14ac:dyDescent="0.25">
      <c r="R4575" s="75"/>
      <c r="S4575" s="75"/>
    </row>
    <row r="4576" spans="18:19" x14ac:dyDescent="0.25">
      <c r="R4576" s="75"/>
      <c r="S4576" s="75"/>
    </row>
    <row r="4577" spans="18:19" x14ac:dyDescent="0.25">
      <c r="R4577" s="75"/>
      <c r="S4577" s="75"/>
    </row>
    <row r="4578" spans="18:19" x14ac:dyDescent="0.25">
      <c r="R4578" s="75"/>
      <c r="S4578" s="75"/>
    </row>
    <row r="4579" spans="18:19" x14ac:dyDescent="0.25">
      <c r="R4579" s="75"/>
      <c r="S4579" s="75"/>
    </row>
    <row r="4580" spans="18:19" x14ac:dyDescent="0.25">
      <c r="R4580" s="75"/>
      <c r="S4580" s="75"/>
    </row>
    <row r="4581" spans="18:19" x14ac:dyDescent="0.25">
      <c r="R4581" s="75"/>
      <c r="S4581" s="75"/>
    </row>
    <row r="4582" spans="18:19" x14ac:dyDescent="0.25">
      <c r="R4582" s="75"/>
      <c r="S4582" s="75"/>
    </row>
    <row r="4583" spans="18:19" x14ac:dyDescent="0.25">
      <c r="R4583" s="75"/>
      <c r="S4583" s="75"/>
    </row>
    <row r="4584" spans="18:19" x14ac:dyDescent="0.25">
      <c r="R4584" s="75"/>
      <c r="S4584" s="75"/>
    </row>
    <row r="4585" spans="18:19" x14ac:dyDescent="0.25">
      <c r="R4585" s="75"/>
      <c r="S4585" s="75"/>
    </row>
    <row r="4586" spans="18:19" x14ac:dyDescent="0.25">
      <c r="R4586" s="75"/>
      <c r="S4586" s="75"/>
    </row>
    <row r="4587" spans="18:19" x14ac:dyDescent="0.25">
      <c r="R4587" s="75"/>
      <c r="S4587" s="75"/>
    </row>
    <row r="4588" spans="18:19" x14ac:dyDescent="0.25">
      <c r="R4588" s="75"/>
      <c r="S4588" s="75"/>
    </row>
    <row r="4589" spans="18:19" x14ac:dyDescent="0.25">
      <c r="R4589" s="75"/>
      <c r="S4589" s="75"/>
    </row>
    <row r="4590" spans="18:19" x14ac:dyDescent="0.25">
      <c r="R4590" s="75"/>
      <c r="S4590" s="75"/>
    </row>
    <row r="4591" spans="18:19" x14ac:dyDescent="0.25">
      <c r="R4591" s="75"/>
      <c r="S4591" s="75"/>
    </row>
    <row r="4592" spans="18:19" x14ac:dyDescent="0.25">
      <c r="R4592" s="75"/>
      <c r="S4592" s="75"/>
    </row>
    <row r="4593" spans="18:19" x14ac:dyDescent="0.25">
      <c r="R4593" s="75"/>
      <c r="S4593" s="75"/>
    </row>
    <row r="4594" spans="18:19" x14ac:dyDescent="0.25">
      <c r="R4594" s="75"/>
      <c r="S4594" s="75"/>
    </row>
    <row r="4595" spans="18:19" x14ac:dyDescent="0.25">
      <c r="R4595" s="75"/>
      <c r="S4595" s="75"/>
    </row>
    <row r="4596" spans="18:19" x14ac:dyDescent="0.25">
      <c r="R4596" s="75"/>
      <c r="S4596" s="75"/>
    </row>
    <row r="4597" spans="18:19" x14ac:dyDescent="0.25">
      <c r="R4597" s="75"/>
      <c r="S4597" s="75"/>
    </row>
    <row r="4598" spans="18:19" x14ac:dyDescent="0.25">
      <c r="R4598" s="75"/>
      <c r="S4598" s="75"/>
    </row>
    <row r="4599" spans="18:19" x14ac:dyDescent="0.25">
      <c r="R4599" s="75"/>
      <c r="S4599" s="75"/>
    </row>
    <row r="4600" spans="18:19" x14ac:dyDescent="0.25">
      <c r="R4600" s="75"/>
      <c r="S4600" s="75"/>
    </row>
    <row r="4601" spans="18:19" x14ac:dyDescent="0.25">
      <c r="R4601" s="75"/>
      <c r="S4601" s="75"/>
    </row>
    <row r="4602" spans="18:19" x14ac:dyDescent="0.25">
      <c r="R4602" s="75"/>
      <c r="S4602" s="75"/>
    </row>
    <row r="4603" spans="18:19" x14ac:dyDescent="0.25">
      <c r="R4603" s="75"/>
      <c r="S4603" s="75"/>
    </row>
    <row r="4604" spans="18:19" x14ac:dyDescent="0.25">
      <c r="R4604" s="75"/>
      <c r="S4604" s="75"/>
    </row>
    <row r="4605" spans="18:19" x14ac:dyDescent="0.25">
      <c r="R4605" s="75"/>
      <c r="S4605" s="75"/>
    </row>
    <row r="4606" spans="18:19" x14ac:dyDescent="0.25">
      <c r="R4606" s="75"/>
      <c r="S4606" s="75"/>
    </row>
    <row r="4607" spans="18:19" x14ac:dyDescent="0.25">
      <c r="R4607" s="75"/>
      <c r="S4607" s="75"/>
    </row>
    <row r="4608" spans="18:19" x14ac:dyDescent="0.25">
      <c r="R4608" s="75"/>
      <c r="S4608" s="75"/>
    </row>
    <row r="4609" spans="18:19" x14ac:dyDescent="0.25">
      <c r="R4609" s="75"/>
      <c r="S4609" s="75"/>
    </row>
    <row r="4610" spans="18:19" x14ac:dyDescent="0.25">
      <c r="R4610" s="75"/>
      <c r="S4610" s="75"/>
    </row>
    <row r="4611" spans="18:19" x14ac:dyDescent="0.25">
      <c r="R4611" s="75"/>
      <c r="S4611" s="75"/>
    </row>
    <row r="4612" spans="18:19" x14ac:dyDescent="0.25">
      <c r="R4612" s="75"/>
      <c r="S4612" s="75"/>
    </row>
    <row r="4613" spans="18:19" x14ac:dyDescent="0.25">
      <c r="R4613" s="75"/>
      <c r="S4613" s="75"/>
    </row>
    <row r="4614" spans="18:19" x14ac:dyDescent="0.25">
      <c r="R4614" s="75"/>
      <c r="S4614" s="75"/>
    </row>
    <row r="4615" spans="18:19" x14ac:dyDescent="0.25">
      <c r="R4615" s="75"/>
      <c r="S4615" s="75"/>
    </row>
    <row r="4616" spans="18:19" x14ac:dyDescent="0.25">
      <c r="R4616" s="75"/>
      <c r="S4616" s="75"/>
    </row>
    <row r="4617" spans="18:19" x14ac:dyDescent="0.25">
      <c r="R4617" s="75"/>
      <c r="S4617" s="75"/>
    </row>
    <row r="4618" spans="18:19" x14ac:dyDescent="0.25">
      <c r="R4618" s="75"/>
      <c r="S4618" s="75"/>
    </row>
    <row r="4619" spans="18:19" x14ac:dyDescent="0.25">
      <c r="R4619" s="75"/>
      <c r="S4619" s="75"/>
    </row>
    <row r="4620" spans="18:19" x14ac:dyDescent="0.25">
      <c r="R4620" s="75"/>
      <c r="S4620" s="75"/>
    </row>
    <row r="4621" spans="18:19" x14ac:dyDescent="0.25">
      <c r="R4621" s="75"/>
      <c r="S4621" s="75"/>
    </row>
    <row r="4622" spans="18:19" x14ac:dyDescent="0.25">
      <c r="R4622" s="75"/>
      <c r="S4622" s="75"/>
    </row>
    <row r="4623" spans="18:19" x14ac:dyDescent="0.25">
      <c r="R4623" s="75"/>
      <c r="S4623" s="75"/>
    </row>
    <row r="4624" spans="18:19" x14ac:dyDescent="0.25">
      <c r="R4624" s="75"/>
      <c r="S4624" s="75"/>
    </row>
    <row r="4625" spans="18:19" x14ac:dyDescent="0.25">
      <c r="R4625" s="75"/>
      <c r="S4625" s="75"/>
    </row>
    <row r="4626" spans="18:19" x14ac:dyDescent="0.25">
      <c r="R4626" s="75"/>
      <c r="S4626" s="75"/>
    </row>
    <row r="4627" spans="18:19" x14ac:dyDescent="0.25">
      <c r="R4627" s="75"/>
      <c r="S4627" s="75"/>
    </row>
    <row r="4628" spans="18:19" x14ac:dyDescent="0.25">
      <c r="R4628" s="75"/>
      <c r="S4628" s="75"/>
    </row>
    <row r="4629" spans="18:19" x14ac:dyDescent="0.25">
      <c r="R4629" s="75"/>
      <c r="S4629" s="75"/>
    </row>
    <row r="4630" spans="18:19" x14ac:dyDescent="0.25">
      <c r="R4630" s="75"/>
      <c r="S4630" s="75"/>
    </row>
    <row r="4631" spans="18:19" x14ac:dyDescent="0.25">
      <c r="R4631" s="75"/>
      <c r="S4631" s="75"/>
    </row>
    <row r="4632" spans="18:19" x14ac:dyDescent="0.25">
      <c r="R4632" s="75"/>
      <c r="S4632" s="75"/>
    </row>
    <row r="4633" spans="18:19" x14ac:dyDescent="0.25">
      <c r="R4633" s="75"/>
      <c r="S4633" s="75"/>
    </row>
    <row r="4634" spans="18:19" x14ac:dyDescent="0.25">
      <c r="R4634" s="75"/>
      <c r="S4634" s="75"/>
    </row>
    <row r="4635" spans="18:19" x14ac:dyDescent="0.25">
      <c r="R4635" s="75"/>
      <c r="S4635" s="75"/>
    </row>
    <row r="4636" spans="18:19" x14ac:dyDescent="0.25">
      <c r="R4636" s="75"/>
      <c r="S4636" s="75"/>
    </row>
    <row r="4637" spans="18:19" x14ac:dyDescent="0.25">
      <c r="R4637" s="75"/>
      <c r="S4637" s="75"/>
    </row>
    <row r="4638" spans="18:19" x14ac:dyDescent="0.25">
      <c r="R4638" s="75"/>
      <c r="S4638" s="75"/>
    </row>
    <row r="4639" spans="18:19" x14ac:dyDescent="0.25">
      <c r="R4639" s="75"/>
      <c r="S4639" s="75"/>
    </row>
    <row r="4640" spans="18:19" x14ac:dyDescent="0.25">
      <c r="R4640" s="75"/>
      <c r="S4640" s="75"/>
    </row>
    <row r="4641" spans="18:19" x14ac:dyDescent="0.25">
      <c r="R4641" s="75"/>
      <c r="S4641" s="75"/>
    </row>
    <row r="4642" spans="18:19" x14ac:dyDescent="0.25">
      <c r="R4642" s="75"/>
      <c r="S4642" s="75"/>
    </row>
    <row r="4643" spans="18:19" x14ac:dyDescent="0.25">
      <c r="R4643" s="75"/>
      <c r="S4643" s="75"/>
    </row>
    <row r="4644" spans="18:19" x14ac:dyDescent="0.25">
      <c r="R4644" s="75"/>
      <c r="S4644" s="75"/>
    </row>
    <row r="4645" spans="18:19" x14ac:dyDescent="0.25">
      <c r="R4645" s="75"/>
      <c r="S4645" s="75"/>
    </row>
    <row r="4646" spans="18:19" x14ac:dyDescent="0.25">
      <c r="R4646" s="75"/>
      <c r="S4646" s="75"/>
    </row>
    <row r="4647" spans="18:19" x14ac:dyDescent="0.25">
      <c r="R4647" s="75"/>
      <c r="S4647" s="75"/>
    </row>
    <row r="4648" spans="18:19" x14ac:dyDescent="0.25">
      <c r="R4648" s="75"/>
      <c r="S4648" s="75"/>
    </row>
    <row r="4649" spans="18:19" x14ac:dyDescent="0.25">
      <c r="R4649" s="75"/>
      <c r="S4649" s="75"/>
    </row>
    <row r="4650" spans="18:19" x14ac:dyDescent="0.25">
      <c r="R4650" s="75"/>
      <c r="S4650" s="75"/>
    </row>
    <row r="4651" spans="18:19" x14ac:dyDescent="0.25">
      <c r="R4651" s="75"/>
      <c r="S4651" s="75"/>
    </row>
    <row r="4652" spans="18:19" x14ac:dyDescent="0.25">
      <c r="R4652" s="75"/>
      <c r="S4652" s="75"/>
    </row>
    <row r="4653" spans="18:19" x14ac:dyDescent="0.25">
      <c r="R4653" s="75"/>
      <c r="S4653" s="75"/>
    </row>
    <row r="4654" spans="18:19" x14ac:dyDescent="0.25">
      <c r="R4654" s="75"/>
      <c r="S4654" s="75"/>
    </row>
    <row r="4655" spans="18:19" x14ac:dyDescent="0.25">
      <c r="R4655" s="75"/>
      <c r="S4655" s="75"/>
    </row>
    <row r="4656" spans="18:19" x14ac:dyDescent="0.25">
      <c r="R4656" s="75"/>
      <c r="S4656" s="75"/>
    </row>
    <row r="4657" spans="18:19" x14ac:dyDescent="0.25">
      <c r="R4657" s="75"/>
      <c r="S4657" s="75"/>
    </row>
    <row r="4658" spans="18:19" x14ac:dyDescent="0.25">
      <c r="R4658" s="75"/>
      <c r="S4658" s="75"/>
    </row>
    <row r="4659" spans="18:19" x14ac:dyDescent="0.25">
      <c r="R4659" s="75"/>
      <c r="S4659" s="75"/>
    </row>
    <row r="4660" spans="18:19" x14ac:dyDescent="0.25">
      <c r="R4660" s="75"/>
      <c r="S4660" s="75"/>
    </row>
    <row r="4661" spans="18:19" x14ac:dyDescent="0.25">
      <c r="R4661" s="75"/>
      <c r="S4661" s="75"/>
    </row>
    <row r="4662" spans="18:19" x14ac:dyDescent="0.25">
      <c r="R4662" s="75"/>
      <c r="S4662" s="75"/>
    </row>
    <row r="4663" spans="18:19" x14ac:dyDescent="0.25">
      <c r="R4663" s="75"/>
      <c r="S4663" s="75"/>
    </row>
    <row r="4664" spans="18:19" x14ac:dyDescent="0.25">
      <c r="R4664" s="75"/>
      <c r="S4664" s="75"/>
    </row>
    <row r="4665" spans="18:19" x14ac:dyDescent="0.25">
      <c r="R4665" s="75"/>
      <c r="S4665" s="75"/>
    </row>
    <row r="4666" spans="18:19" x14ac:dyDescent="0.25">
      <c r="R4666" s="75"/>
      <c r="S4666" s="75"/>
    </row>
    <row r="4667" spans="18:19" x14ac:dyDescent="0.25">
      <c r="R4667" s="75"/>
      <c r="S4667" s="75"/>
    </row>
    <row r="4668" spans="18:19" x14ac:dyDescent="0.25">
      <c r="R4668" s="75"/>
      <c r="S4668" s="75"/>
    </row>
    <row r="4669" spans="18:19" x14ac:dyDescent="0.25">
      <c r="R4669" s="75"/>
      <c r="S4669" s="75"/>
    </row>
    <row r="4670" spans="18:19" x14ac:dyDescent="0.25">
      <c r="R4670" s="75"/>
      <c r="S4670" s="75"/>
    </row>
    <row r="4671" spans="18:19" x14ac:dyDescent="0.25">
      <c r="R4671" s="75"/>
      <c r="S4671" s="75"/>
    </row>
    <row r="4672" spans="18:19" x14ac:dyDescent="0.25">
      <c r="R4672" s="75"/>
      <c r="S4672" s="75"/>
    </row>
    <row r="4673" spans="18:19" x14ac:dyDescent="0.25">
      <c r="R4673" s="75"/>
      <c r="S4673" s="75"/>
    </row>
    <row r="4674" spans="18:19" x14ac:dyDescent="0.25">
      <c r="R4674" s="75"/>
      <c r="S4674" s="75"/>
    </row>
    <row r="4675" spans="18:19" x14ac:dyDescent="0.25">
      <c r="R4675" s="75"/>
      <c r="S4675" s="75"/>
    </row>
    <row r="4676" spans="18:19" x14ac:dyDescent="0.25">
      <c r="R4676" s="75"/>
      <c r="S4676" s="75"/>
    </row>
    <row r="4677" spans="18:19" x14ac:dyDescent="0.25">
      <c r="R4677" s="75"/>
      <c r="S4677" s="75"/>
    </row>
    <row r="4678" spans="18:19" x14ac:dyDescent="0.25">
      <c r="R4678" s="75"/>
      <c r="S4678" s="75"/>
    </row>
    <row r="4679" spans="18:19" x14ac:dyDescent="0.25">
      <c r="R4679" s="75"/>
      <c r="S4679" s="75"/>
    </row>
    <row r="4680" spans="18:19" x14ac:dyDescent="0.25">
      <c r="R4680" s="75"/>
      <c r="S4680" s="75"/>
    </row>
    <row r="4681" spans="18:19" x14ac:dyDescent="0.25">
      <c r="R4681" s="75"/>
      <c r="S4681" s="75"/>
    </row>
    <row r="4682" spans="18:19" x14ac:dyDescent="0.25">
      <c r="R4682" s="75"/>
      <c r="S4682" s="75"/>
    </row>
    <row r="4683" spans="18:19" x14ac:dyDescent="0.25">
      <c r="R4683" s="75"/>
      <c r="S4683" s="75"/>
    </row>
    <row r="4684" spans="18:19" x14ac:dyDescent="0.25">
      <c r="R4684" s="75"/>
      <c r="S4684" s="75"/>
    </row>
    <row r="4685" spans="18:19" x14ac:dyDescent="0.25">
      <c r="R4685" s="75"/>
      <c r="S4685" s="75"/>
    </row>
    <row r="4686" spans="18:19" x14ac:dyDescent="0.25">
      <c r="R4686" s="75"/>
      <c r="S4686" s="75"/>
    </row>
    <row r="4687" spans="18:19" x14ac:dyDescent="0.25">
      <c r="R4687" s="75"/>
      <c r="S4687" s="75"/>
    </row>
    <row r="4688" spans="18:19" x14ac:dyDescent="0.25">
      <c r="R4688" s="75"/>
      <c r="S4688" s="75"/>
    </row>
    <row r="4689" spans="18:19" x14ac:dyDescent="0.25">
      <c r="R4689" s="75"/>
      <c r="S4689" s="75"/>
    </row>
    <row r="4690" spans="18:19" x14ac:dyDescent="0.25">
      <c r="R4690" s="75"/>
      <c r="S4690" s="75"/>
    </row>
    <row r="4691" spans="18:19" x14ac:dyDescent="0.25">
      <c r="R4691" s="75"/>
      <c r="S4691" s="75"/>
    </row>
    <row r="4692" spans="18:19" x14ac:dyDescent="0.25">
      <c r="R4692" s="75"/>
      <c r="S4692" s="75"/>
    </row>
    <row r="4693" spans="18:19" x14ac:dyDescent="0.25">
      <c r="R4693" s="75"/>
      <c r="S4693" s="75"/>
    </row>
    <row r="4694" spans="18:19" x14ac:dyDescent="0.25">
      <c r="R4694" s="75"/>
      <c r="S4694" s="75"/>
    </row>
    <row r="4695" spans="18:19" x14ac:dyDescent="0.25">
      <c r="R4695" s="75"/>
      <c r="S4695" s="75"/>
    </row>
    <row r="4696" spans="18:19" x14ac:dyDescent="0.25">
      <c r="R4696" s="75"/>
      <c r="S4696" s="75"/>
    </row>
    <row r="4697" spans="18:19" x14ac:dyDescent="0.25">
      <c r="R4697" s="75"/>
      <c r="S4697" s="75"/>
    </row>
    <row r="4698" spans="18:19" x14ac:dyDescent="0.25">
      <c r="R4698" s="75"/>
      <c r="S4698" s="75"/>
    </row>
    <row r="4699" spans="18:19" x14ac:dyDescent="0.25">
      <c r="R4699" s="75"/>
      <c r="S4699" s="75"/>
    </row>
    <row r="4700" spans="18:19" x14ac:dyDescent="0.25">
      <c r="R4700" s="75"/>
      <c r="S4700" s="75"/>
    </row>
    <row r="4701" spans="18:19" x14ac:dyDescent="0.25">
      <c r="R4701" s="75"/>
      <c r="S4701" s="75"/>
    </row>
    <row r="4702" spans="18:19" x14ac:dyDescent="0.25">
      <c r="R4702" s="75"/>
      <c r="S4702" s="75"/>
    </row>
    <row r="4703" spans="18:19" x14ac:dyDescent="0.25">
      <c r="R4703" s="75"/>
      <c r="S4703" s="75"/>
    </row>
    <row r="4704" spans="18:19" x14ac:dyDescent="0.25">
      <c r="R4704" s="75"/>
      <c r="S4704" s="75"/>
    </row>
    <row r="4705" spans="18:19" x14ac:dyDescent="0.25">
      <c r="R4705" s="75"/>
      <c r="S4705" s="75"/>
    </row>
    <row r="4706" spans="18:19" x14ac:dyDescent="0.25">
      <c r="R4706" s="75"/>
      <c r="S4706" s="75"/>
    </row>
    <row r="4707" spans="18:19" x14ac:dyDescent="0.25">
      <c r="R4707" s="75"/>
      <c r="S4707" s="75"/>
    </row>
    <row r="4708" spans="18:19" x14ac:dyDescent="0.25">
      <c r="R4708" s="75"/>
      <c r="S4708" s="75"/>
    </row>
    <row r="4709" spans="18:19" x14ac:dyDescent="0.25">
      <c r="R4709" s="75"/>
      <c r="S4709" s="75"/>
    </row>
    <row r="4710" spans="18:19" x14ac:dyDescent="0.25">
      <c r="R4710" s="75"/>
      <c r="S4710" s="75"/>
    </row>
    <row r="4711" spans="18:19" x14ac:dyDescent="0.25">
      <c r="R4711" s="75"/>
      <c r="S4711" s="75"/>
    </row>
    <row r="4712" spans="18:19" x14ac:dyDescent="0.25">
      <c r="R4712" s="75"/>
      <c r="S4712" s="75"/>
    </row>
    <row r="4713" spans="18:19" x14ac:dyDescent="0.25">
      <c r="R4713" s="75"/>
      <c r="S4713" s="75"/>
    </row>
    <row r="4714" spans="18:19" x14ac:dyDescent="0.25">
      <c r="R4714" s="75"/>
      <c r="S4714" s="75"/>
    </row>
    <row r="4715" spans="18:19" x14ac:dyDescent="0.25">
      <c r="R4715" s="75"/>
      <c r="S4715" s="75"/>
    </row>
    <row r="4716" spans="18:19" x14ac:dyDescent="0.25">
      <c r="R4716" s="75"/>
      <c r="S4716" s="75"/>
    </row>
    <row r="4717" spans="18:19" x14ac:dyDescent="0.25">
      <c r="R4717" s="75"/>
      <c r="S4717" s="75"/>
    </row>
    <row r="4718" spans="18:19" x14ac:dyDescent="0.25">
      <c r="R4718" s="75"/>
      <c r="S4718" s="75"/>
    </row>
    <row r="4719" spans="18:19" x14ac:dyDescent="0.25">
      <c r="R4719" s="75"/>
      <c r="S4719" s="75"/>
    </row>
    <row r="4720" spans="18:19" x14ac:dyDescent="0.25">
      <c r="R4720" s="75"/>
      <c r="S4720" s="75"/>
    </row>
    <row r="4721" spans="18:19" x14ac:dyDescent="0.25">
      <c r="R4721" s="75"/>
      <c r="S4721" s="75"/>
    </row>
    <row r="4722" spans="18:19" x14ac:dyDescent="0.25">
      <c r="R4722" s="75"/>
      <c r="S4722" s="75"/>
    </row>
    <row r="4723" spans="18:19" x14ac:dyDescent="0.25">
      <c r="R4723" s="75"/>
      <c r="S4723" s="75"/>
    </row>
    <row r="4724" spans="18:19" x14ac:dyDescent="0.25">
      <c r="R4724" s="75"/>
      <c r="S4724" s="75"/>
    </row>
    <row r="4725" spans="18:19" x14ac:dyDescent="0.25">
      <c r="R4725" s="75"/>
      <c r="S4725" s="75"/>
    </row>
    <row r="4726" spans="18:19" x14ac:dyDescent="0.25">
      <c r="R4726" s="75"/>
      <c r="S4726" s="75"/>
    </row>
    <row r="4727" spans="18:19" x14ac:dyDescent="0.25">
      <c r="R4727" s="75"/>
      <c r="S4727" s="75"/>
    </row>
    <row r="4728" spans="18:19" x14ac:dyDescent="0.25">
      <c r="R4728" s="75"/>
      <c r="S4728" s="75"/>
    </row>
    <row r="4729" spans="18:19" x14ac:dyDescent="0.25">
      <c r="R4729" s="75"/>
      <c r="S4729" s="75"/>
    </row>
    <row r="4730" spans="18:19" x14ac:dyDescent="0.25">
      <c r="R4730" s="75"/>
      <c r="S4730" s="75"/>
    </row>
    <row r="4731" spans="18:19" x14ac:dyDescent="0.25">
      <c r="R4731" s="75"/>
      <c r="S4731" s="75"/>
    </row>
    <row r="4732" spans="18:19" x14ac:dyDescent="0.25">
      <c r="R4732" s="75"/>
      <c r="S4732" s="75"/>
    </row>
    <row r="4733" spans="18:19" x14ac:dyDescent="0.25">
      <c r="R4733" s="75"/>
      <c r="S4733" s="75"/>
    </row>
    <row r="4734" spans="18:19" x14ac:dyDescent="0.25">
      <c r="R4734" s="75"/>
      <c r="S4734" s="75"/>
    </row>
    <row r="4735" spans="18:19" x14ac:dyDescent="0.25">
      <c r="R4735" s="75"/>
      <c r="S4735" s="75"/>
    </row>
    <row r="4736" spans="18:19" x14ac:dyDescent="0.25">
      <c r="R4736" s="75"/>
      <c r="S4736" s="75"/>
    </row>
    <row r="4737" spans="18:19" x14ac:dyDescent="0.25">
      <c r="R4737" s="75"/>
      <c r="S4737" s="75"/>
    </row>
    <row r="4738" spans="18:19" x14ac:dyDescent="0.25">
      <c r="R4738" s="75"/>
      <c r="S4738" s="75"/>
    </row>
    <row r="4739" spans="18:19" x14ac:dyDescent="0.25">
      <c r="R4739" s="75"/>
      <c r="S4739" s="75"/>
    </row>
    <row r="4740" spans="18:19" x14ac:dyDescent="0.25">
      <c r="R4740" s="75"/>
      <c r="S4740" s="75"/>
    </row>
    <row r="4741" spans="18:19" x14ac:dyDescent="0.25">
      <c r="R4741" s="75"/>
      <c r="S4741" s="75"/>
    </row>
    <row r="4742" spans="18:19" x14ac:dyDescent="0.25">
      <c r="R4742" s="75"/>
      <c r="S4742" s="75"/>
    </row>
    <row r="4743" spans="18:19" x14ac:dyDescent="0.25">
      <c r="R4743" s="75"/>
      <c r="S4743" s="75"/>
    </row>
    <row r="4744" spans="18:19" x14ac:dyDescent="0.25">
      <c r="R4744" s="75"/>
      <c r="S4744" s="75"/>
    </row>
    <row r="4745" spans="18:19" x14ac:dyDescent="0.25">
      <c r="R4745" s="75"/>
      <c r="S4745" s="75"/>
    </row>
    <row r="4746" spans="18:19" x14ac:dyDescent="0.25">
      <c r="R4746" s="75"/>
      <c r="S4746" s="75"/>
    </row>
    <row r="4747" spans="18:19" x14ac:dyDescent="0.25">
      <c r="R4747" s="75"/>
      <c r="S4747" s="75"/>
    </row>
    <row r="4748" spans="18:19" x14ac:dyDescent="0.25">
      <c r="R4748" s="75"/>
      <c r="S4748" s="75"/>
    </row>
    <row r="4749" spans="18:19" x14ac:dyDescent="0.25">
      <c r="R4749" s="75"/>
      <c r="S4749" s="75"/>
    </row>
    <row r="4750" spans="18:19" x14ac:dyDescent="0.25">
      <c r="R4750" s="75"/>
      <c r="S4750" s="75"/>
    </row>
    <row r="4751" spans="18:19" x14ac:dyDescent="0.25">
      <c r="R4751" s="75"/>
      <c r="S4751" s="75"/>
    </row>
    <row r="4752" spans="18:19" x14ac:dyDescent="0.25">
      <c r="R4752" s="75"/>
      <c r="S4752" s="75"/>
    </row>
    <row r="4753" spans="18:19" x14ac:dyDescent="0.25">
      <c r="R4753" s="75"/>
      <c r="S4753" s="75"/>
    </row>
    <row r="4754" spans="18:19" x14ac:dyDescent="0.25">
      <c r="R4754" s="75"/>
      <c r="S4754" s="75"/>
    </row>
    <row r="4755" spans="18:19" x14ac:dyDescent="0.25">
      <c r="R4755" s="75"/>
      <c r="S4755" s="75"/>
    </row>
    <row r="4756" spans="18:19" x14ac:dyDescent="0.25">
      <c r="R4756" s="75"/>
      <c r="S4756" s="75"/>
    </row>
    <row r="4757" spans="18:19" x14ac:dyDescent="0.25">
      <c r="R4757" s="75"/>
      <c r="S4757" s="75"/>
    </row>
    <row r="4758" spans="18:19" x14ac:dyDescent="0.25">
      <c r="R4758" s="75"/>
      <c r="S4758" s="75"/>
    </row>
    <row r="4759" spans="18:19" x14ac:dyDescent="0.25">
      <c r="R4759" s="75"/>
      <c r="S4759" s="75"/>
    </row>
    <row r="4760" spans="18:19" x14ac:dyDescent="0.25">
      <c r="R4760" s="75"/>
      <c r="S4760" s="75"/>
    </row>
    <row r="4761" spans="18:19" x14ac:dyDescent="0.25">
      <c r="R4761" s="75"/>
      <c r="S4761" s="75"/>
    </row>
    <row r="4762" spans="18:19" x14ac:dyDescent="0.25">
      <c r="R4762" s="75"/>
      <c r="S4762" s="75"/>
    </row>
    <row r="4763" spans="18:19" x14ac:dyDescent="0.25">
      <c r="R4763" s="75"/>
      <c r="S4763" s="75"/>
    </row>
    <row r="4764" spans="18:19" x14ac:dyDescent="0.25">
      <c r="R4764" s="75"/>
      <c r="S4764" s="75"/>
    </row>
    <row r="4765" spans="18:19" x14ac:dyDescent="0.25">
      <c r="R4765" s="75"/>
      <c r="S4765" s="75"/>
    </row>
    <row r="4766" spans="18:19" x14ac:dyDescent="0.25">
      <c r="R4766" s="75"/>
      <c r="S4766" s="75"/>
    </row>
    <row r="4767" spans="18:19" x14ac:dyDescent="0.25">
      <c r="R4767" s="75"/>
      <c r="S4767" s="75"/>
    </row>
    <row r="4768" spans="18:19" x14ac:dyDescent="0.25">
      <c r="R4768" s="75"/>
      <c r="S4768" s="75"/>
    </row>
    <row r="4769" spans="18:19" x14ac:dyDescent="0.25">
      <c r="R4769" s="75"/>
      <c r="S4769" s="75"/>
    </row>
    <row r="4770" spans="18:19" x14ac:dyDescent="0.25">
      <c r="R4770" s="75"/>
      <c r="S4770" s="75"/>
    </row>
    <row r="4771" spans="18:19" x14ac:dyDescent="0.25">
      <c r="R4771" s="75"/>
      <c r="S4771" s="75"/>
    </row>
    <row r="4772" spans="18:19" x14ac:dyDescent="0.25">
      <c r="R4772" s="75"/>
      <c r="S4772" s="75"/>
    </row>
    <row r="4773" spans="18:19" x14ac:dyDescent="0.25">
      <c r="R4773" s="75"/>
      <c r="S4773" s="75"/>
    </row>
    <row r="4774" spans="18:19" x14ac:dyDescent="0.25">
      <c r="R4774" s="75"/>
      <c r="S4774" s="75"/>
    </row>
    <row r="4775" spans="18:19" x14ac:dyDescent="0.25">
      <c r="R4775" s="75"/>
      <c r="S4775" s="75"/>
    </row>
    <row r="4776" spans="18:19" x14ac:dyDescent="0.25">
      <c r="R4776" s="75"/>
      <c r="S4776" s="75"/>
    </row>
    <row r="4777" spans="18:19" x14ac:dyDescent="0.25">
      <c r="R4777" s="75"/>
      <c r="S4777" s="75"/>
    </row>
    <row r="4778" spans="18:19" x14ac:dyDescent="0.25">
      <c r="R4778" s="75"/>
      <c r="S4778" s="75"/>
    </row>
    <row r="4779" spans="18:19" x14ac:dyDescent="0.25">
      <c r="R4779" s="75"/>
      <c r="S4779" s="75"/>
    </row>
    <row r="4780" spans="18:19" x14ac:dyDescent="0.25">
      <c r="R4780" s="75"/>
      <c r="S4780" s="75"/>
    </row>
    <row r="4781" spans="18:19" x14ac:dyDescent="0.25">
      <c r="R4781" s="75"/>
      <c r="S4781" s="75"/>
    </row>
    <row r="4782" spans="18:19" x14ac:dyDescent="0.25">
      <c r="R4782" s="75"/>
      <c r="S4782" s="75"/>
    </row>
    <row r="4783" spans="18:19" x14ac:dyDescent="0.25">
      <c r="R4783" s="75"/>
      <c r="S4783" s="75"/>
    </row>
    <row r="4784" spans="18:19" x14ac:dyDescent="0.25">
      <c r="R4784" s="75"/>
      <c r="S4784" s="75"/>
    </row>
    <row r="4785" spans="18:19" x14ac:dyDescent="0.25">
      <c r="R4785" s="75"/>
      <c r="S4785" s="75"/>
    </row>
    <row r="4786" spans="18:19" x14ac:dyDescent="0.25">
      <c r="R4786" s="75"/>
      <c r="S4786" s="75"/>
    </row>
    <row r="4787" spans="18:19" x14ac:dyDescent="0.25">
      <c r="R4787" s="75"/>
      <c r="S4787" s="75"/>
    </row>
    <row r="4788" spans="18:19" x14ac:dyDescent="0.25">
      <c r="R4788" s="75"/>
      <c r="S4788" s="75"/>
    </row>
    <row r="4789" spans="18:19" x14ac:dyDescent="0.25">
      <c r="R4789" s="75"/>
      <c r="S4789" s="75"/>
    </row>
    <row r="4790" spans="18:19" x14ac:dyDescent="0.25">
      <c r="R4790" s="75"/>
      <c r="S4790" s="75"/>
    </row>
    <row r="4791" spans="18:19" x14ac:dyDescent="0.25">
      <c r="R4791" s="75"/>
      <c r="S4791" s="75"/>
    </row>
    <row r="4792" spans="18:19" x14ac:dyDescent="0.25">
      <c r="R4792" s="75"/>
      <c r="S4792" s="75"/>
    </row>
    <row r="4793" spans="18:19" x14ac:dyDescent="0.25">
      <c r="R4793" s="75"/>
      <c r="S4793" s="75"/>
    </row>
    <row r="4794" spans="18:19" x14ac:dyDescent="0.25">
      <c r="R4794" s="75"/>
      <c r="S4794" s="75"/>
    </row>
    <row r="4795" spans="18:19" x14ac:dyDescent="0.25">
      <c r="R4795" s="75"/>
      <c r="S4795" s="75"/>
    </row>
    <row r="4796" spans="18:19" x14ac:dyDescent="0.25">
      <c r="R4796" s="75"/>
      <c r="S4796" s="75"/>
    </row>
    <row r="4797" spans="18:19" x14ac:dyDescent="0.25">
      <c r="R4797" s="75"/>
      <c r="S4797" s="75"/>
    </row>
    <row r="4798" spans="18:19" x14ac:dyDescent="0.25">
      <c r="R4798" s="75"/>
      <c r="S4798" s="75"/>
    </row>
    <row r="4799" spans="18:19" x14ac:dyDescent="0.25">
      <c r="R4799" s="75"/>
      <c r="S4799" s="75"/>
    </row>
    <row r="4800" spans="18:19" x14ac:dyDescent="0.25">
      <c r="R4800" s="75"/>
      <c r="S4800" s="75"/>
    </row>
    <row r="4801" spans="18:19" x14ac:dyDescent="0.25">
      <c r="R4801" s="75"/>
      <c r="S4801" s="75"/>
    </row>
    <row r="4802" spans="18:19" x14ac:dyDescent="0.25">
      <c r="R4802" s="75"/>
      <c r="S4802" s="75"/>
    </row>
    <row r="4803" spans="18:19" x14ac:dyDescent="0.25">
      <c r="R4803" s="75"/>
      <c r="S4803" s="75"/>
    </row>
    <row r="4804" spans="18:19" x14ac:dyDescent="0.25">
      <c r="R4804" s="75"/>
      <c r="S4804" s="75"/>
    </row>
    <row r="4805" spans="18:19" x14ac:dyDescent="0.25">
      <c r="R4805" s="75"/>
      <c r="S4805" s="75"/>
    </row>
    <row r="4806" spans="18:19" x14ac:dyDescent="0.25">
      <c r="R4806" s="75"/>
      <c r="S4806" s="75"/>
    </row>
    <row r="4807" spans="18:19" x14ac:dyDescent="0.25">
      <c r="R4807" s="75"/>
      <c r="S4807" s="75"/>
    </row>
    <row r="4808" spans="18:19" x14ac:dyDescent="0.25">
      <c r="R4808" s="75"/>
      <c r="S4808" s="75"/>
    </row>
    <row r="4809" spans="18:19" x14ac:dyDescent="0.25">
      <c r="R4809" s="75"/>
      <c r="S4809" s="75"/>
    </row>
    <row r="4810" spans="18:19" x14ac:dyDescent="0.25">
      <c r="R4810" s="75"/>
      <c r="S4810" s="75"/>
    </row>
    <row r="4811" spans="18:19" x14ac:dyDescent="0.25">
      <c r="R4811" s="75"/>
      <c r="S4811" s="75"/>
    </row>
    <row r="4812" spans="18:19" x14ac:dyDescent="0.25">
      <c r="R4812" s="75"/>
      <c r="S4812" s="75"/>
    </row>
    <row r="4813" spans="18:19" x14ac:dyDescent="0.25">
      <c r="R4813" s="75"/>
      <c r="S4813" s="75"/>
    </row>
    <row r="4814" spans="18:19" x14ac:dyDescent="0.25">
      <c r="R4814" s="75"/>
      <c r="S4814" s="75"/>
    </row>
    <row r="4815" spans="18:19" x14ac:dyDescent="0.25">
      <c r="R4815" s="75"/>
      <c r="S4815" s="75"/>
    </row>
    <row r="4816" spans="18:19" x14ac:dyDescent="0.25">
      <c r="R4816" s="75"/>
      <c r="S4816" s="75"/>
    </row>
    <row r="4817" spans="18:19" x14ac:dyDescent="0.25">
      <c r="R4817" s="75"/>
      <c r="S4817" s="75"/>
    </row>
    <row r="4818" spans="18:19" x14ac:dyDescent="0.25">
      <c r="R4818" s="75"/>
      <c r="S4818" s="75"/>
    </row>
    <row r="4819" spans="18:19" x14ac:dyDescent="0.25">
      <c r="R4819" s="75"/>
      <c r="S4819" s="75"/>
    </row>
    <row r="4820" spans="18:19" x14ac:dyDescent="0.25">
      <c r="R4820" s="75"/>
      <c r="S4820" s="75"/>
    </row>
    <row r="4821" spans="18:19" x14ac:dyDescent="0.25">
      <c r="R4821" s="75"/>
      <c r="S4821" s="75"/>
    </row>
    <row r="4822" spans="18:19" x14ac:dyDescent="0.25">
      <c r="R4822" s="75"/>
      <c r="S4822" s="75"/>
    </row>
    <row r="4823" spans="18:19" x14ac:dyDescent="0.25">
      <c r="R4823" s="75"/>
      <c r="S4823" s="75"/>
    </row>
    <row r="4824" spans="18:19" x14ac:dyDescent="0.25">
      <c r="R4824" s="75"/>
      <c r="S4824" s="75"/>
    </row>
    <row r="4825" spans="18:19" x14ac:dyDescent="0.25">
      <c r="R4825" s="75"/>
      <c r="S4825" s="75"/>
    </row>
    <row r="4826" spans="18:19" x14ac:dyDescent="0.25">
      <c r="R4826" s="75"/>
      <c r="S4826" s="75"/>
    </row>
    <row r="4827" spans="18:19" x14ac:dyDescent="0.25">
      <c r="R4827" s="75"/>
      <c r="S4827" s="75"/>
    </row>
    <row r="4828" spans="18:19" x14ac:dyDescent="0.25">
      <c r="R4828" s="75"/>
      <c r="S4828" s="75"/>
    </row>
    <row r="4829" spans="18:19" x14ac:dyDescent="0.25">
      <c r="R4829" s="75"/>
      <c r="S4829" s="75"/>
    </row>
    <row r="4830" spans="18:19" x14ac:dyDescent="0.25">
      <c r="R4830" s="75"/>
      <c r="S4830" s="75"/>
    </row>
    <row r="4831" spans="18:19" x14ac:dyDescent="0.25">
      <c r="R4831" s="75"/>
      <c r="S4831" s="75"/>
    </row>
    <row r="4832" spans="18:19" x14ac:dyDescent="0.25">
      <c r="R4832" s="75"/>
      <c r="S4832" s="75"/>
    </row>
    <row r="4833" spans="18:19" x14ac:dyDescent="0.25">
      <c r="R4833" s="75"/>
      <c r="S4833" s="75"/>
    </row>
    <row r="4834" spans="18:19" x14ac:dyDescent="0.25">
      <c r="R4834" s="75"/>
      <c r="S4834" s="75"/>
    </row>
    <row r="4835" spans="18:19" x14ac:dyDescent="0.25">
      <c r="R4835" s="75"/>
      <c r="S4835" s="75"/>
    </row>
    <row r="4836" spans="18:19" x14ac:dyDescent="0.25">
      <c r="R4836" s="75"/>
      <c r="S4836" s="75"/>
    </row>
    <row r="4837" spans="18:19" x14ac:dyDescent="0.25">
      <c r="R4837" s="75"/>
      <c r="S4837" s="75"/>
    </row>
    <row r="4838" spans="18:19" x14ac:dyDescent="0.25">
      <c r="R4838" s="75"/>
      <c r="S4838" s="75"/>
    </row>
    <row r="4839" spans="18:19" x14ac:dyDescent="0.25">
      <c r="R4839" s="75"/>
      <c r="S4839" s="75"/>
    </row>
    <row r="4840" spans="18:19" x14ac:dyDescent="0.25">
      <c r="R4840" s="75"/>
      <c r="S4840" s="75"/>
    </row>
    <row r="4841" spans="18:19" x14ac:dyDescent="0.25">
      <c r="R4841" s="75"/>
      <c r="S4841" s="75"/>
    </row>
    <row r="4842" spans="18:19" x14ac:dyDescent="0.25">
      <c r="R4842" s="75"/>
      <c r="S4842" s="75"/>
    </row>
    <row r="4843" spans="18:19" x14ac:dyDescent="0.25">
      <c r="R4843" s="75"/>
      <c r="S4843" s="75"/>
    </row>
    <row r="4844" spans="18:19" x14ac:dyDescent="0.25">
      <c r="R4844" s="75"/>
      <c r="S4844" s="75"/>
    </row>
    <row r="4845" spans="18:19" x14ac:dyDescent="0.25">
      <c r="R4845" s="75"/>
      <c r="S4845" s="75"/>
    </row>
    <row r="4846" spans="18:19" x14ac:dyDescent="0.25">
      <c r="R4846" s="75"/>
      <c r="S4846" s="75"/>
    </row>
    <row r="4847" spans="18:19" x14ac:dyDescent="0.25">
      <c r="R4847" s="75"/>
      <c r="S4847" s="75"/>
    </row>
    <row r="4848" spans="18:19" x14ac:dyDescent="0.25">
      <c r="R4848" s="75"/>
      <c r="S4848" s="75"/>
    </row>
    <row r="4849" spans="18:19" x14ac:dyDescent="0.25">
      <c r="R4849" s="75"/>
      <c r="S4849" s="75"/>
    </row>
    <row r="4850" spans="18:19" x14ac:dyDescent="0.25">
      <c r="R4850" s="75"/>
      <c r="S4850" s="75"/>
    </row>
    <row r="4851" spans="18:19" x14ac:dyDescent="0.25">
      <c r="R4851" s="75"/>
      <c r="S4851" s="75"/>
    </row>
    <row r="4852" spans="18:19" x14ac:dyDescent="0.25">
      <c r="R4852" s="75"/>
      <c r="S4852" s="75"/>
    </row>
    <row r="4853" spans="18:19" x14ac:dyDescent="0.25">
      <c r="R4853" s="75"/>
      <c r="S4853" s="75"/>
    </row>
    <row r="4854" spans="18:19" x14ac:dyDescent="0.25">
      <c r="R4854" s="75"/>
      <c r="S4854" s="75"/>
    </row>
    <row r="4855" spans="18:19" x14ac:dyDescent="0.25">
      <c r="R4855" s="75"/>
      <c r="S4855" s="75"/>
    </row>
    <row r="4856" spans="18:19" x14ac:dyDescent="0.25">
      <c r="R4856" s="75"/>
      <c r="S4856" s="75"/>
    </row>
    <row r="4857" spans="18:19" x14ac:dyDescent="0.25">
      <c r="R4857" s="75"/>
      <c r="S4857" s="75"/>
    </row>
    <row r="4858" spans="18:19" x14ac:dyDescent="0.25">
      <c r="R4858" s="75"/>
      <c r="S4858" s="75"/>
    </row>
    <row r="4859" spans="18:19" x14ac:dyDescent="0.25">
      <c r="R4859" s="75"/>
      <c r="S4859" s="75"/>
    </row>
    <row r="4860" spans="18:19" x14ac:dyDescent="0.25">
      <c r="R4860" s="75"/>
      <c r="S4860" s="75"/>
    </row>
    <row r="4861" spans="18:19" x14ac:dyDescent="0.25">
      <c r="R4861" s="75"/>
      <c r="S4861" s="75"/>
    </row>
    <row r="4862" spans="18:19" x14ac:dyDescent="0.25">
      <c r="R4862" s="75"/>
      <c r="S4862" s="75"/>
    </row>
    <row r="4863" spans="18:19" x14ac:dyDescent="0.25">
      <c r="R4863" s="75"/>
      <c r="S4863" s="75"/>
    </row>
    <row r="4864" spans="18:19" x14ac:dyDescent="0.25">
      <c r="R4864" s="75"/>
      <c r="S4864" s="75"/>
    </row>
    <row r="4865" spans="18:19" x14ac:dyDescent="0.25">
      <c r="R4865" s="75"/>
      <c r="S4865" s="75"/>
    </row>
    <row r="4866" spans="18:19" x14ac:dyDescent="0.25">
      <c r="R4866" s="75"/>
      <c r="S4866" s="75"/>
    </row>
    <row r="4867" spans="18:19" x14ac:dyDescent="0.25">
      <c r="R4867" s="75"/>
      <c r="S4867" s="75"/>
    </row>
    <row r="4868" spans="18:19" x14ac:dyDescent="0.25">
      <c r="R4868" s="75"/>
      <c r="S4868" s="75"/>
    </row>
    <row r="4869" spans="18:19" x14ac:dyDescent="0.25">
      <c r="R4869" s="75"/>
      <c r="S4869" s="75"/>
    </row>
    <row r="4870" spans="18:19" x14ac:dyDescent="0.25">
      <c r="R4870" s="75"/>
      <c r="S4870" s="75"/>
    </row>
    <row r="4871" spans="18:19" x14ac:dyDescent="0.25">
      <c r="R4871" s="75"/>
      <c r="S4871" s="75"/>
    </row>
    <row r="4872" spans="18:19" x14ac:dyDescent="0.25">
      <c r="R4872" s="75"/>
      <c r="S4872" s="75"/>
    </row>
    <row r="4873" spans="18:19" x14ac:dyDescent="0.25">
      <c r="R4873" s="75"/>
      <c r="S4873" s="75"/>
    </row>
    <row r="4874" spans="18:19" x14ac:dyDescent="0.25">
      <c r="R4874" s="75"/>
      <c r="S4874" s="75"/>
    </row>
    <row r="4875" spans="18:19" x14ac:dyDescent="0.25">
      <c r="R4875" s="75"/>
      <c r="S4875" s="75"/>
    </row>
    <row r="4876" spans="18:19" x14ac:dyDescent="0.25">
      <c r="R4876" s="75"/>
      <c r="S4876" s="75"/>
    </row>
    <row r="4877" spans="18:19" x14ac:dyDescent="0.25">
      <c r="R4877" s="75"/>
      <c r="S4877" s="75"/>
    </row>
    <row r="4878" spans="18:19" x14ac:dyDescent="0.25">
      <c r="R4878" s="75"/>
      <c r="S4878" s="75"/>
    </row>
    <row r="4879" spans="18:19" x14ac:dyDescent="0.25">
      <c r="R4879" s="75"/>
      <c r="S4879" s="75"/>
    </row>
    <row r="4880" spans="18:19" x14ac:dyDescent="0.25">
      <c r="R4880" s="75"/>
      <c r="S4880" s="75"/>
    </row>
    <row r="4881" spans="18:19" x14ac:dyDescent="0.25">
      <c r="R4881" s="75"/>
      <c r="S4881" s="75"/>
    </row>
    <row r="4882" spans="18:19" x14ac:dyDescent="0.25">
      <c r="R4882" s="75"/>
      <c r="S4882" s="75"/>
    </row>
    <row r="4883" spans="18:19" x14ac:dyDescent="0.25">
      <c r="R4883" s="75"/>
      <c r="S4883" s="75"/>
    </row>
    <row r="4884" spans="18:19" x14ac:dyDescent="0.25">
      <c r="R4884" s="75"/>
      <c r="S4884" s="75"/>
    </row>
    <row r="4885" spans="18:19" x14ac:dyDescent="0.25">
      <c r="R4885" s="75"/>
      <c r="S4885" s="75"/>
    </row>
    <row r="4886" spans="18:19" x14ac:dyDescent="0.25">
      <c r="R4886" s="75"/>
      <c r="S4886" s="75"/>
    </row>
    <row r="4887" spans="18:19" x14ac:dyDescent="0.25">
      <c r="R4887" s="75"/>
      <c r="S4887" s="75"/>
    </row>
    <row r="4888" spans="18:19" x14ac:dyDescent="0.25">
      <c r="R4888" s="75"/>
      <c r="S4888" s="75"/>
    </row>
    <row r="4889" spans="18:19" x14ac:dyDescent="0.25">
      <c r="R4889" s="75"/>
      <c r="S4889" s="75"/>
    </row>
    <row r="4890" spans="18:19" x14ac:dyDescent="0.25">
      <c r="R4890" s="75"/>
      <c r="S4890" s="75"/>
    </row>
    <row r="4891" spans="18:19" x14ac:dyDescent="0.25">
      <c r="R4891" s="75"/>
      <c r="S4891" s="75"/>
    </row>
    <row r="4892" spans="18:19" x14ac:dyDescent="0.25">
      <c r="R4892" s="75"/>
      <c r="S4892" s="75"/>
    </row>
    <row r="4893" spans="18:19" x14ac:dyDescent="0.25">
      <c r="R4893" s="75"/>
      <c r="S4893" s="75"/>
    </row>
    <row r="4894" spans="18:19" x14ac:dyDescent="0.25">
      <c r="R4894" s="75"/>
      <c r="S4894" s="75"/>
    </row>
    <row r="4895" spans="18:19" x14ac:dyDescent="0.25">
      <c r="R4895" s="75"/>
      <c r="S4895" s="75"/>
    </row>
    <row r="4896" spans="18:19" x14ac:dyDescent="0.25">
      <c r="R4896" s="75"/>
      <c r="S4896" s="75"/>
    </row>
    <row r="4897" spans="18:19" x14ac:dyDescent="0.25">
      <c r="R4897" s="75"/>
      <c r="S4897" s="75"/>
    </row>
    <row r="4898" spans="18:19" x14ac:dyDescent="0.25">
      <c r="R4898" s="75"/>
      <c r="S4898" s="75"/>
    </row>
    <row r="4899" spans="18:19" x14ac:dyDescent="0.25">
      <c r="R4899" s="75"/>
      <c r="S4899" s="75"/>
    </row>
    <row r="4900" spans="18:19" x14ac:dyDescent="0.25">
      <c r="R4900" s="75"/>
      <c r="S4900" s="75"/>
    </row>
    <row r="4901" spans="18:19" x14ac:dyDescent="0.25">
      <c r="R4901" s="75"/>
      <c r="S4901" s="75"/>
    </row>
    <row r="4902" spans="18:19" x14ac:dyDescent="0.25">
      <c r="R4902" s="75"/>
      <c r="S4902" s="75"/>
    </row>
    <row r="4903" spans="18:19" x14ac:dyDescent="0.25">
      <c r="R4903" s="75"/>
      <c r="S4903" s="75"/>
    </row>
    <row r="4904" spans="18:19" x14ac:dyDescent="0.25">
      <c r="R4904" s="75"/>
      <c r="S4904" s="75"/>
    </row>
    <row r="4905" spans="18:19" x14ac:dyDescent="0.25">
      <c r="R4905" s="75"/>
      <c r="S4905" s="75"/>
    </row>
    <row r="4906" spans="18:19" x14ac:dyDescent="0.25">
      <c r="R4906" s="75"/>
      <c r="S4906" s="75"/>
    </row>
    <row r="4907" spans="18:19" x14ac:dyDescent="0.25">
      <c r="R4907" s="75"/>
      <c r="S4907" s="75"/>
    </row>
    <row r="4908" spans="18:19" x14ac:dyDescent="0.25">
      <c r="R4908" s="75"/>
      <c r="S4908" s="75"/>
    </row>
    <row r="4909" spans="18:19" x14ac:dyDescent="0.25">
      <c r="R4909" s="75"/>
      <c r="S4909" s="75"/>
    </row>
    <row r="4910" spans="18:19" x14ac:dyDescent="0.25">
      <c r="R4910" s="75"/>
      <c r="S4910" s="75"/>
    </row>
    <row r="4911" spans="18:19" x14ac:dyDescent="0.25">
      <c r="R4911" s="75"/>
      <c r="S4911" s="75"/>
    </row>
    <row r="4912" spans="18:19" x14ac:dyDescent="0.25">
      <c r="R4912" s="75"/>
      <c r="S4912" s="75"/>
    </row>
    <row r="4913" spans="18:19" x14ac:dyDescent="0.25">
      <c r="R4913" s="75"/>
      <c r="S4913" s="75"/>
    </row>
    <row r="4914" spans="18:19" x14ac:dyDescent="0.25">
      <c r="R4914" s="75"/>
      <c r="S4914" s="75"/>
    </row>
    <row r="4915" spans="18:19" x14ac:dyDescent="0.25">
      <c r="R4915" s="75"/>
      <c r="S4915" s="75"/>
    </row>
    <row r="4916" spans="18:19" x14ac:dyDescent="0.25">
      <c r="R4916" s="75"/>
      <c r="S4916" s="75"/>
    </row>
    <row r="4917" spans="18:19" x14ac:dyDescent="0.25">
      <c r="R4917" s="75"/>
      <c r="S4917" s="75"/>
    </row>
    <row r="4918" spans="18:19" x14ac:dyDescent="0.25">
      <c r="R4918" s="75"/>
      <c r="S4918" s="75"/>
    </row>
    <row r="4919" spans="18:19" x14ac:dyDescent="0.25">
      <c r="R4919" s="75"/>
      <c r="S4919" s="75"/>
    </row>
    <row r="4920" spans="18:19" x14ac:dyDescent="0.25">
      <c r="R4920" s="75"/>
      <c r="S4920" s="75"/>
    </row>
    <row r="4921" spans="18:19" x14ac:dyDescent="0.25">
      <c r="R4921" s="75"/>
      <c r="S4921" s="75"/>
    </row>
    <row r="4922" spans="18:19" x14ac:dyDescent="0.25">
      <c r="R4922" s="75"/>
      <c r="S4922" s="75"/>
    </row>
    <row r="4923" spans="18:19" x14ac:dyDescent="0.25">
      <c r="R4923" s="75"/>
      <c r="S4923" s="75"/>
    </row>
    <row r="4924" spans="18:19" x14ac:dyDescent="0.25">
      <c r="R4924" s="75"/>
      <c r="S4924" s="75"/>
    </row>
    <row r="4925" spans="18:19" x14ac:dyDescent="0.25">
      <c r="R4925" s="75"/>
      <c r="S4925" s="75"/>
    </row>
    <row r="4926" spans="18:19" x14ac:dyDescent="0.25">
      <c r="R4926" s="75"/>
      <c r="S4926" s="75"/>
    </row>
    <row r="4927" spans="18:19" x14ac:dyDescent="0.25">
      <c r="R4927" s="75"/>
      <c r="S4927" s="75"/>
    </row>
    <row r="4928" spans="18:19" x14ac:dyDescent="0.25">
      <c r="R4928" s="75"/>
      <c r="S4928" s="75"/>
    </row>
    <row r="4929" spans="18:19" x14ac:dyDescent="0.25">
      <c r="R4929" s="75"/>
      <c r="S4929" s="75"/>
    </row>
    <row r="4930" spans="18:19" x14ac:dyDescent="0.25">
      <c r="R4930" s="75"/>
      <c r="S4930" s="75"/>
    </row>
    <row r="4931" spans="18:19" x14ac:dyDescent="0.25">
      <c r="R4931" s="75"/>
      <c r="S4931" s="75"/>
    </row>
    <row r="4932" spans="18:19" x14ac:dyDescent="0.25">
      <c r="R4932" s="75"/>
      <c r="S4932" s="75"/>
    </row>
    <row r="4933" spans="18:19" x14ac:dyDescent="0.25">
      <c r="R4933" s="75"/>
      <c r="S4933" s="75"/>
    </row>
    <row r="4934" spans="18:19" x14ac:dyDescent="0.25">
      <c r="R4934" s="75"/>
      <c r="S4934" s="75"/>
    </row>
    <row r="4935" spans="18:19" x14ac:dyDescent="0.25">
      <c r="R4935" s="75"/>
      <c r="S4935" s="75"/>
    </row>
    <row r="4936" spans="18:19" x14ac:dyDescent="0.25">
      <c r="R4936" s="75"/>
      <c r="S4936" s="75"/>
    </row>
    <row r="4937" spans="18:19" x14ac:dyDescent="0.25">
      <c r="R4937" s="75"/>
      <c r="S4937" s="75"/>
    </row>
    <row r="4938" spans="18:19" x14ac:dyDescent="0.25">
      <c r="R4938" s="75"/>
      <c r="S4938" s="75"/>
    </row>
    <row r="4939" spans="18:19" x14ac:dyDescent="0.25">
      <c r="R4939" s="75"/>
      <c r="S4939" s="75"/>
    </row>
    <row r="4940" spans="18:19" x14ac:dyDescent="0.25">
      <c r="R4940" s="75"/>
      <c r="S4940" s="75"/>
    </row>
    <row r="4941" spans="18:19" x14ac:dyDescent="0.25">
      <c r="R4941" s="75"/>
      <c r="S4941" s="75"/>
    </row>
    <row r="4942" spans="18:19" x14ac:dyDescent="0.25">
      <c r="R4942" s="75"/>
      <c r="S4942" s="75"/>
    </row>
    <row r="4943" spans="18:19" x14ac:dyDescent="0.25">
      <c r="R4943" s="75"/>
      <c r="S4943" s="75"/>
    </row>
    <row r="4944" spans="18:19" x14ac:dyDescent="0.25">
      <c r="R4944" s="75"/>
      <c r="S4944" s="75"/>
    </row>
    <row r="4945" spans="18:19" x14ac:dyDescent="0.25">
      <c r="R4945" s="75"/>
      <c r="S4945" s="75"/>
    </row>
    <row r="4946" spans="18:19" x14ac:dyDescent="0.25">
      <c r="R4946" s="75"/>
      <c r="S4946" s="75"/>
    </row>
    <row r="4947" spans="18:19" x14ac:dyDescent="0.25">
      <c r="R4947" s="75"/>
      <c r="S4947" s="75"/>
    </row>
    <row r="4948" spans="18:19" x14ac:dyDescent="0.25">
      <c r="R4948" s="75"/>
      <c r="S4948" s="75"/>
    </row>
    <row r="4949" spans="18:19" x14ac:dyDescent="0.25">
      <c r="R4949" s="75"/>
      <c r="S4949" s="75"/>
    </row>
    <row r="4950" spans="18:19" x14ac:dyDescent="0.25">
      <c r="R4950" s="75"/>
      <c r="S4950" s="75"/>
    </row>
    <row r="4951" spans="18:19" x14ac:dyDescent="0.25">
      <c r="R4951" s="75"/>
      <c r="S4951" s="75"/>
    </row>
    <row r="4952" spans="18:19" x14ac:dyDescent="0.25">
      <c r="R4952" s="75"/>
      <c r="S4952" s="75"/>
    </row>
    <row r="4953" spans="18:19" x14ac:dyDescent="0.25">
      <c r="R4953" s="75"/>
      <c r="S4953" s="75"/>
    </row>
    <row r="4954" spans="18:19" x14ac:dyDescent="0.25">
      <c r="R4954" s="75"/>
      <c r="S4954" s="75"/>
    </row>
    <row r="4955" spans="18:19" x14ac:dyDescent="0.25">
      <c r="R4955" s="75"/>
      <c r="S4955" s="75"/>
    </row>
    <row r="4956" spans="18:19" x14ac:dyDescent="0.25">
      <c r="R4956" s="75"/>
      <c r="S4956" s="75"/>
    </row>
    <row r="4957" spans="18:19" x14ac:dyDescent="0.25">
      <c r="R4957" s="75"/>
      <c r="S4957" s="75"/>
    </row>
    <row r="4958" spans="18:19" x14ac:dyDescent="0.25">
      <c r="R4958" s="75"/>
      <c r="S4958" s="75"/>
    </row>
    <row r="4959" spans="18:19" x14ac:dyDescent="0.25">
      <c r="R4959" s="75"/>
      <c r="S4959" s="75"/>
    </row>
    <row r="4960" spans="18:19" x14ac:dyDescent="0.25">
      <c r="R4960" s="75"/>
      <c r="S4960" s="75"/>
    </row>
    <row r="4961" spans="18:19" x14ac:dyDescent="0.25">
      <c r="R4961" s="75"/>
      <c r="S4961" s="75"/>
    </row>
    <row r="4962" spans="18:19" x14ac:dyDescent="0.25">
      <c r="R4962" s="75"/>
      <c r="S4962" s="75"/>
    </row>
    <row r="4963" spans="18:19" x14ac:dyDescent="0.25">
      <c r="R4963" s="75"/>
      <c r="S4963" s="75"/>
    </row>
    <row r="4964" spans="18:19" x14ac:dyDescent="0.25">
      <c r="R4964" s="75"/>
      <c r="S4964" s="75"/>
    </row>
    <row r="4965" spans="18:19" x14ac:dyDescent="0.25">
      <c r="R4965" s="75"/>
      <c r="S4965" s="75"/>
    </row>
    <row r="4966" spans="18:19" x14ac:dyDescent="0.25">
      <c r="R4966" s="75"/>
      <c r="S4966" s="75"/>
    </row>
    <row r="4967" spans="18:19" x14ac:dyDescent="0.25">
      <c r="R4967" s="75"/>
      <c r="S4967" s="75"/>
    </row>
    <row r="4968" spans="18:19" x14ac:dyDescent="0.25">
      <c r="R4968" s="75"/>
      <c r="S4968" s="75"/>
    </row>
    <row r="4969" spans="18:19" x14ac:dyDescent="0.25">
      <c r="R4969" s="75"/>
      <c r="S4969" s="75"/>
    </row>
    <row r="4970" spans="18:19" x14ac:dyDescent="0.25">
      <c r="R4970" s="75"/>
      <c r="S4970" s="75"/>
    </row>
    <row r="4971" spans="18:19" x14ac:dyDescent="0.25">
      <c r="R4971" s="75"/>
      <c r="S4971" s="75"/>
    </row>
    <row r="4972" spans="18:19" x14ac:dyDescent="0.25">
      <c r="R4972" s="75"/>
      <c r="S4972" s="75"/>
    </row>
    <row r="4973" spans="18:19" x14ac:dyDescent="0.25">
      <c r="R4973" s="75"/>
      <c r="S4973" s="75"/>
    </row>
    <row r="4974" spans="18:19" x14ac:dyDescent="0.25">
      <c r="R4974" s="75"/>
      <c r="S4974" s="75"/>
    </row>
    <row r="4975" spans="18:19" x14ac:dyDescent="0.25">
      <c r="R4975" s="75"/>
      <c r="S4975" s="75"/>
    </row>
    <row r="4976" spans="18:19" x14ac:dyDescent="0.25">
      <c r="R4976" s="75"/>
      <c r="S4976" s="75"/>
    </row>
    <row r="4977" spans="18:19" x14ac:dyDescent="0.25">
      <c r="R4977" s="75"/>
      <c r="S4977" s="75"/>
    </row>
    <row r="4978" spans="18:19" x14ac:dyDescent="0.25">
      <c r="R4978" s="75"/>
      <c r="S4978" s="75"/>
    </row>
    <row r="4979" spans="18:19" x14ac:dyDescent="0.25">
      <c r="R4979" s="75"/>
      <c r="S4979" s="75"/>
    </row>
    <row r="4980" spans="18:19" x14ac:dyDescent="0.25">
      <c r="R4980" s="75"/>
      <c r="S4980" s="75"/>
    </row>
    <row r="4981" spans="18:19" x14ac:dyDescent="0.25">
      <c r="R4981" s="75"/>
      <c r="S4981" s="75"/>
    </row>
    <row r="4982" spans="18:19" x14ac:dyDescent="0.25">
      <c r="R4982" s="75"/>
      <c r="S4982" s="75"/>
    </row>
    <row r="4983" spans="18:19" x14ac:dyDescent="0.25">
      <c r="R4983" s="75"/>
      <c r="S4983" s="75"/>
    </row>
    <row r="4984" spans="18:19" x14ac:dyDescent="0.25">
      <c r="R4984" s="75"/>
      <c r="S4984" s="75"/>
    </row>
    <row r="4985" spans="18:19" x14ac:dyDescent="0.25">
      <c r="R4985" s="75"/>
      <c r="S4985" s="75"/>
    </row>
    <row r="4986" spans="18:19" x14ac:dyDescent="0.25">
      <c r="R4986" s="75"/>
      <c r="S4986" s="75"/>
    </row>
    <row r="4987" spans="18:19" x14ac:dyDescent="0.25">
      <c r="R4987" s="75"/>
      <c r="S4987" s="75"/>
    </row>
    <row r="4988" spans="18:19" x14ac:dyDescent="0.25">
      <c r="R4988" s="75"/>
      <c r="S4988" s="75"/>
    </row>
    <row r="4989" spans="18:19" x14ac:dyDescent="0.25">
      <c r="R4989" s="75"/>
      <c r="S4989" s="75"/>
    </row>
    <row r="4990" spans="18:19" x14ac:dyDescent="0.25">
      <c r="R4990" s="75"/>
      <c r="S4990" s="75"/>
    </row>
    <row r="4991" spans="18:19" x14ac:dyDescent="0.25">
      <c r="R4991" s="75"/>
      <c r="S4991" s="75"/>
    </row>
    <row r="4992" spans="18:19" x14ac:dyDescent="0.25">
      <c r="R4992" s="75"/>
      <c r="S4992" s="75"/>
    </row>
    <row r="4993" spans="18:19" x14ac:dyDescent="0.25">
      <c r="R4993" s="75"/>
      <c r="S4993" s="75"/>
    </row>
    <row r="4994" spans="18:19" x14ac:dyDescent="0.25">
      <c r="R4994" s="75"/>
      <c r="S4994" s="75"/>
    </row>
    <row r="4995" spans="18:19" x14ac:dyDescent="0.25">
      <c r="R4995" s="75"/>
      <c r="S4995" s="75"/>
    </row>
    <row r="4996" spans="18:19" x14ac:dyDescent="0.25">
      <c r="R4996" s="75"/>
      <c r="S4996" s="75"/>
    </row>
    <row r="4997" spans="18:19" x14ac:dyDescent="0.25">
      <c r="R4997" s="75"/>
      <c r="S4997" s="75"/>
    </row>
    <row r="4998" spans="18:19" x14ac:dyDescent="0.25">
      <c r="R4998" s="75"/>
      <c r="S4998" s="75"/>
    </row>
    <row r="4999" spans="18:19" x14ac:dyDescent="0.25">
      <c r="R4999" s="75"/>
      <c r="S4999" s="75"/>
    </row>
    <row r="5000" spans="18:19" x14ac:dyDescent="0.25">
      <c r="R5000" s="75"/>
      <c r="S5000" s="75"/>
    </row>
    <row r="5001" spans="18:19" x14ac:dyDescent="0.25">
      <c r="R5001" s="75"/>
      <c r="S5001" s="75"/>
    </row>
    <row r="5002" spans="18:19" x14ac:dyDescent="0.25">
      <c r="R5002" s="75"/>
      <c r="S5002" s="75"/>
    </row>
    <row r="5003" spans="18:19" x14ac:dyDescent="0.25">
      <c r="R5003" s="75"/>
      <c r="S5003" s="75"/>
    </row>
    <row r="5004" spans="18:19" x14ac:dyDescent="0.25">
      <c r="R5004" s="75"/>
      <c r="S5004" s="75"/>
    </row>
    <row r="5005" spans="18:19" x14ac:dyDescent="0.25">
      <c r="R5005" s="75"/>
      <c r="S5005" s="75"/>
    </row>
  </sheetData>
  <autoFilter ref="C4:AB69" xr:uid="{00000000-0009-0000-0000-000003000000}"/>
  <conditionalFormatting sqref="C5:C5000">
    <cfRule type="expression" dxfId="6" priority="1">
      <formula>AND(C5&lt;&gt;"",COUNTIF($C$5:$C$5000,C5)&gt;1)</formula>
    </cfRule>
  </conditionalFormatting>
  <dataValidations count="22">
    <dataValidation type="custom" allowBlank="1" showInputMessage="1" showErrorMessage="1" errorTitle="Duplicate Trade ID" error="This Trade ID is already used. Enter a unique ID." promptTitle="Trade ID" prompt="Unique ID of the trade. A row without a Trade ID is ignored; a repeated ID rejects the trade." sqref="C5:C5000" xr:uid="{00000000-0002-0000-0300-000000000000}">
      <formula1>COUNTIF($C$5:$C$5000,C5)=1</formula1>
    </dataValidation>
    <dataValidation type="list" allowBlank="1" showInputMessage="1" showErrorMessage="1" errorTitle="Invalid asset class" error="Choose IR, FX, CR, EQ, CO or OT." promptTitle="Asset class" prompt="IR, FX, CR (credit), EQ (equity), CO (commodity) or OT (other risks, CRR only, Art. 280f)." sqref="E5:E5000" xr:uid="{00000000-0002-0000-0300-000002000000}">
      <formula1>"IR,FX,CR,EQ,CO,OT"</formula1>
    </dataValidation>
    <dataValidation type="custom" allowBlank="1" showInputMessage="1" showErrorMessage="1" errorTitle="Invalid reference" error="The reference must not contain | or #." promptTitle="Risk factor / reference" prompt="IR: currency (EUR). FX: pair (EUR/USD). CR, EQ: issuer or index. CO: commodity. Trades with the same reference are aggregated together." sqref="G5:G5000" xr:uid="{00000000-0002-0000-0300-000004000000}">
      <formula1>AND(ISERROR(FIND("|",G5)),ISERROR(FIND("#",G5)))</formula1>
    </dataValidation>
    <dataValidation type="list" allowBlank="1" showInputMessage="1" showErrorMessage="1" errorTitle="Invalid instrument" error="Choose Linear, Option or CDO." promptTitle="Instrument" prompt="Linear, Option, or CDO (credit tranche: needs attachment and detachment)." sqref="H5:H5000" xr:uid="{00000000-0002-0000-0300-000005000000}">
      <formula1>"Linear,Option,CDO"</formula1>
    </dataValidation>
    <dataValidation type="list" allowBlank="1" showInputMessage="1" showErrorMessage="1" errorTitle="Invalid direction" error="Choose Long or Short." promptTitle="Direction" prompt="Long or Short in the primary risk factor; gives the sign of the supervisory delta (CRE52.38)." sqref="I5:I5000" xr:uid="{00000000-0002-0000-0300-000006000000}">
      <formula1>"Long,Short"</formula1>
    </dataValidation>
    <dataValidation type="list" allowBlank="1" showInputMessage="1" showErrorMessage="1" errorTitle="Invalid option type" error="Choose Call or Put." promptTitle="Option type" prompt="Options only: Call or Put." sqref="J5:J5000" xr:uid="{00000000-0002-0000-0300-000007000000}">
      <formula1>"Call,Put"</formula1>
    </dataValidation>
    <dataValidation type="list" allowBlank="1" showInputMessage="1" showErrorMessage="1" errorTitle="Invalid nature" error="Choose Standard, Basis or Volatility." promptTitle="Nature" prompt="Standard; Basis or Volatility transactions get their own hedging sets and factor multipliers (CRE52.46-47)." sqref="K5:K5000" xr:uid="{00000000-0002-0000-0300-000008000000}">
      <formula1>"Standard,Basis,Volatility"</formula1>
    </dataValidation>
    <dataValidation type="custom" allowBlank="1" showInputMessage="1" showErrorMessage="1" errorTitle="Invalid label" error="The label must not contain | or #." promptTitle="Hedging-set label" prompt="Basis and volatility trades only: label grouping the trades of one hedging set (e.g. the pair of risk factors)." sqref="L5:L5000" xr:uid="{00000000-0002-0000-0300-000009000000}">
      <formula1>AND(ISERROR(FIND("|",L5)),ISERROR(FIND("#",L5)))</formula1>
    </dataValidation>
    <dataValidation type="decimal" operator="greaterThan" allowBlank="1" showInputMessage="1" showErrorMessage="1" errorTitle="Invalid notional" error="Enter a number greater than zero." promptTitle="Notional" prompt="Adjusted notional, positive, in the notional currency. The sign comes from Direction." sqref="M5:M5000" xr:uid="{00000000-0002-0000-0300-00000A000000}">
      <formula1>0</formula1>
    </dataValidation>
    <dataValidation type="custom" allowBlank="1" showInputMessage="1" showErrorMessage="1" errorTitle="Invalid MtM" error="Enter a number (0 if the trade has no value)." promptTitle="MtM" prompt="Mark-to-market value, signed: positive is an asset. Enter 0 if the trade has no value." sqref="O5:O5000" xr:uid="{00000000-0002-0000-0300-00000C000000}">
      <formula1>ISNUMBER(O5)</formula1>
    </dataValidation>
    <dataValidation type="custom" allowBlank="1" showInputMessage="1" showErrorMessage="1" errorTitle="Invalid date" error="Enter a date between 1950 and 2200." promptTitle="Start date (S)" prompt="IR and credit: start of the time period referenced; blank = already started (CRE52.31)." sqref="Q5:Q5000" xr:uid="{00000000-0002-0000-0300-00000E000000}">
      <formula1>AND(ISNUMBER(Q5),Q5&gt;=DATE(1950,1,1),Q5&lt;=DATE(2200,12,31))</formula1>
    </dataValidation>
    <dataValidation type="custom" allowBlank="1" showInputMessage="1" showErrorMessage="1" errorTitle="Invalid end date" error="Enter a date between 1950 and 2200, after the start date." promptTitle="End date (E)" prompt="IR and credit: end of the time period referenced (CRE52.31)." sqref="R5:R5000" xr:uid="{00000000-0002-0000-0300-00000F000000}">
      <formula1>AND(ISNUMBER(R5),R5&gt;=DATE(1950,1,1),R5&lt;=DATE(2200,12,31),OR(Q5="",R5&gt;Q5))</formula1>
    </dataValidation>
    <dataValidation type="custom" allowBlank="1" showInputMessage="1" showErrorMessage="1" errorTitle="Invalid date" error="Enter a date between 1950 and 2200." promptTitle="Maturity date (M)" prompt="Latest date the contract may still be active (CRE52.48); blank = end date." sqref="S5:S5000" xr:uid="{00000000-0002-0000-0300-000010000000}">
      <formula1>AND(ISNUMBER(S5),S5&gt;=DATE(1950,1,1),S5&lt;=DATE(2200,12,31))</formula1>
    </dataValidation>
    <dataValidation type="custom" allowBlank="1" showInputMessage="1" showErrorMessage="1" errorTitle="Invalid date" error="Enter a date between 1950 and 2200." promptTitle="Option expiry (T)" prompt="Options only: latest exercise date (CRE52.40)." sqref="T5:T5000" xr:uid="{00000000-0002-0000-0300-000011000000}">
      <formula1>AND(ISNUMBER(T5),T5&gt;=DATE(1950,1,1),T5&lt;=DATE(2200,12,31))</formula1>
    </dataValidation>
    <dataValidation type="custom" allowBlank="1" showInputMessage="1" showErrorMessage="1" errorTitle="Invalid price" error="Enter a number." promptTitle="Underlying price P" prompt="Options only: price of the underlying (forward rate for IR options). May be negative before the lambda shift." sqref="U5:U5000" xr:uid="{00000000-0002-0000-0300-000012000000}">
      <formula1>ISNUMBER(U5)</formula1>
    </dataValidation>
    <dataValidation type="custom" allowBlank="1" showInputMessage="1" showErrorMessage="1" errorTitle="Invalid strike" error="Enter a number." promptTitle="Strike K" prompt="Options only: strike. May be negative before the lambda shift." sqref="V5:V5000" xr:uid="{00000000-0002-0000-0300-000013000000}">
      <formula1>ISNUMBER(V5)</formula1>
    </dataValidation>
    <dataValidation type="decimal" operator="greaterThanOrEqual" allowBlank="1" showInputMessage="1" showErrorMessage="1" errorTitle="Invalid lambda" error="Enter a number of zero or more." promptTitle="Lambda shift" prompt="BCBS only: shift added to P and K when they are negative (CRE52 FAQ). Under CRR the RTS lambda is applied and this is ignored." sqref="W5:W5000" xr:uid="{00000000-0002-0000-0300-000014000000}">
      <formula1>0</formula1>
    </dataValidation>
    <dataValidation type="decimal" allowBlank="1" showInputMessage="1" showErrorMessage="1" errorTitle="Invalid attachment" error="Enter a decimal from 0 to below 1, e.g. 0.03 for 3%." promptTitle="Attachment A" prompt="CDO tranches only: attachment point, 0 to below 1 (CRE52.42)." sqref="X5:X5000" xr:uid="{00000000-0002-0000-0300-000015000000}">
      <formula1>0</formula1>
      <formula2>0.9999</formula2>
    </dataValidation>
    <dataValidation type="custom" allowBlank="1" showInputMessage="1" showErrorMessage="1" errorTitle="Invalid detachment" error="Enter a decimal above the attachment point and at most 1." promptTitle="Detachment D" prompt="CDO tranches only: detachment point, above the attachment and at most 1 (CRE52.42)." sqref="Y5:Y5000" xr:uid="{00000000-0002-0000-0300-000016000000}">
      <formula1>AND(ISNUMBER(Y5),Y5&gt;0,Y5&lt;=1,OR(X5="",Y5&gt;X5))</formula1>
    </dataValidation>
    <dataValidation type="textLength" operator="lessThanOrEqual" allowBlank="1" showInputMessage="1" showErrorMessage="1" errorTitle="Comment too long" error="Keep the comment to 500 characters or fewer." promptTitle="Comment" prompt="Free text, not read by the engine." sqref="AB5:AB5000" xr:uid="{00000000-0002-0000-0300-000017000000}">
      <formula1>500</formula1>
    </dataValidation>
    <dataValidation type="custom" allowBlank="1" showInputMessage="1" showErrorMessage="1" errorTitle="Invalid economic trade ID" error="The ID must not contain | or #." promptTitle="Economic trade ID" prompt="Legs of one economic trade share this ID; blank = the row is a whole trade. Use legs for several risk categories or for an option structure split into options." sqref="Z5:Z5000" xr:uid="{00000000-0002-0000-0300-000018000000}">
      <formula1>AND(ISERROR(FIND("|",Z5)),ISERROR(FIND("#",Z5)))</formula1>
    </dataValidation>
    <dataValidation type="list" allowBlank="1" showInputMessage="1" showErrorMessage="1" errorTitle="Invalid choice" error="Choose Y or N." promptTitle="MtM leg" prompt="Y on the one leg that carries the economic trade's MtM; N on every other leg, whose MtM must be 0. Blank on a whole trade." sqref="AA5:AA5000" xr:uid="{00000000-0002-0000-0300-000019000000}">
      <formula1>"Y,N"</formula1>
    </dataValidation>
  </dataValidations>
  <pageMargins left="0.4" right="0.4" top="0.5" bottom="0.5" header="0.3" footer="0.3"/>
  <pageSetup paperSize="9" fitToHeight="0" orientation="landscape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049" r:id="rId3" name="Button 1">
              <controlPr defaultSize="0" print="0" autoFill="0" autoPict="0" macro="[0]!RunSACCR">
                <anchor moveWithCells="1" sizeWithCells="1">
                  <from>
                    <xdr:col>7</xdr:col>
                    <xdr:colOff>0</xdr:colOff>
                    <xdr:row>2</xdr:row>
                    <xdr:rowOff>66675</xdr:rowOff>
                  </from>
                  <to>
                    <xdr:col>8</xdr:col>
                    <xdr:colOff>419100</xdr:colOff>
                    <xdr:row>2</xdr:row>
                    <xdr:rowOff>314325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0" r:id="rId4" name="Button 2">
              <controlPr defaultSize="0" print="0" autoFill="0" autoPict="0" macro="[0]!ValidateInputs">
                <anchor moveWithCells="1" sizeWithCells="1">
                  <from>
                    <xdr:col>8</xdr:col>
                    <xdr:colOff>514350</xdr:colOff>
                    <xdr:row>2</xdr:row>
                    <xdr:rowOff>66675</xdr:rowOff>
                  </from>
                  <to>
                    <xdr:col>10</xdr:col>
                    <xdr:colOff>228600</xdr:colOff>
                    <xdr:row>2</xdr:row>
                    <xdr:rowOff>314325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1" r:id="rId5" name="Button 3">
              <controlPr defaultSize="0" print="0" autoFill="0" autoPict="0" macro="[0]!ClearOutputs">
                <anchor moveWithCells="1" sizeWithCells="1">
                  <from>
                    <xdr:col>10</xdr:col>
                    <xdr:colOff>323850</xdr:colOff>
                    <xdr:row>2</xdr:row>
                    <xdr:rowOff>66675</xdr:rowOff>
                  </from>
                  <to>
                    <xdr:col>11</xdr:col>
                    <xdr:colOff>742950</xdr:colOff>
                    <xdr:row>2</xdr:row>
                    <xdr:rowOff>314325</xdr:rowOff>
                  </to>
                </anchor>
              </controlPr>
            </control>
          </mc:Choice>
        </mc:AlternateContent>
      </controls>
    </mc:Choice>
  </mc:AlternateContent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errorStyle="warning" allowBlank="1" showInputMessage="1" showErrorMessage="1" errorTitle="Netting set not listed" error="This ID is not on NettingSets. Add the netting set there, or the trade will be rejected. Continue anyway?" promptTitle="Netting set" prompt="Choose the ID of a netting set listed on NettingSets. A trade whose netting set is not listed there is rejected." xr:uid="{00000000-0002-0000-0300-000001000000}">
          <x14:formula1>
            <xm:f>NettingSets!$C$7:$C$206</xm:f>
          </x14:formula1>
          <xm:sqref>D5:D5000</xm:sqref>
        </x14:dataValidation>
        <x14:dataValidation type="list" allowBlank="1" showInputMessage="1" showErrorMessage="1" errorTitle="Invalid sub-class" error="Choose a category listed in the factor table on Params." promptTitle="Sub-class" prompt="Credit rating, credit or equity index type, or commodity type, from the Category column of the factor table on Params. Blank for IR, FX and OT." xr:uid="{00000000-0002-0000-0300-000003000000}">
          <x14:formula1>
            <xm:f>Params!$E$29:$E$54</xm:f>
          </x14:formula1>
          <xm:sqref>F5:F5000</xm:sqref>
        </x14:dataValidation>
        <x14:dataValidation type="custom" errorStyle="warning" allowBlank="1" showInputMessage="1" showErrorMessage="1" errorTitle="Currency not in FX table" error="This currency is not in the FX table on Params, so the trade will be rejected. Add it there. Continue anyway?" promptTitle="Notional currency" prompt="ISO code listed in the FX table on Params." xr:uid="{00000000-0002-0000-0300-00000B000000}">
          <x14:formula1>
            <xm:f>COUNTIF(Params!$C$58:$C$77,N5)&gt;0</xm:f>
          </x14:formula1>
          <xm:sqref>N5:N5000</xm:sqref>
        </x14:dataValidation>
        <x14:dataValidation type="custom" errorStyle="warning" allowBlank="1" showInputMessage="1" showErrorMessage="1" errorTitle="Currency not in FX table" error="This currency is not in the FX table on Params, so the trade will be rejected. Add it there. Continue anyway?" promptTitle="MtM currency" prompt="ISO code listed in the FX table on Params; blank = notional currency." xr:uid="{00000000-0002-0000-0300-00000D000000}">
          <x14:formula1>
            <xm:f>COUNTIF(Params!$C$58:$C$77,P5)&gt;0</xm:f>
          </x14:formula1>
          <xm:sqref>P5:P5000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Results">
    <tabColor rgb="FF2E75B6"/>
    <pageSetUpPr fitToPage="1"/>
  </sheetPr>
  <dimension ref="A1:AD6"/>
  <sheetViews>
    <sheetView showGridLines="0" zoomScale="90" zoomScaleNormal="90" workbookViewId="0">
      <pane xSplit="3" ySplit="6" topLeftCell="D7" activePane="bottomRight" state="frozen"/>
      <selection pane="topRight" activeCell="D3" sqref="D3"/>
      <selection pane="bottomLeft" activeCell="C7" sqref="C7"/>
      <selection pane="bottomRight" sqref="A1:XFD2"/>
    </sheetView>
  </sheetViews>
  <sheetFormatPr defaultRowHeight="15" x14ac:dyDescent="0.25"/>
  <cols>
    <col min="1" max="2" width="4" customWidth="1"/>
    <col min="3" max="3" width="14.75" style="7" customWidth="1"/>
    <col min="4" max="4" width="44.75" style="7" customWidth="1"/>
    <col min="5" max="5" width="8.75" style="9" customWidth="1"/>
    <col min="6" max="6" width="9.75" style="9" customWidth="1"/>
    <col min="7" max="7" width="7.75" style="10" customWidth="1"/>
    <col min="8" max="8" width="8.75" style="10" customWidth="1"/>
    <col min="9" max="10" width="15.75" style="11" customWidth="1"/>
    <col min="11" max="11" width="14.75" style="11" customWidth="1"/>
    <col min="12" max="17" width="13.75" style="11" customWidth="1"/>
    <col min="18" max="18" width="14.75" style="11" customWidth="1"/>
    <col min="19" max="19" width="10.75" style="12" customWidth="1"/>
    <col min="20" max="20" width="14.75" style="11" customWidth="1"/>
    <col min="21" max="21" width="7.75" style="13" customWidth="1"/>
    <col min="22" max="24" width="15.75" style="11" customWidth="1"/>
    <col min="25" max="25" width="9.75" style="9" customWidth="1"/>
    <col min="26" max="28" width="15.75" style="11" customWidth="1"/>
    <col min="29" max="29" width="11.75" style="12" customWidth="1"/>
    <col min="30" max="30" width="34.75" style="7" customWidth="1"/>
  </cols>
  <sheetData>
    <row r="1" spans="2:30" ht="24" customHeight="1" x14ac:dyDescent="0.25">
      <c r="B1" s="26" t="s">
        <v>0</v>
      </c>
      <c r="C1" s="27"/>
      <c r="D1" s="28"/>
      <c r="E1" s="66"/>
      <c r="F1" s="66"/>
      <c r="G1" s="66"/>
      <c r="H1" s="66"/>
      <c r="I1" s="66"/>
      <c r="J1" s="66"/>
      <c r="K1" s="66"/>
      <c r="L1" s="66"/>
      <c r="M1" s="28"/>
      <c r="N1" s="28"/>
      <c r="O1" s="28"/>
      <c r="P1" s="28"/>
      <c r="Q1" s="66"/>
      <c r="R1" s="66"/>
      <c r="S1" s="66"/>
      <c r="T1" s="66"/>
      <c r="U1" s="66"/>
      <c r="V1" s="66"/>
      <c r="W1" s="66"/>
      <c r="X1" s="66"/>
      <c r="Y1" s="66"/>
      <c r="Z1" s="66"/>
      <c r="AA1" s="66"/>
      <c r="AB1" s="66"/>
      <c r="AC1"/>
      <c r="AD1"/>
    </row>
    <row r="2" spans="2:30" ht="26.1" customHeight="1" x14ac:dyDescent="0.25">
      <c r="B2" s="30" t="s">
        <v>58</v>
      </c>
      <c r="C2" s="31"/>
      <c r="D2" s="32"/>
      <c r="E2" s="68"/>
      <c r="F2" s="68"/>
      <c r="G2" s="68"/>
      <c r="H2" s="68"/>
      <c r="I2" s="68"/>
      <c r="J2" s="68"/>
      <c r="K2" s="68"/>
      <c r="L2" s="68"/>
      <c r="M2" s="32"/>
      <c r="N2" s="32"/>
      <c r="O2" s="32"/>
      <c r="P2" s="32"/>
      <c r="Q2" s="68"/>
      <c r="R2" s="68"/>
      <c r="S2" s="68"/>
      <c r="T2" s="68"/>
      <c r="U2" s="68"/>
      <c r="V2" s="68"/>
      <c r="W2" s="68"/>
      <c r="X2" s="68"/>
      <c r="Y2" s="68"/>
      <c r="Z2" s="68"/>
      <c r="AA2" s="68"/>
      <c r="AB2" s="68"/>
      <c r="AC2"/>
      <c r="AD2"/>
    </row>
    <row r="3" spans="2:30" ht="33.950000000000003" customHeight="1" x14ac:dyDescent="0.25">
      <c r="C3" s="1"/>
    </row>
    <row r="4" spans="2:30" x14ac:dyDescent="0.25">
      <c r="C4" t="s" s="14">
        <v>858</v>
      </c>
    </row>
    <row r="5" spans="2:30" x14ac:dyDescent="0.25">
      <c r="C5" s="14" t="str" cm="1">
        <f t="array" ref="C5">ResultsStatusText(SACCR_RunInputs,NettingSets!$C:$Q,Trades!$C:$AA,Params!$C:$J)</f>
        <v>No results: press Run SA-CCR.</v>
      </c>
    </row>
    <row r="6" spans="2:30" ht="42" customHeight="1" x14ac:dyDescent="0.25">
      <c r="C6" s="15" t="s">
        <v>246</v>
      </c>
      <c r="D6" s="15" t="s">
        <v>247</v>
      </c>
      <c r="E6" s="15" t="s">
        <v>154</v>
      </c>
      <c r="F6" s="15" t="s">
        <v>444</v>
      </c>
      <c r="G6" s="15" t="s">
        <v>56</v>
      </c>
      <c r="H6" s="15" t="s">
        <v>445</v>
      </c>
      <c r="I6" s="15" t="s">
        <v>446</v>
      </c>
      <c r="J6" s="15" t="s">
        <v>447</v>
      </c>
      <c r="K6" s="15" t="s">
        <v>33</v>
      </c>
      <c r="L6" s="15" t="s">
        <v>448</v>
      </c>
      <c r="M6" s="15" t="s">
        <v>449</v>
      </c>
      <c r="N6" s="15" t="s">
        <v>450</v>
      </c>
      <c r="O6" s="15" t="s">
        <v>451</v>
      </c>
      <c r="P6" s="15" t="s">
        <v>452</v>
      </c>
      <c r="Q6" s="15" t="s">
        <v>453</v>
      </c>
      <c r="R6" s="15" t="s">
        <v>454</v>
      </c>
      <c r="S6" s="15" t="s">
        <v>455</v>
      </c>
      <c r="T6" s="15" t="s">
        <v>35</v>
      </c>
      <c r="U6" s="15" t="s">
        <v>115</v>
      </c>
      <c r="V6" s="15" t="s">
        <v>456</v>
      </c>
      <c r="W6" s="15" t="s">
        <v>457</v>
      </c>
      <c r="X6" s="15" t="s">
        <v>32</v>
      </c>
      <c r="Y6" s="15" t="s">
        <v>458</v>
      </c>
      <c r="Z6" s="15" t="s">
        <v>459</v>
      </c>
      <c r="AA6" s="15" t="s">
        <v>460</v>
      </c>
      <c r="AB6" s="15" t="s">
        <v>461</v>
      </c>
      <c r="AC6" s="15" t="s">
        <v>462</v>
      </c>
      <c r="AD6" s="15" t="s">
        <v>486</v>
      </c>
    </row>
  </sheetData>
  <conditionalFormatting sqref="C5">
    <cfRule type="beginsWith" dxfId="2" priority="1" operator="beginsWith" text="OUT OF DATE">
      <formula>LEFT(C5,LEN("OUT OF DATE"))="OUT OF DATE"</formula>
    </cfRule>
  </conditionalFormatting>
  <pageMargins left="0.4" right="0.4" top="0.5" bottom="0.5" header="0.3" footer="0.3"/>
  <pageSetup paperSize="9" fitToHeight="0" orientation="landscape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3073" r:id="rId3" name="Button 1">
              <controlPr defaultSize="0" print="0" autoFill="0" autoPict="0" macro="[0]!RunSACCR">
                <anchor moveWithCells="1" sizeWithCells="1">
                  <from>
                    <xdr:col>6</xdr:col>
                    <xdr:colOff>0</xdr:colOff>
                    <xdr:row>2</xdr:row>
                    <xdr:rowOff>38100</xdr:rowOff>
                  </from>
                  <to>
                    <xdr:col>8</xdr:col>
                    <xdr:colOff>28575</xdr:colOff>
                    <xdr:row>2</xdr:row>
                    <xdr:rowOff>285750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74" r:id="rId4" name="Button 2">
              <controlPr defaultSize="0" print="0" autoFill="0" autoPict="0" macro="[0]!ValidateInputs">
                <anchor moveWithCells="1" sizeWithCells="1">
                  <from>
                    <xdr:col>8</xdr:col>
                    <xdr:colOff>123825</xdr:colOff>
                    <xdr:row>2</xdr:row>
                    <xdr:rowOff>38100</xdr:rowOff>
                  </from>
                  <to>
                    <xdr:col>9</xdr:col>
                    <xdr:colOff>200025</xdr:colOff>
                    <xdr:row>2</xdr:row>
                    <xdr:rowOff>285750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75" r:id="rId5" name="Button 3">
              <controlPr defaultSize="0" print="0" autoFill="0" autoPict="0" macro="[0]!ClearOutputs">
                <anchor moveWithCells="1" sizeWithCells="1">
                  <from>
                    <xdr:col>9</xdr:col>
                    <xdr:colOff>295275</xdr:colOff>
                    <xdr:row>2</xdr:row>
                    <xdr:rowOff>38100</xdr:rowOff>
                  </from>
                  <to>
                    <xdr:col>10</xdr:col>
                    <xdr:colOff>371475</xdr:colOff>
                    <xdr:row>2</xdr:row>
                    <xdr:rowOff>285750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HedgingSets">
    <tabColor rgb="FF2E75B6"/>
    <pageSetUpPr fitToPage="1"/>
  </sheetPr>
  <dimension ref="A1:AB6"/>
  <sheetViews>
    <sheetView showGridLines="0" zoomScale="90" zoomScaleNormal="90" workbookViewId="0">
      <pane xSplit="3" ySplit="6" topLeftCell="D7" activePane="bottomRight" state="frozen"/>
      <selection pane="topRight" activeCell="D3" sqref="D3"/>
      <selection pane="bottomLeft" activeCell="C7" sqref="C7"/>
      <selection pane="bottomRight" sqref="A1:XFD2"/>
    </sheetView>
  </sheetViews>
  <sheetFormatPr defaultRowHeight="15" x14ac:dyDescent="0.25"/>
  <cols>
    <col min="1" max="2" width="4" customWidth="1"/>
    <col min="3" max="3" width="12.75" style="7" customWidth="1"/>
    <col min="4" max="4" width="8.75" style="7" customWidth="1"/>
    <col min="5" max="5" width="34.75" style="7" customWidth="1"/>
    <col min="6" max="6" width="7.75" style="10" customWidth="1"/>
    <col min="7" max="9" width="14.75" style="11" customWidth="1"/>
    <col min="10" max="11" width="15.75" style="11" customWidth="1"/>
    <col min="12" max="12" width="17.75" style="11" customWidth="1"/>
    <col min="13" max="14" width="15.75" style="11" customWidth="1"/>
    <col min="15" max="15" width="11.75" style="7" customWidth="1"/>
    <col min="16" max="16" width="9.75" style="16" customWidth="1"/>
  </cols>
  <sheetData>
    <row r="1" spans="2:28" ht="24" customHeight="1" x14ac:dyDescent="0.25">
      <c r="B1" s="26" t="s">
        <v>0</v>
      </c>
      <c r="C1" s="27"/>
      <c r="D1" s="28"/>
      <c r="E1" s="66"/>
      <c r="F1" s="66"/>
      <c r="G1" s="66"/>
      <c r="H1" s="66"/>
      <c r="I1" s="66"/>
      <c r="J1" s="66"/>
      <c r="K1" s="66"/>
      <c r="L1" s="66"/>
      <c r="M1" s="28"/>
      <c r="N1" s="28"/>
      <c r="O1" s="28"/>
      <c r="P1" s="28"/>
      <c r="Q1" s="66"/>
      <c r="R1" s="66"/>
      <c r="S1" s="66"/>
      <c r="T1" s="66"/>
      <c r="U1" s="66"/>
      <c r="V1" s="66"/>
      <c r="W1" s="66"/>
      <c r="X1" s="66"/>
      <c r="Y1" s="66"/>
      <c r="Z1" s="66"/>
      <c r="AA1" s="66"/>
      <c r="AB1" s="66"/>
    </row>
    <row r="2" spans="2:28" ht="26.1" customHeight="1" x14ac:dyDescent="0.25">
      <c r="B2" s="30" t="s">
        <v>463</v>
      </c>
      <c r="C2" s="31"/>
      <c r="D2" s="32"/>
      <c r="E2" s="68"/>
      <c r="F2" s="68"/>
      <c r="G2" s="68"/>
      <c r="H2" s="68"/>
      <c r="I2" s="68"/>
      <c r="J2" s="68"/>
      <c r="K2" s="68"/>
      <c r="L2" s="68"/>
      <c r="M2" s="32"/>
      <c r="N2" s="32"/>
      <c r="O2" s="32"/>
      <c r="P2" s="32"/>
      <c r="Q2" s="68"/>
      <c r="R2" s="68"/>
      <c r="S2" s="68"/>
      <c r="T2" s="68"/>
      <c r="U2" s="68"/>
      <c r="V2" s="68"/>
      <c r="W2" s="68"/>
      <c r="X2" s="68"/>
      <c r="Y2" s="68"/>
      <c r="Z2" s="68"/>
      <c r="AA2" s="68"/>
      <c r="AB2" s="68"/>
    </row>
    <row r="3" spans="2:28" ht="33.950000000000003" customHeight="1" x14ac:dyDescent="0.25">
      <c r="C3" s="1"/>
    </row>
    <row r="4" spans="2:28" x14ac:dyDescent="0.25">
      <c r="C4" s="2" t="s">
        <v>464</v>
      </c>
    </row>
    <row r="6" spans="2:28" ht="42" customHeight="1" x14ac:dyDescent="0.25">
      <c r="C6" s="15" t="s">
        <v>246</v>
      </c>
      <c r="D6" s="15" t="s">
        <v>166</v>
      </c>
      <c r="E6" s="15" t="s">
        <v>465</v>
      </c>
      <c r="F6" s="15" t="s">
        <v>56</v>
      </c>
      <c r="G6" s="15" t="s">
        <v>466</v>
      </c>
      <c r="H6" s="15" t="s">
        <v>467</v>
      </c>
      <c r="I6" s="15" t="s">
        <v>468</v>
      </c>
      <c r="J6" s="15" t="s">
        <v>469</v>
      </c>
      <c r="K6" s="15" t="s">
        <v>470</v>
      </c>
      <c r="L6" s="15" t="s">
        <v>471</v>
      </c>
      <c r="M6" s="15" t="s">
        <v>472</v>
      </c>
      <c r="N6" s="15" t="s">
        <v>473</v>
      </c>
      <c r="O6" s="15" t="s">
        <v>383</v>
      </c>
      <c r="P6" s="15" t="s">
        <v>474</v>
      </c>
    </row>
  </sheetData>
  <pageMargins left="0.4" right="0.4" top="0.5" bottom="0.5" header="0.3" footer="0.3"/>
  <pageSetup paperSize="9" fitToHeight="0"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Buckets">
    <tabColor rgb="FF2E75B6"/>
    <pageSetUpPr fitToPage="1"/>
  </sheetPr>
  <dimension ref="A1:AB6"/>
  <sheetViews>
    <sheetView showGridLines="0" zoomScale="90" zoomScaleNormal="90" workbookViewId="0">
      <pane xSplit="3" ySplit="6" topLeftCell="D7" activePane="bottomRight" state="frozen"/>
      <selection pane="topRight" activeCell="D3" sqref="D3"/>
      <selection pane="bottomLeft" activeCell="C7" sqref="C7"/>
      <selection pane="bottomRight" sqref="A1:XFD2"/>
    </sheetView>
  </sheetViews>
  <sheetFormatPr defaultRowHeight="15" x14ac:dyDescent="0.25"/>
  <cols>
    <col min="1" max="2" width="4" customWidth="1"/>
    <col min="3" max="3" width="12.75" style="7" customWidth="1"/>
    <col min="4" max="4" width="8.75" style="7" customWidth="1"/>
    <col min="5" max="5" width="34.75" style="7" customWidth="1"/>
    <col min="6" max="6" width="26.75" style="7" customWidth="1"/>
    <col min="7" max="7" width="7.75" style="10" customWidth="1"/>
    <col min="8" max="8" width="8.75" style="16" customWidth="1"/>
    <col min="9" max="9" width="9.75" style="17" customWidth="1"/>
    <col min="10" max="13" width="16.75" style="11" customWidth="1"/>
  </cols>
  <sheetData>
    <row r="1" spans="2:28" ht="24" customHeight="1" x14ac:dyDescent="0.25">
      <c r="B1" s="26" t="s">
        <v>0</v>
      </c>
      <c r="C1" s="27"/>
      <c r="D1" s="28"/>
      <c r="E1" s="66"/>
      <c r="F1" s="66"/>
      <c r="G1" s="66"/>
      <c r="H1" s="66"/>
      <c r="I1" s="66"/>
      <c r="J1" s="66"/>
      <c r="K1" s="66"/>
      <c r="L1" s="66"/>
      <c r="M1" s="28"/>
      <c r="N1" s="28"/>
      <c r="O1" s="28"/>
      <c r="P1" s="28"/>
      <c r="Q1" s="66"/>
      <c r="R1" s="66"/>
      <c r="S1" s="66"/>
      <c r="T1" s="66"/>
      <c r="U1" s="66"/>
      <c r="V1" s="66"/>
      <c r="W1" s="66"/>
      <c r="X1" s="66"/>
      <c r="Y1" s="66"/>
      <c r="Z1" s="66"/>
      <c r="AA1" s="66"/>
      <c r="AB1" s="66"/>
    </row>
    <row r="2" spans="2:28" ht="26.1" customHeight="1" x14ac:dyDescent="0.25">
      <c r="B2" s="30" t="s">
        <v>476</v>
      </c>
      <c r="C2" s="31"/>
      <c r="D2" s="32"/>
      <c r="E2" s="68"/>
      <c r="F2" s="68"/>
      <c r="G2" s="68"/>
      <c r="H2" s="68"/>
      <c r="I2" s="68"/>
      <c r="J2" s="68"/>
      <c r="K2" s="68"/>
      <c r="L2" s="68"/>
      <c r="M2" s="32"/>
      <c r="N2" s="32"/>
      <c r="O2" s="32"/>
      <c r="P2" s="32"/>
      <c r="Q2" s="68"/>
      <c r="R2" s="68"/>
      <c r="S2" s="68"/>
      <c r="T2" s="68"/>
      <c r="U2" s="68"/>
      <c r="V2" s="68"/>
      <c r="W2" s="68"/>
      <c r="X2" s="68"/>
      <c r="Y2" s="68"/>
      <c r="Z2" s="68"/>
      <c r="AA2" s="68"/>
      <c r="AB2" s="68"/>
    </row>
    <row r="3" spans="2:28" ht="33.950000000000003" customHeight="1" x14ac:dyDescent="0.25">
      <c r="C3" s="1" t="s">
        <v>476</v>
      </c>
    </row>
    <row r="4" spans="2:28" x14ac:dyDescent="0.25">
      <c r="C4" s="2" t="s">
        <v>477</v>
      </c>
    </row>
    <row r="6" spans="2:28" ht="42" customHeight="1" x14ac:dyDescent="0.25">
      <c r="C6" s="15" t="s">
        <v>246</v>
      </c>
      <c r="D6" s="15" t="s">
        <v>166</v>
      </c>
      <c r="E6" s="15" t="s">
        <v>465</v>
      </c>
      <c r="F6" s="15" t="s">
        <v>478</v>
      </c>
      <c r="G6" s="15" t="s">
        <v>56</v>
      </c>
      <c r="H6" s="15" t="s">
        <v>479</v>
      </c>
      <c r="I6" s="15" t="s">
        <v>169</v>
      </c>
      <c r="J6" s="15" t="s">
        <v>480</v>
      </c>
      <c r="K6" s="15" t="s">
        <v>481</v>
      </c>
      <c r="L6" s="15" t="s">
        <v>482</v>
      </c>
      <c r="M6" s="15" t="s">
        <v>483</v>
      </c>
    </row>
  </sheetData>
  <pageMargins left="0.4" right="0.4" top="0.5" bottom="0.5" header="0.3" footer="0.3"/>
  <pageSetup paperSize="9" fitToHeight="0"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TradeCalc">
    <tabColor rgb="FF2E75B6"/>
    <pageSetUpPr fitToPage="1"/>
  </sheetPr>
  <dimension ref="A1:AB6"/>
  <sheetViews>
    <sheetView showGridLines="0" zoomScale="90" zoomScaleNormal="90" workbookViewId="0">
      <pane xSplit="3" ySplit="6" topLeftCell="D7" activePane="bottomRight" state="frozen"/>
      <selection pane="topRight" activeCell="D3" sqref="D3"/>
      <selection pane="bottomLeft" activeCell="C7" sqref="C7"/>
      <selection pane="bottomRight" sqref="A1:XFD2"/>
    </sheetView>
  </sheetViews>
  <sheetFormatPr defaultRowHeight="15" x14ac:dyDescent="0.25"/>
  <cols>
    <col min="1" max="2" width="4" customWidth="1"/>
    <col min="3" max="3" width="10.75" style="7" customWidth="1"/>
    <col min="4" max="4" width="13.75" style="7" customWidth="1"/>
    <col min="5" max="5" width="8.75" style="7" customWidth="1"/>
    <col min="6" max="6" width="10.75" style="7" customWidth="1"/>
    <col min="7" max="7" width="30.75" style="7" customWidth="1"/>
    <col min="8" max="8" width="22.75" style="7" customWidth="1"/>
    <col min="9" max="9" width="9.75" style="16" customWidth="1"/>
    <col min="10" max="10" width="15.75" style="11" customWidth="1"/>
    <col min="11" max="11" width="13.75" style="11" customWidth="1"/>
    <col min="12" max="15" width="8.75" style="12" customWidth="1"/>
    <col min="16" max="16" width="10.75" style="12" customWidth="1"/>
    <col min="17" max="17" width="15.75" style="11" customWidth="1"/>
    <col min="18" max="18" width="10.75" style="12" customWidth="1"/>
    <col min="19" max="20" width="9.75" style="12" customWidth="1"/>
    <col min="21" max="22" width="15.75" style="11" customWidth="1"/>
    <col min="23" max="23" width="7.75" style="10" customWidth="1"/>
    <col min="24" max="24" width="13.75" style="11" customWidth="1"/>
    <col min="25" max="25" width="10.75" style="18" customWidth="1"/>
    <col min="26" max="26" width="8.75" style="7" customWidth="1"/>
    <col min="27" max="27" width="70.75" style="7" customWidth="1"/>
  </cols>
  <sheetData>
    <row r="1" spans="2:28" ht="24" customHeight="1" x14ac:dyDescent="0.25">
      <c r="B1" s="26" t="s">
        <v>0</v>
      </c>
      <c r="C1" s="27"/>
      <c r="D1" s="28"/>
      <c r="E1" s="66"/>
      <c r="F1" s="66"/>
      <c r="G1" s="66"/>
      <c r="H1" s="66"/>
      <c r="I1" s="66"/>
      <c r="J1" s="66"/>
      <c r="K1" s="66"/>
      <c r="L1" s="66"/>
      <c r="M1" s="28"/>
      <c r="N1" s="28"/>
      <c r="O1" s="28"/>
      <c r="P1" s="28"/>
      <c r="Q1" s="66"/>
      <c r="R1" s="66"/>
      <c r="S1" s="66"/>
      <c r="T1" s="66"/>
      <c r="U1" s="66"/>
      <c r="V1" s="66"/>
      <c r="W1" s="66"/>
      <c r="X1" s="66"/>
      <c r="Y1" s="66"/>
      <c r="Z1" s="66"/>
      <c r="AA1" s="66"/>
      <c r="AB1" s="66"/>
    </row>
    <row r="2" spans="2:28" ht="26.1" customHeight="1" x14ac:dyDescent="0.25">
      <c r="B2" s="30" t="s">
        <v>484</v>
      </c>
      <c r="C2" s="31"/>
      <c r="D2" s="32"/>
      <c r="E2" s="68"/>
      <c r="F2" s="68"/>
      <c r="G2" s="68"/>
      <c r="H2" s="68"/>
      <c r="I2" s="68"/>
      <c r="J2" s="68"/>
      <c r="K2" s="68"/>
      <c r="L2" s="68"/>
      <c r="M2" s="32"/>
      <c r="N2" s="32"/>
      <c r="O2" s="32"/>
      <c r="P2" s="32"/>
      <c r="Q2" s="68"/>
      <c r="R2" s="68"/>
      <c r="S2" s="68"/>
      <c r="T2" s="68"/>
      <c r="U2" s="68"/>
      <c r="V2" s="68"/>
      <c r="W2" s="68"/>
      <c r="X2" s="68"/>
      <c r="Y2" s="68"/>
      <c r="Z2" s="68"/>
      <c r="AA2" s="68"/>
      <c r="AB2" s="68"/>
    </row>
    <row r="3" spans="2:28" ht="33.950000000000003" customHeight="1" x14ac:dyDescent="0.25">
      <c r="C3" s="1"/>
    </row>
    <row r="4" spans="2:28" x14ac:dyDescent="0.25">
      <c r="C4" s="2" t="s">
        <v>485</v>
      </c>
    </row>
    <row r="6" spans="2:28" ht="42" customHeight="1" x14ac:dyDescent="0.25">
      <c r="C6" s="15" t="s">
        <v>294</v>
      </c>
      <c r="D6" s="15" t="s">
        <v>246</v>
      </c>
      <c r="E6" s="15" t="s">
        <v>166</v>
      </c>
      <c r="F6" s="15" t="s">
        <v>486</v>
      </c>
      <c r="G6" s="15" t="s">
        <v>465</v>
      </c>
      <c r="H6" s="15" t="s">
        <v>478</v>
      </c>
      <c r="I6" s="15" t="s">
        <v>487</v>
      </c>
      <c r="J6" s="15" t="s">
        <v>488</v>
      </c>
      <c r="K6" s="15" t="s">
        <v>489</v>
      </c>
      <c r="L6" s="15" t="s">
        <v>490</v>
      </c>
      <c r="M6" s="15" t="s">
        <v>491</v>
      </c>
      <c r="N6" s="15" t="s">
        <v>492</v>
      </c>
      <c r="O6" s="15" t="s">
        <v>493</v>
      </c>
      <c r="P6" s="15" t="s">
        <v>76</v>
      </c>
      <c r="Q6" s="15" t="s">
        <v>494</v>
      </c>
      <c r="R6" s="15" t="s">
        <v>495</v>
      </c>
      <c r="S6" s="15" t="s">
        <v>496</v>
      </c>
      <c r="T6" s="15" t="s">
        <v>497</v>
      </c>
      <c r="U6" s="15" t="s">
        <v>480</v>
      </c>
      <c r="V6" s="15" t="s">
        <v>481</v>
      </c>
      <c r="W6" s="15" t="s">
        <v>498</v>
      </c>
      <c r="X6" s="15" t="s">
        <v>499</v>
      </c>
      <c r="Y6" s="15" t="s">
        <v>500</v>
      </c>
      <c r="Z6" s="15" t="s">
        <v>154</v>
      </c>
      <c r="AA6" s="15" t="s">
        <v>501</v>
      </c>
    </row>
  </sheetData>
  <pageMargins left="0.4" right="0.4" top="0.5" bottom="0.5" header="0.3" footer="0.3"/>
  <pageSetup paperSize="9" fitToHeight="0" orientation="landscape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Checks">
    <tabColor rgb="FF2E75B6"/>
    <pageSetUpPr fitToPage="1"/>
  </sheetPr>
  <dimension ref="A1:AB6"/>
  <sheetViews>
    <sheetView showGridLines="0" zoomScale="90" zoomScaleNormal="90" workbookViewId="0">
      <pane xSplit="3" ySplit="6" topLeftCell="D7" activePane="bottomRight" state="frozen"/>
      <selection pane="topRight" activeCell="D3" sqref="D3"/>
      <selection pane="bottomLeft" activeCell="C7" sqref="C7"/>
      <selection pane="bottomRight" sqref="A1:XFD2"/>
    </sheetView>
  </sheetViews>
  <sheetFormatPr defaultRowHeight="15" x14ac:dyDescent="0.25"/>
  <cols>
    <col min="1" max="2" width="4" customWidth="1"/>
    <col min="3" max="3" width="10.75" style="7" customWidth="1"/>
    <col min="4" max="4" width="13.75" style="7" customWidth="1"/>
    <col min="5" max="5" width="6.75" style="10" customWidth="1"/>
    <col min="6" max="6" width="22.75" style="7" customWidth="1"/>
    <col min="7" max="7" width="110.75" style="7" customWidth="1"/>
  </cols>
  <sheetData>
    <row r="1" spans="2:28" ht="24" customHeight="1" x14ac:dyDescent="0.25">
      <c r="B1" s="26" t="s">
        <v>0</v>
      </c>
      <c r="C1" s="27"/>
      <c r="D1" s="28"/>
      <c r="E1" s="66"/>
      <c r="F1" s="66"/>
      <c r="G1" s="66"/>
      <c r="H1" s="66"/>
      <c r="I1" s="66"/>
      <c r="J1" s="66"/>
      <c r="K1" s="66"/>
      <c r="L1" s="66"/>
      <c r="M1" s="28"/>
      <c r="N1" s="28"/>
      <c r="O1" s="28"/>
      <c r="P1" s="28"/>
      <c r="Q1" s="66"/>
      <c r="R1" s="66"/>
      <c r="S1" s="66"/>
      <c r="T1" s="66"/>
      <c r="U1" s="66"/>
      <c r="V1" s="66"/>
      <c r="W1" s="66"/>
      <c r="X1" s="66"/>
      <c r="Y1" s="66"/>
      <c r="Z1" s="66"/>
      <c r="AA1" s="66"/>
      <c r="AB1" s="66"/>
    </row>
    <row r="2" spans="2:28" ht="26.1" customHeight="1" x14ac:dyDescent="0.25">
      <c r="B2" s="30" t="s">
        <v>66</v>
      </c>
      <c r="C2" s="31"/>
      <c r="D2" s="32"/>
      <c r="E2" s="68"/>
      <c r="F2" s="68"/>
      <c r="G2" s="68"/>
      <c r="H2" s="68"/>
      <c r="I2" s="68"/>
      <c r="J2" s="68"/>
      <c r="K2" s="68"/>
      <c r="L2" s="68"/>
      <c r="M2" s="32"/>
      <c r="N2" s="32"/>
      <c r="O2" s="32"/>
      <c r="P2" s="32"/>
      <c r="Q2" s="68"/>
      <c r="R2" s="68"/>
      <c r="S2" s="68"/>
      <c r="T2" s="68"/>
      <c r="U2" s="68"/>
      <c r="V2" s="68"/>
      <c r="W2" s="68"/>
      <c r="X2" s="68"/>
      <c r="Y2" s="68"/>
      <c r="Z2" s="68"/>
      <c r="AA2" s="68"/>
      <c r="AB2" s="68"/>
    </row>
    <row r="3" spans="2:28" ht="33.950000000000003" customHeight="1" x14ac:dyDescent="0.25">
      <c r="C3" s="1"/>
    </row>
    <row r="4" spans="2:28" x14ac:dyDescent="0.25">
      <c r="C4" s="2" t="s">
        <v>503</v>
      </c>
    </row>
    <row r="6" spans="2:28" ht="42" customHeight="1" x14ac:dyDescent="0.25">
      <c r="C6" s="15" t="s">
        <v>504</v>
      </c>
      <c r="D6" s="15" t="s">
        <v>505</v>
      </c>
      <c r="E6" s="15" t="s">
        <v>506</v>
      </c>
      <c r="F6" s="15" t="s">
        <v>109</v>
      </c>
      <c r="G6" s="15" t="s">
        <v>507</v>
      </c>
    </row>
  </sheetData>
  <pageMargins left="0.4" right="0.4" top="0.5" bottom="0.5" header="0.3" footer="0.3"/>
  <pageSetup paperSize="9" fitToHeight="0" orientation="landscape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TestCatalogue">
    <tabColor rgb="FF548235"/>
    <pageSetUpPr fitToPage="1"/>
  </sheetPr>
  <dimension ref="B1:AB40"/>
  <sheetViews>
    <sheetView showGridLines="0" zoomScale="90" zoomScaleNormal="90" workbookViewId="0">
      <pane xSplit="3" ySplit="6" topLeftCell="D7" activePane="bottomRight" state="frozen"/>
      <selection pane="topRight" activeCell="D3" sqref="D3"/>
      <selection pane="bottomLeft" activeCell="C7" sqref="C7"/>
      <selection pane="bottomRight" sqref="A1:XFD2"/>
    </sheetView>
  </sheetViews>
  <sheetFormatPr defaultRowHeight="15" x14ac:dyDescent="0.25"/>
  <cols>
    <col min="1" max="2" width="4" customWidth="1"/>
    <col min="3" max="3" width="6.75" customWidth="1"/>
    <col min="4" max="4" width="16.75" customWidth="1"/>
    <col min="5" max="5" width="46.75" customWidth="1"/>
    <col min="6" max="6" width="30.75" customWidth="1"/>
    <col min="7" max="7" width="26.75" customWidth="1"/>
    <col min="8" max="8" width="8.75" customWidth="1"/>
    <col min="9" max="9" width="10.75" customWidth="1"/>
    <col min="10" max="10" width="14.75" customWidth="1"/>
    <col min="11" max="11" width="20.75" customWidth="1"/>
    <col min="12" max="12" width="18.75" customWidth="1"/>
    <col min="13" max="14" width="9.75" customWidth="1"/>
    <col min="15" max="15" width="18.75" customWidth="1"/>
    <col min="16" max="16" width="10.75" customWidth="1"/>
    <col min="17" max="17" width="8.75" customWidth="1"/>
    <col min="18" max="18" width="50.75" customWidth="1"/>
  </cols>
  <sheetData>
    <row r="1" spans="2:28" ht="24" customHeight="1" x14ac:dyDescent="0.25">
      <c r="B1" s="26" t="s">
        <v>0</v>
      </c>
      <c r="C1" s="27"/>
      <c r="D1" s="28"/>
      <c r="E1" s="66"/>
      <c r="F1" s="66"/>
      <c r="G1" s="66"/>
      <c r="H1" s="66"/>
      <c r="I1" s="66"/>
      <c r="J1" s="66"/>
      <c r="K1" s="66"/>
      <c r="L1" s="66"/>
      <c r="M1" s="28"/>
      <c r="N1" s="28"/>
      <c r="O1" s="28"/>
      <c r="P1" s="28"/>
      <c r="Q1" s="66"/>
      <c r="R1" s="66"/>
      <c r="S1" s="66"/>
      <c r="T1" s="66"/>
      <c r="U1" s="66"/>
      <c r="V1" s="66"/>
      <c r="W1" s="66"/>
      <c r="X1" s="66"/>
      <c r="Y1" s="66"/>
      <c r="Z1" s="66"/>
      <c r="AA1" s="66"/>
      <c r="AB1" s="66"/>
    </row>
    <row r="2" spans="2:28" ht="26.1" customHeight="1" x14ac:dyDescent="0.25">
      <c r="B2" s="30" t="s">
        <v>560</v>
      </c>
      <c r="C2" s="31"/>
      <c r="D2" s="32"/>
      <c r="E2" s="68"/>
      <c r="F2" s="68"/>
      <c r="G2" s="68"/>
      <c r="H2" s="68"/>
      <c r="I2" s="68"/>
      <c r="J2" s="68"/>
      <c r="K2" s="68"/>
      <c r="L2" s="68"/>
      <c r="M2" s="32"/>
      <c r="N2" s="32"/>
      <c r="O2" s="32"/>
      <c r="P2" s="32"/>
      <c r="Q2" s="68"/>
      <c r="R2" s="68"/>
      <c r="S2" s="68"/>
      <c r="T2" s="68"/>
      <c r="U2" s="68"/>
      <c r="V2" s="68"/>
      <c r="W2" s="68"/>
      <c r="X2" s="68"/>
      <c r="Y2" s="68"/>
      <c r="Z2" s="68"/>
      <c r="AA2" s="68"/>
      <c r="AB2" s="68"/>
    </row>
    <row r="3" spans="2:28" ht="33.950000000000003" customHeight="1" x14ac:dyDescent="0.25">
      <c r="C3" s="1"/>
    </row>
    <row r="4" spans="2:28" x14ac:dyDescent="0.25">
      <c r="C4" s="2" t="s">
        <v>561</v>
      </c>
    </row>
    <row r="6" spans="2:28" ht="42" customHeight="1" x14ac:dyDescent="0.25">
      <c r="C6" s="6" t="s">
        <v>510</v>
      </c>
      <c r="D6" s="6" t="s">
        <v>562</v>
      </c>
      <c r="E6" s="6" t="s">
        <v>107</v>
      </c>
      <c r="F6" s="6" t="s">
        <v>563</v>
      </c>
      <c r="G6" s="6" t="s">
        <v>564</v>
      </c>
      <c r="H6" s="6" t="s">
        <v>154</v>
      </c>
      <c r="I6" s="6" t="s">
        <v>505</v>
      </c>
      <c r="J6" s="6" t="s">
        <v>109</v>
      </c>
      <c r="K6" s="6" t="s">
        <v>565</v>
      </c>
      <c r="L6" s="6" t="s">
        <v>512</v>
      </c>
      <c r="M6" s="6" t="s">
        <v>566</v>
      </c>
      <c r="N6" s="6" t="s">
        <v>567</v>
      </c>
      <c r="O6" s="6" t="s">
        <v>568</v>
      </c>
      <c r="P6" s="6" t="s">
        <v>569</v>
      </c>
      <c r="Q6" s="6" t="s">
        <v>515</v>
      </c>
      <c r="R6" s="6" t="s">
        <v>570</v>
      </c>
    </row>
    <row r="7" spans="2:28" x14ac:dyDescent="0.25">
      <c r="C7" s="4" t="s">
        <v>571</v>
      </c>
      <c r="D7" s="5" t="s">
        <v>572</v>
      </c>
      <c r="E7" s="5" t="s">
        <v>573</v>
      </c>
      <c r="F7" s="5" t="s">
        <v>574</v>
      </c>
      <c r="G7" s="5" t="s">
        <v>575</v>
      </c>
      <c r="H7" s="5" t="s">
        <v>262</v>
      </c>
      <c r="I7" s="5" t="s">
        <v>64</v>
      </c>
      <c r="J7" s="5" t="s">
        <v>302</v>
      </c>
      <c r="K7" s="5" t="s">
        <v>494</v>
      </c>
      <c r="L7" s="19">
        <v>78694</v>
      </c>
      <c r="M7" s="5" t="s">
        <v>576</v>
      </c>
      <c r="N7" s="20">
        <v>0.5</v>
      </c>
      <c r="O7" s="21">
        <f>IFERROR(INDEX(TradeCalc!$C$7:$AA$3002,MATCH($J7,TradeCalc!$C$7:$C$3002,0),MATCH($K7,TradeCalc!$C$6:$AA$6,0)),"n/a")</f>
        <v>78693.868057473315</v>
      </c>
      <c r="P7" s="20">
        <f t="shared" ref="P7:P34" si="0">IF(AND(ISNUMBER(O7),ISNUMBER(L7)),O7-L7,"")</f>
        <v>-0.13194252668472473</v>
      </c>
      <c r="Q7" s="22" t="str">
        <f t="shared" ref="Q7:Q34" si="1">IF(M7="text",IF(O7&amp;""=L7&amp;"","PASS","FAIL"),IF(NOT(ISNUMBER(O7)),"FAIL",IF(M7="rel",IF(ABS(P7)&lt;=N7*MAX(1,ABS(L7)),"PASS","FAIL"),IF(ABS(P7)&lt;=N7,"PASS","FAIL"))))</f>
        <v>PASS</v>
      </c>
      <c r="R7" s="5"/>
    </row>
    <row r="8" spans="2:28" x14ac:dyDescent="0.25">
      <c r="C8" s="4" t="s">
        <v>577</v>
      </c>
      <c r="D8" s="5" t="s">
        <v>572</v>
      </c>
      <c r="E8" s="5" t="s">
        <v>578</v>
      </c>
      <c r="F8" s="5" t="s">
        <v>579</v>
      </c>
      <c r="G8" s="5" t="s">
        <v>575</v>
      </c>
      <c r="H8" s="5" t="s">
        <v>262</v>
      </c>
      <c r="I8" s="5" t="s">
        <v>64</v>
      </c>
      <c r="J8" s="5" t="s">
        <v>310</v>
      </c>
      <c r="K8" s="5" t="s">
        <v>495</v>
      </c>
      <c r="L8" s="19">
        <v>-0.27</v>
      </c>
      <c r="M8" s="5" t="s">
        <v>576</v>
      </c>
      <c r="N8" s="20">
        <v>5.0000000000000001E-3</v>
      </c>
      <c r="O8" s="21">
        <f>IFERROR(INDEX(TradeCalc!$C$7:$AA$3002,MATCH($J8,TradeCalc!$C$7:$C$3002,0),MATCH($K8,TradeCalc!$C$6:$AA$6,0)),"n/a")</f>
        <v>-0.26939521771053271</v>
      </c>
      <c r="P8" s="20">
        <f t="shared" si="0"/>
        <v>6.0478228946730939E-4</v>
      </c>
      <c r="Q8" s="22" t="str">
        <f t="shared" si="1"/>
        <v>PASS</v>
      </c>
      <c r="R8" s="5"/>
    </row>
    <row r="9" spans="2:28" x14ac:dyDescent="0.25">
      <c r="C9" s="4" t="s">
        <v>580</v>
      </c>
      <c r="D9" s="5" t="s">
        <v>572</v>
      </c>
      <c r="E9" s="5" t="s">
        <v>581</v>
      </c>
      <c r="F9" s="5" t="s">
        <v>579</v>
      </c>
      <c r="G9" s="5" t="s">
        <v>575</v>
      </c>
      <c r="H9" s="5" t="s">
        <v>262</v>
      </c>
      <c r="I9" s="5" t="s">
        <v>58</v>
      </c>
      <c r="J9" s="5" t="s">
        <v>259</v>
      </c>
      <c r="K9" s="5" t="s">
        <v>448</v>
      </c>
      <c r="L9" s="19">
        <v>347</v>
      </c>
      <c r="M9" s="5" t="s">
        <v>576</v>
      </c>
      <c r="N9" s="20">
        <v>0.5</v>
      </c>
      <c r="O9" s="21">
        <f>IFERROR(INDEX(Results!$C$7:$AC$3002,MATCH($J9,Results!$C$7:$C$3002,0),MATCH($K9,Results!$C$6:$AC$6,0)),"n/a")</f>
        <v>346.76438638381836</v>
      </c>
      <c r="P9" s="20">
        <f t="shared" si="0"/>
        <v>-0.23561361618163801</v>
      </c>
      <c r="Q9" s="22" t="str">
        <f t="shared" si="1"/>
        <v>PASS</v>
      </c>
      <c r="R9" s="5"/>
    </row>
    <row r="10" spans="2:28" x14ac:dyDescent="0.25">
      <c r="C10" s="4" t="s">
        <v>582</v>
      </c>
      <c r="D10" s="5" t="s">
        <v>572</v>
      </c>
      <c r="E10" s="5" t="s">
        <v>583</v>
      </c>
      <c r="F10" s="5" t="s">
        <v>579</v>
      </c>
      <c r="G10" s="5" t="s">
        <v>575</v>
      </c>
      <c r="H10" s="5" t="s">
        <v>262</v>
      </c>
      <c r="I10" s="5" t="s">
        <v>58</v>
      </c>
      <c r="J10" s="5" t="s">
        <v>259</v>
      </c>
      <c r="K10" s="5" t="s">
        <v>32</v>
      </c>
      <c r="L10" s="19">
        <v>569</v>
      </c>
      <c r="M10" s="5" t="s">
        <v>576</v>
      </c>
      <c r="N10" s="20">
        <v>0.5</v>
      </c>
      <c r="O10" s="21">
        <f>IFERROR(INDEX(Results!$C$7:$AC$3002,MATCH($J10,Results!$C$7:$C$3002,0),MATCH($K10,Results!$C$6:$AC$6,0)),"n/a")</f>
        <v>569.47014093734572</v>
      </c>
      <c r="P10" s="20">
        <f t="shared" si="0"/>
        <v>0.47014093734571816</v>
      </c>
      <c r="Q10" s="22" t="str">
        <f t="shared" si="1"/>
        <v>PASS</v>
      </c>
      <c r="R10" s="5"/>
    </row>
    <row r="11" spans="2:28" x14ac:dyDescent="0.25">
      <c r="C11" s="4" t="s">
        <v>584</v>
      </c>
      <c r="D11" s="5" t="s">
        <v>585</v>
      </c>
      <c r="E11" s="5" t="s">
        <v>586</v>
      </c>
      <c r="F11" s="5" t="s">
        <v>587</v>
      </c>
      <c r="G11" s="5" t="s">
        <v>575</v>
      </c>
      <c r="H11" s="5" t="s">
        <v>262</v>
      </c>
      <c r="I11" s="5" t="s">
        <v>58</v>
      </c>
      <c r="J11" s="5" t="s">
        <v>263</v>
      </c>
      <c r="K11" s="5" t="s">
        <v>455</v>
      </c>
      <c r="L11" s="19">
        <v>0.96499999999999997</v>
      </c>
      <c r="M11" s="5" t="s">
        <v>576</v>
      </c>
      <c r="N11" s="20">
        <v>5.0000000000000001E-4</v>
      </c>
      <c r="O11" s="21">
        <f>IFERROR(INDEX(Results!$C$7:$AC$3002,MATCH($J11,Results!$C$7:$C$3002,0),MATCH($K11,Results!$C$6:$AC$6,0)),"n/a")</f>
        <v>0.96520828099799905</v>
      </c>
      <c r="P11" s="20">
        <f t="shared" si="0"/>
        <v>2.082809979990774E-4</v>
      </c>
      <c r="Q11" s="22" t="str">
        <f t="shared" si="1"/>
        <v>PASS</v>
      </c>
      <c r="R11" s="5"/>
    </row>
    <row r="12" spans="2:28" x14ac:dyDescent="0.25">
      <c r="C12" s="4" t="s">
        <v>588</v>
      </c>
      <c r="D12" s="5" t="s">
        <v>585</v>
      </c>
      <c r="E12" s="5" t="s">
        <v>589</v>
      </c>
      <c r="F12" s="5" t="s">
        <v>587</v>
      </c>
      <c r="G12" s="5" t="s">
        <v>575</v>
      </c>
      <c r="H12" s="5" t="s">
        <v>262</v>
      </c>
      <c r="I12" s="5" t="s">
        <v>58</v>
      </c>
      <c r="J12" s="5" t="s">
        <v>263</v>
      </c>
      <c r="K12" s="5" t="s">
        <v>32</v>
      </c>
      <c r="L12" s="19">
        <v>381</v>
      </c>
      <c r="M12" s="5" t="s">
        <v>576</v>
      </c>
      <c r="N12" s="20">
        <v>0.5</v>
      </c>
      <c r="O12" s="21">
        <f>IFERROR(INDEX(Results!$C$7:$AC$3002,MATCH($J12,Results!$C$7:$C$3002,0),MATCH($K12,Results!$C$6:$AC$6,0)),"n/a")</f>
        <v>381.23831874693923</v>
      </c>
      <c r="P12" s="20">
        <f t="shared" si="0"/>
        <v>0.23831874693922828</v>
      </c>
      <c r="Q12" s="22" t="str">
        <f t="shared" si="1"/>
        <v>PASS</v>
      </c>
      <c r="R12" s="5"/>
    </row>
    <row r="13" spans="2:28" ht="27" x14ac:dyDescent="0.25">
      <c r="C13" s="4" t="s">
        <v>590</v>
      </c>
      <c r="D13" s="5" t="s">
        <v>591</v>
      </c>
      <c r="E13" s="5" t="s">
        <v>592</v>
      </c>
      <c r="F13" s="5" t="s">
        <v>593</v>
      </c>
      <c r="G13" s="5" t="s">
        <v>575</v>
      </c>
      <c r="H13" s="5" t="s">
        <v>262</v>
      </c>
      <c r="I13" s="5" t="s">
        <v>58</v>
      </c>
      <c r="J13" s="5" t="s">
        <v>265</v>
      </c>
      <c r="K13" s="5" t="s">
        <v>32</v>
      </c>
      <c r="L13" s="19">
        <v>5406</v>
      </c>
      <c r="M13" s="5" t="s">
        <v>576</v>
      </c>
      <c r="N13" s="20">
        <v>2</v>
      </c>
      <c r="O13" s="21">
        <f>IFERROR(INDEX(Results!$C$7:$AC$3002,MATCH($J13,Results!$C$7:$C$3002,0),MATCH($K13,Results!$C$6:$AC$6,0)),"n/a")</f>
        <v>5404.6196874934731</v>
      </c>
      <c r="P13" s="20">
        <f t="shared" si="0"/>
        <v>-1.3803125065269342</v>
      </c>
      <c r="Q13" s="22" t="str">
        <f t="shared" si="1"/>
        <v>PASS</v>
      </c>
      <c r="R13" s="5" t="s">
        <v>594</v>
      </c>
    </row>
    <row r="14" spans="2:28" x14ac:dyDescent="0.25">
      <c r="C14" s="4" t="s">
        <v>595</v>
      </c>
      <c r="D14" s="5" t="s">
        <v>596</v>
      </c>
      <c r="E14" s="5" t="s">
        <v>597</v>
      </c>
      <c r="F14" s="5" t="s">
        <v>598</v>
      </c>
      <c r="G14" s="5" t="s">
        <v>575</v>
      </c>
      <c r="H14" s="5" t="s">
        <v>262</v>
      </c>
      <c r="I14" s="5" t="s">
        <v>58</v>
      </c>
      <c r="J14" s="5" t="s">
        <v>267</v>
      </c>
      <c r="K14" s="5" t="s">
        <v>33</v>
      </c>
      <c r="L14" s="19">
        <v>40</v>
      </c>
      <c r="M14" s="5" t="s">
        <v>576</v>
      </c>
      <c r="N14" s="20">
        <v>0.5</v>
      </c>
      <c r="O14" s="21">
        <f>IFERROR(INDEX(Results!$C$7:$AC$3002,MATCH($J14,Results!$C$7:$C$3002,0),MATCH($K14,Results!$C$6:$AC$6,0)),"n/a")</f>
        <v>40</v>
      </c>
      <c r="P14" s="20">
        <f t="shared" si="0"/>
        <v>0</v>
      </c>
      <c r="Q14" s="22" t="str">
        <f t="shared" si="1"/>
        <v>PASS</v>
      </c>
      <c r="R14" s="5"/>
    </row>
    <row r="15" spans="2:28" x14ac:dyDescent="0.25">
      <c r="C15" s="4" t="s">
        <v>599</v>
      </c>
      <c r="D15" s="5" t="s">
        <v>596</v>
      </c>
      <c r="E15" s="5" t="s">
        <v>600</v>
      </c>
      <c r="F15" s="5" t="s">
        <v>598</v>
      </c>
      <c r="G15" s="5" t="s">
        <v>575</v>
      </c>
      <c r="H15" s="5" t="s">
        <v>262</v>
      </c>
      <c r="I15" s="5" t="s">
        <v>58</v>
      </c>
      <c r="J15" s="5" t="s">
        <v>267</v>
      </c>
      <c r="K15" s="5" t="s">
        <v>454</v>
      </c>
      <c r="L15" s="19">
        <v>629</v>
      </c>
      <c r="M15" s="5" t="s">
        <v>576</v>
      </c>
      <c r="N15" s="20">
        <v>0.5</v>
      </c>
      <c r="O15" s="21">
        <f>IFERROR(INDEX(Results!$C$7:$AC$3002,MATCH($J15,Results!$C$7:$C$3002,0),MATCH($K15,Results!$C$6:$AC$6,0)),"n/a")</f>
        <v>628.89321824348497</v>
      </c>
      <c r="P15" s="20">
        <f t="shared" si="0"/>
        <v>-0.10678175651503352</v>
      </c>
      <c r="Q15" s="22" t="str">
        <f t="shared" si="1"/>
        <v>PASS</v>
      </c>
      <c r="R15" s="5"/>
    </row>
    <row r="16" spans="2:28" ht="27" x14ac:dyDescent="0.25">
      <c r="C16" s="4" t="s">
        <v>601</v>
      </c>
      <c r="D16" s="5" t="s">
        <v>596</v>
      </c>
      <c r="E16" s="5" t="s">
        <v>602</v>
      </c>
      <c r="F16" s="5" t="s">
        <v>598</v>
      </c>
      <c r="G16" s="5" t="s">
        <v>575</v>
      </c>
      <c r="H16" s="5" t="s">
        <v>262</v>
      </c>
      <c r="I16" s="5" t="s">
        <v>58</v>
      </c>
      <c r="J16" s="5" t="s">
        <v>267</v>
      </c>
      <c r="K16" s="5" t="s">
        <v>32</v>
      </c>
      <c r="L16" s="19">
        <v>936</v>
      </c>
      <c r="M16" s="5" t="s">
        <v>576</v>
      </c>
      <c r="N16" s="20">
        <v>0.6</v>
      </c>
      <c r="O16" s="21">
        <f>IFERROR(INDEX(Results!$C$7:$AC$3002,MATCH($J16,Results!$C$7:$C$3002,0),MATCH($K16,Results!$C$6:$AC$6,0)),"n/a")</f>
        <v>936.45050554087891</v>
      </c>
      <c r="P16" s="20">
        <f t="shared" si="0"/>
        <v>0.4505055408789076</v>
      </c>
      <c r="Q16" s="22" t="str">
        <f t="shared" si="1"/>
        <v>PASS</v>
      </c>
      <c r="R16" s="5" t="s">
        <v>603</v>
      </c>
    </row>
    <row r="17" spans="3:18" x14ac:dyDescent="0.25">
      <c r="C17" s="4" t="s">
        <v>604</v>
      </c>
      <c r="D17" s="5" t="s">
        <v>605</v>
      </c>
      <c r="E17" s="5" t="s">
        <v>606</v>
      </c>
      <c r="F17" s="5" t="s">
        <v>607</v>
      </c>
      <c r="G17" s="5" t="s">
        <v>575</v>
      </c>
      <c r="H17" s="5" t="s">
        <v>262</v>
      </c>
      <c r="I17" s="5" t="s">
        <v>58</v>
      </c>
      <c r="J17" s="5" t="s">
        <v>269</v>
      </c>
      <c r="K17" s="5" t="s">
        <v>445</v>
      </c>
      <c r="L17" s="19">
        <v>14</v>
      </c>
      <c r="M17" s="5" t="s">
        <v>576</v>
      </c>
      <c r="N17" s="20">
        <v>0</v>
      </c>
      <c r="O17" s="21">
        <f>IFERROR(INDEX(Results!$C$7:$AC$3002,MATCH($J17,Results!$C$7:$C$3002,0),MATCH($K17,Results!$C$6:$AC$6,0)),"n/a")</f>
        <v>14</v>
      </c>
      <c r="P17" s="20">
        <f t="shared" si="0"/>
        <v>0</v>
      </c>
      <c r="Q17" s="22" t="str">
        <f t="shared" si="1"/>
        <v>PASS</v>
      </c>
      <c r="R17" s="5"/>
    </row>
    <row r="18" spans="3:18" x14ac:dyDescent="0.25">
      <c r="C18" s="4" t="s">
        <v>608</v>
      </c>
      <c r="D18" s="5" t="s">
        <v>605</v>
      </c>
      <c r="E18" s="5" t="s">
        <v>609</v>
      </c>
      <c r="F18" s="5" t="s">
        <v>607</v>
      </c>
      <c r="G18" s="5" t="s">
        <v>575</v>
      </c>
      <c r="H18" s="5" t="s">
        <v>262</v>
      </c>
      <c r="I18" s="5" t="s">
        <v>58</v>
      </c>
      <c r="J18" s="5" t="s">
        <v>269</v>
      </c>
      <c r="K18" s="5" t="s">
        <v>454</v>
      </c>
      <c r="L18" s="19">
        <v>1401</v>
      </c>
      <c r="M18" s="5" t="s">
        <v>576</v>
      </c>
      <c r="N18" s="20">
        <v>0.5</v>
      </c>
      <c r="O18" s="21">
        <f>IFERROR(INDEX(Results!$C$7:$AC$3002,MATCH($J18,Results!$C$7:$C$3002,0),MATCH($K18,Results!$C$6:$AC$6,0)),"n/a")</f>
        <v>1400.9623796965723</v>
      </c>
      <c r="P18" s="20">
        <f t="shared" si="0"/>
        <v>-3.7620303427729596E-2</v>
      </c>
      <c r="Q18" s="22" t="str">
        <f t="shared" si="1"/>
        <v>PASS</v>
      </c>
      <c r="R18" s="5"/>
    </row>
    <row r="19" spans="3:18" x14ac:dyDescent="0.25">
      <c r="C19" s="4" t="s">
        <v>610</v>
      </c>
      <c r="D19" s="5" t="s">
        <v>605</v>
      </c>
      <c r="E19" s="5" t="s">
        <v>611</v>
      </c>
      <c r="F19" s="5" t="s">
        <v>607</v>
      </c>
      <c r="G19" s="5" t="s">
        <v>575</v>
      </c>
      <c r="H19" s="5" t="s">
        <v>262</v>
      </c>
      <c r="I19" s="5" t="s">
        <v>58</v>
      </c>
      <c r="J19" s="5" t="s">
        <v>269</v>
      </c>
      <c r="K19" s="5" t="s">
        <v>455</v>
      </c>
      <c r="L19" s="19">
        <v>0.95799999999999996</v>
      </c>
      <c r="M19" s="5" t="s">
        <v>576</v>
      </c>
      <c r="N19" s="20">
        <v>5.0000000000000001E-4</v>
      </c>
      <c r="O19" s="21">
        <f>IFERROR(INDEX(Results!$C$7:$AC$3002,MATCH($J19,Results!$C$7:$C$3002,0),MATCH($K19,Results!$C$6:$AC$6,0)),"n/a")</f>
        <v>0.95812332739266304</v>
      </c>
      <c r="P19" s="20">
        <f t="shared" si="0"/>
        <v>1.2332739266307513E-4</v>
      </c>
      <c r="Q19" s="22" t="str">
        <f t="shared" si="1"/>
        <v>PASS</v>
      </c>
      <c r="R19" s="5"/>
    </row>
    <row r="20" spans="3:18" x14ac:dyDescent="0.25">
      <c r="C20" s="4" t="s">
        <v>612</v>
      </c>
      <c r="D20" s="5" t="s">
        <v>605</v>
      </c>
      <c r="E20" s="5" t="s">
        <v>613</v>
      </c>
      <c r="F20" s="5" t="s">
        <v>607</v>
      </c>
      <c r="G20" s="5" t="s">
        <v>575</v>
      </c>
      <c r="H20" s="5" t="s">
        <v>262</v>
      </c>
      <c r="I20" s="5" t="s">
        <v>58</v>
      </c>
      <c r="J20" s="5" t="s">
        <v>269</v>
      </c>
      <c r="K20" s="5" t="s">
        <v>32</v>
      </c>
      <c r="L20" s="19">
        <v>1879</v>
      </c>
      <c r="M20" s="5" t="s">
        <v>576</v>
      </c>
      <c r="N20" s="20">
        <v>0.5</v>
      </c>
      <c r="O20" s="21">
        <f>IFERROR(INDEX(Results!$C$7:$AC$3002,MATCH($J20,Results!$C$7:$C$3002,0),MATCH($K20,Results!$C$6:$AC$6,0)),"n/a")</f>
        <v>1879.2126315015523</v>
      </c>
      <c r="P20" s="20">
        <f t="shared" si="0"/>
        <v>0.21263150155232324</v>
      </c>
      <c r="Q20" s="22" t="str">
        <f t="shared" si="1"/>
        <v>PASS</v>
      </c>
      <c r="R20" s="5"/>
    </row>
    <row r="21" spans="3:18" ht="27" x14ac:dyDescent="0.25">
      <c r="C21" s="4" t="s">
        <v>614</v>
      </c>
      <c r="D21" s="5" t="s">
        <v>615</v>
      </c>
      <c r="E21" s="5" t="s">
        <v>616</v>
      </c>
      <c r="F21" s="5" t="s">
        <v>617</v>
      </c>
      <c r="G21" s="5" t="s">
        <v>618</v>
      </c>
      <c r="H21" s="5" t="s">
        <v>156</v>
      </c>
      <c r="I21" s="5" t="s">
        <v>58</v>
      </c>
      <c r="J21" s="5" t="s">
        <v>272</v>
      </c>
      <c r="K21" s="5" t="s">
        <v>32</v>
      </c>
      <c r="L21" s="19">
        <v>1879</v>
      </c>
      <c r="M21" s="5" t="s">
        <v>576</v>
      </c>
      <c r="N21" s="20">
        <v>0.5</v>
      </c>
      <c r="O21" s="21">
        <f>IFERROR(INDEX(Results!$C$7:$AC$3002,MATCH($J21,Results!$C$7:$C$3002,0),MATCH($K21,Results!$C$6:$AC$6,0)),"n/a")</f>
        <v>1879.2126315015523</v>
      </c>
      <c r="P21" s="20">
        <f t="shared" si="0"/>
        <v>0.21263150155232324</v>
      </c>
      <c r="Q21" s="22" t="str">
        <f t="shared" si="1"/>
        <v>PASS</v>
      </c>
      <c r="R21" s="5" t="s">
        <v>619</v>
      </c>
    </row>
    <row r="22" spans="3:18" ht="27" x14ac:dyDescent="0.25">
      <c r="C22" s="4" t="s">
        <v>620</v>
      </c>
      <c r="D22" s="5" t="s">
        <v>615</v>
      </c>
      <c r="E22" s="5" t="s">
        <v>819</v>
      </c>
      <c r="F22" s="5" t="s">
        <v>820</v>
      </c>
      <c r="G22" s="5" t="s">
        <v>621</v>
      </c>
      <c r="H22" s="5" t="s">
        <v>262</v>
      </c>
      <c r="I22" s="5" t="s">
        <v>58</v>
      </c>
      <c r="J22" s="5" t="s">
        <v>274</v>
      </c>
      <c r="K22" s="5" t="s">
        <v>32</v>
      </c>
      <c r="L22" s="19">
        <v>40774849.348603643</v>
      </c>
      <c r="M22" s="5" t="s">
        <v>622</v>
      </c>
      <c r="N22" s="20">
        <v>1.0000000000000001E-9</v>
      </c>
      <c r="O22" s="21">
        <f>IFERROR(INDEX(Results!$C$7:$AC$3002,MATCH($J22,Results!$C$7:$C$3002,0),MATCH($K22,Results!$C$6:$AC$6,0)),"n/a")</f>
        <v>40774849.348603636</v>
      </c>
      <c r="P22" s="20">
        <f t="shared" si="0"/>
        <v>-7.4505805969238281E-9</v>
      </c>
      <c r="Q22" s="22" t="str">
        <f t="shared" si="1"/>
        <v>PASS</v>
      </c>
      <c r="R22" s="5" t="s">
        <v>821</v>
      </c>
    </row>
    <row r="23" spans="3:18" ht="27" x14ac:dyDescent="0.25">
      <c r="C23" s="4" t="s">
        <v>623</v>
      </c>
      <c r="D23" s="5" t="s">
        <v>615</v>
      </c>
      <c r="E23" s="5" t="s">
        <v>624</v>
      </c>
      <c r="F23" s="5" t="s">
        <v>625</v>
      </c>
      <c r="G23" s="5" t="s">
        <v>621</v>
      </c>
      <c r="H23" s="5" t="s">
        <v>156</v>
      </c>
      <c r="I23" s="5" t="s">
        <v>58</v>
      </c>
      <c r="J23" s="5" t="s">
        <v>276</v>
      </c>
      <c r="K23" s="5" t="s">
        <v>32</v>
      </c>
      <c r="L23" s="19">
        <v>40774849.348603643</v>
      </c>
      <c r="M23" s="5" t="s">
        <v>622</v>
      </c>
      <c r="N23" s="20">
        <v>1.0000000000000001E-9</v>
      </c>
      <c r="O23" s="21">
        <f>IFERROR(INDEX(Results!$C$7:$AC$3002,MATCH($J23,Results!$C$7:$C$3002,0),MATCH($K23,Results!$C$6:$AC$6,0)),"n/a")</f>
        <v>40774849.348603636</v>
      </c>
      <c r="P23" s="20">
        <f t="shared" si="0"/>
        <v>-7.4505805969238281E-9</v>
      </c>
      <c r="Q23" s="22" t="str">
        <f t="shared" si="1"/>
        <v>PASS</v>
      </c>
      <c r="R23" s="5" t="s">
        <v>626</v>
      </c>
    </row>
    <row r="24" spans="3:18" ht="27" x14ac:dyDescent="0.25">
      <c r="C24" s="4" t="s">
        <v>627</v>
      </c>
      <c r="D24" s="5" t="s">
        <v>615</v>
      </c>
      <c r="E24" s="5" t="s">
        <v>628</v>
      </c>
      <c r="F24" s="5" t="s">
        <v>629</v>
      </c>
      <c r="G24" s="5" t="s">
        <v>621</v>
      </c>
      <c r="H24" s="5" t="s">
        <v>156</v>
      </c>
      <c r="I24" s="5" t="s">
        <v>58</v>
      </c>
      <c r="J24" s="5" t="s">
        <v>276</v>
      </c>
      <c r="K24" s="5" t="s">
        <v>458</v>
      </c>
      <c r="L24" s="23" t="s">
        <v>271</v>
      </c>
      <c r="M24" s="5" t="s">
        <v>630</v>
      </c>
      <c r="N24" s="20">
        <v>0</v>
      </c>
      <c r="O24" s="21" t="str">
        <f>IFERROR(INDEX(Results!$C$7:$AC$3002,MATCH($J24,Results!$C$7:$C$3002,0),MATCH($K24,Results!$C$6:$AC$6,0)),"n/a")</f>
        <v>Y</v>
      </c>
      <c r="P24" s="20" t="str">
        <f t="shared" si="0"/>
        <v/>
      </c>
      <c r="Q24" s="22" t="str">
        <f t="shared" si="1"/>
        <v>PASS</v>
      </c>
      <c r="R24" s="5"/>
    </row>
    <row r="25" spans="3:18" ht="27" x14ac:dyDescent="0.25">
      <c r="C25" s="4" t="s">
        <v>631</v>
      </c>
      <c r="D25" s="5" t="s">
        <v>632</v>
      </c>
      <c r="E25" s="5" t="s">
        <v>633</v>
      </c>
      <c r="F25" s="5" t="s">
        <v>634</v>
      </c>
      <c r="G25" s="5" t="s">
        <v>618</v>
      </c>
      <c r="H25" s="5" t="s">
        <v>156</v>
      </c>
      <c r="I25" s="5" t="s">
        <v>58</v>
      </c>
      <c r="J25" s="5" t="s">
        <v>278</v>
      </c>
      <c r="K25" s="5" t="s">
        <v>32</v>
      </c>
      <c r="L25" s="19">
        <v>760.49393283933853</v>
      </c>
      <c r="M25" s="5" t="s">
        <v>622</v>
      </c>
      <c r="N25" s="20">
        <v>1.0000000000000001E-9</v>
      </c>
      <c r="O25" s="21">
        <f>IFERROR(INDEX(Results!$C$7:$AC$3002,MATCH($J25,Results!$C$7:$C$3002,0),MATCH($K25,Results!$C$6:$AC$6,0)),"n/a")</f>
        <v>760.49393283933841</v>
      </c>
      <c r="P25" s="20">
        <f t="shared" si="0"/>
        <v>-1.1368683772161603E-13</v>
      </c>
      <c r="Q25" s="22" t="str">
        <f t="shared" si="1"/>
        <v>PASS</v>
      </c>
      <c r="R25" s="5" t="s">
        <v>635</v>
      </c>
    </row>
    <row r="26" spans="3:18" ht="27" x14ac:dyDescent="0.25">
      <c r="C26" s="4" t="s">
        <v>636</v>
      </c>
      <c r="D26" s="5" t="s">
        <v>632</v>
      </c>
      <c r="E26" s="5" t="s">
        <v>637</v>
      </c>
      <c r="F26" s="5" t="s">
        <v>160</v>
      </c>
      <c r="G26" s="5" t="s">
        <v>638</v>
      </c>
      <c r="H26" s="5" t="s">
        <v>156</v>
      </c>
      <c r="I26" s="5" t="s">
        <v>64</v>
      </c>
      <c r="J26" s="5" t="s">
        <v>356</v>
      </c>
      <c r="K26" s="5" t="s">
        <v>500</v>
      </c>
      <c r="L26" s="19">
        <v>3.0000000000000001E-3</v>
      </c>
      <c r="M26" s="5" t="s">
        <v>576</v>
      </c>
      <c r="N26" s="20">
        <v>9.9999999999999998E-13</v>
      </c>
      <c r="O26" s="21">
        <f>IFERROR(INDEX(TradeCalc!$C$7:$AA$3002,MATCH($J26,TradeCalc!$C$7:$C$3002,0),MATCH($K26,TradeCalc!$C$6:$AA$6,0)),"n/a")</f>
        <v>3.0000000000000001E-3</v>
      </c>
      <c r="P26" s="20">
        <f t="shared" si="0"/>
        <v>0</v>
      </c>
      <c r="Q26" s="22" t="str">
        <f t="shared" si="1"/>
        <v>PASS</v>
      </c>
      <c r="R26" s="5"/>
    </row>
    <row r="27" spans="3:18" ht="27" x14ac:dyDescent="0.25">
      <c r="C27" s="4" t="s">
        <v>639</v>
      </c>
      <c r="D27" s="5" t="s">
        <v>632</v>
      </c>
      <c r="E27" s="5" t="s">
        <v>640</v>
      </c>
      <c r="F27" s="5" t="s">
        <v>641</v>
      </c>
      <c r="G27" s="5" t="s">
        <v>618</v>
      </c>
      <c r="H27" s="5" t="s">
        <v>156</v>
      </c>
      <c r="I27" s="5" t="s">
        <v>64</v>
      </c>
      <c r="J27" s="5" t="s">
        <v>356</v>
      </c>
      <c r="K27" s="5" t="s">
        <v>495</v>
      </c>
      <c r="L27" s="19">
        <v>-0.9941752720429311</v>
      </c>
      <c r="M27" s="5" t="s">
        <v>622</v>
      </c>
      <c r="N27" s="20">
        <v>1.0000000000000001E-9</v>
      </c>
      <c r="O27" s="21">
        <f>IFERROR(INDEX(TradeCalc!$C$7:$AA$3002,MATCH($J27,TradeCalc!$C$7:$C$3002,0),MATCH($K27,TradeCalc!$C$6:$AA$6,0)),"n/a")</f>
        <v>-0.99417527204293121</v>
      </c>
      <c r="P27" s="20">
        <f t="shared" si="0"/>
        <v>-1.1102230246251565E-16</v>
      </c>
      <c r="Q27" s="22" t="str">
        <f t="shared" si="1"/>
        <v>PASS</v>
      </c>
      <c r="R27" s="5"/>
    </row>
    <row r="28" spans="3:18" ht="27" x14ac:dyDescent="0.25">
      <c r="C28" s="4" t="s">
        <v>642</v>
      </c>
      <c r="D28" s="5" t="s">
        <v>643</v>
      </c>
      <c r="E28" s="5" t="s">
        <v>644</v>
      </c>
      <c r="F28" s="5" t="s">
        <v>645</v>
      </c>
      <c r="G28" s="5" t="s">
        <v>638</v>
      </c>
      <c r="H28" s="5" t="s">
        <v>262</v>
      </c>
      <c r="I28" s="5" t="s">
        <v>64</v>
      </c>
      <c r="J28" s="5" t="s">
        <v>358</v>
      </c>
      <c r="K28" s="5" t="s">
        <v>486</v>
      </c>
      <c r="L28" s="23" t="s">
        <v>502</v>
      </c>
      <c r="M28" s="5" t="s">
        <v>630</v>
      </c>
      <c r="N28" s="20">
        <v>0</v>
      </c>
      <c r="O28" s="21" t="str">
        <f>IFERROR(INDEX(TradeCalc!$C$7:$AA$3002,MATCH($J28,TradeCalc!$C$7:$C$3002,0),MATCH($K28,TradeCalc!$C$6:$AA$6,0)),"n/a")</f>
        <v>EXCLUDED</v>
      </c>
      <c r="P28" s="20" t="str">
        <f t="shared" si="0"/>
        <v/>
      </c>
      <c r="Q28" s="22" t="str">
        <f t="shared" si="1"/>
        <v>PASS</v>
      </c>
      <c r="R28" s="5" t="s">
        <v>646</v>
      </c>
    </row>
    <row r="29" spans="3:18" ht="27" x14ac:dyDescent="0.25">
      <c r="C29" s="4" t="s">
        <v>647</v>
      </c>
      <c r="D29" s="5" t="s">
        <v>632</v>
      </c>
      <c r="E29" s="5" t="s">
        <v>648</v>
      </c>
      <c r="F29" s="5" t="s">
        <v>160</v>
      </c>
      <c r="G29" s="5" t="s">
        <v>638</v>
      </c>
      <c r="H29" s="5" t="s">
        <v>156</v>
      </c>
      <c r="I29" s="5" t="s">
        <v>64</v>
      </c>
      <c r="J29" s="5" t="s">
        <v>359</v>
      </c>
      <c r="K29" s="5" t="s">
        <v>500</v>
      </c>
      <c r="L29" s="19">
        <v>5.5</v>
      </c>
      <c r="M29" s="5" t="s">
        <v>576</v>
      </c>
      <c r="N29" s="20">
        <v>9.9999999999999998E-13</v>
      </c>
      <c r="O29" s="21">
        <f>IFERROR(INDEX(TradeCalc!$C$7:$AA$3002,MATCH($J29,TradeCalc!$C$7:$C$3002,0),MATCH($K29,TradeCalc!$C$6:$AA$6,0)),"n/a")</f>
        <v>5.5</v>
      </c>
      <c r="P29" s="20">
        <f t="shared" si="0"/>
        <v>0</v>
      </c>
      <c r="Q29" s="22" t="str">
        <f t="shared" si="1"/>
        <v>PASS</v>
      </c>
      <c r="R29" s="5"/>
    </row>
    <row r="30" spans="3:18" ht="27" x14ac:dyDescent="0.25">
      <c r="C30" s="4" t="s">
        <v>649</v>
      </c>
      <c r="D30" s="5" t="s">
        <v>650</v>
      </c>
      <c r="E30" s="5" t="s">
        <v>651</v>
      </c>
      <c r="F30" s="5" t="s">
        <v>652</v>
      </c>
      <c r="G30" s="5" t="s">
        <v>638</v>
      </c>
      <c r="H30" s="5" t="s">
        <v>156</v>
      </c>
      <c r="I30" s="5" t="s">
        <v>58</v>
      </c>
      <c r="J30" s="5" t="s">
        <v>286</v>
      </c>
      <c r="K30" s="5" t="s">
        <v>453</v>
      </c>
      <c r="L30" s="19">
        <v>880</v>
      </c>
      <c r="M30" s="5" t="s">
        <v>576</v>
      </c>
      <c r="N30" s="20">
        <v>1.0000000000000001E-9</v>
      </c>
      <c r="O30" s="21">
        <f>IFERROR(INDEX(Results!$C$7:$AC$3002,MATCH($J30,Results!$C$7:$C$3002,0),MATCH($K30,Results!$C$6:$AC$6,0)),"n/a")</f>
        <v>880</v>
      </c>
      <c r="P30" s="20">
        <f t="shared" si="0"/>
        <v>0</v>
      </c>
      <c r="Q30" s="22" t="str">
        <f t="shared" si="1"/>
        <v>PASS</v>
      </c>
      <c r="R30" s="5"/>
    </row>
    <row r="31" spans="3:18" ht="27" x14ac:dyDescent="0.25">
      <c r="C31" s="4" t="s">
        <v>653</v>
      </c>
      <c r="D31" s="5" t="s">
        <v>650</v>
      </c>
      <c r="E31" s="5" t="s">
        <v>654</v>
      </c>
      <c r="F31" s="5" t="s">
        <v>655</v>
      </c>
      <c r="G31" s="5" t="s">
        <v>638</v>
      </c>
      <c r="H31" s="5" t="s">
        <v>156</v>
      </c>
      <c r="I31" s="5" t="s">
        <v>58</v>
      </c>
      <c r="J31" s="5" t="s">
        <v>286</v>
      </c>
      <c r="K31" s="5" t="s">
        <v>32</v>
      </c>
      <c r="L31" s="19">
        <v>1232</v>
      </c>
      <c r="M31" s="5" t="s">
        <v>576</v>
      </c>
      <c r="N31" s="20">
        <v>1.0000000000000001E-9</v>
      </c>
      <c r="O31" s="21">
        <f>IFERROR(INDEX(Results!$C$7:$AC$3002,MATCH($J31,Results!$C$7:$C$3002,0),MATCH($K31,Results!$C$6:$AC$6,0)),"n/a")</f>
        <v>1232</v>
      </c>
      <c r="P31" s="20">
        <f t="shared" si="0"/>
        <v>0</v>
      </c>
      <c r="Q31" s="22" t="str">
        <f t="shared" si="1"/>
        <v>PASS</v>
      </c>
      <c r="R31" s="5"/>
    </row>
    <row r="32" spans="3:18" ht="27" x14ac:dyDescent="0.25">
      <c r="C32" s="4" t="s">
        <v>656</v>
      </c>
      <c r="D32" s="5" t="s">
        <v>657</v>
      </c>
      <c r="E32" s="5" t="s">
        <v>658</v>
      </c>
      <c r="F32" s="5" t="s">
        <v>659</v>
      </c>
      <c r="G32" s="5" t="s">
        <v>638</v>
      </c>
      <c r="H32" s="5" t="s">
        <v>262</v>
      </c>
      <c r="I32" s="5" t="s">
        <v>64</v>
      </c>
      <c r="J32" s="5" t="s">
        <v>371</v>
      </c>
      <c r="K32" s="5" t="s">
        <v>486</v>
      </c>
      <c r="L32" s="23" t="s">
        <v>502</v>
      </c>
      <c r="M32" s="5" t="s">
        <v>630</v>
      </c>
      <c r="N32" s="20">
        <v>0</v>
      </c>
      <c r="O32" s="21" t="str">
        <f>IFERROR(INDEX(TradeCalc!$C$7:$AA$3002,MATCH($J32,TradeCalc!$C$7:$C$3002,0),MATCH($K32,TradeCalc!$C$6:$AA$6,0)),"n/a")</f>
        <v>EXCLUDED</v>
      </c>
      <c r="P32" s="20" t="str">
        <f t="shared" si="0"/>
        <v/>
      </c>
      <c r="Q32" s="22" t="str">
        <f t="shared" si="1"/>
        <v>PASS</v>
      </c>
      <c r="R32" s="5"/>
    </row>
    <row r="33" spans="3:18" ht="27" x14ac:dyDescent="0.25">
      <c r="C33" s="4" t="s">
        <v>660</v>
      </c>
      <c r="D33" s="5" t="s">
        <v>661</v>
      </c>
      <c r="E33" s="5" t="s">
        <v>662</v>
      </c>
      <c r="F33" s="5" t="s">
        <v>663</v>
      </c>
      <c r="G33" s="5" t="s">
        <v>638</v>
      </c>
      <c r="H33" s="5" t="s">
        <v>156</v>
      </c>
      <c r="I33" s="5" t="s">
        <v>64</v>
      </c>
      <c r="J33" s="5" t="s">
        <v>373</v>
      </c>
      <c r="K33" s="5" t="s">
        <v>465</v>
      </c>
      <c r="L33" s="23" t="s">
        <v>475</v>
      </c>
      <c r="M33" s="5" t="s">
        <v>630</v>
      </c>
      <c r="N33" s="20">
        <v>0</v>
      </c>
      <c r="O33" s="21" t="str">
        <f>IFERROR(INDEX(TradeCalc!$C$7:$AA$3002,MATCH($J33,TradeCalc!$C$7:$C$3002,0),MATCH($K33,TradeCalc!$C$6:$AA$6,0)),"n/a")</f>
        <v>CO|CLIMATIC|STD</v>
      </c>
      <c r="P33" s="20" t="str">
        <f t="shared" si="0"/>
        <v/>
      </c>
      <c r="Q33" s="22" t="str">
        <f t="shared" si="1"/>
        <v>PASS</v>
      </c>
      <c r="R33" s="5" t="s">
        <v>664</v>
      </c>
    </row>
    <row r="34" spans="3:18" ht="27" x14ac:dyDescent="0.25">
      <c r="C34" s="4" t="s">
        <v>665</v>
      </c>
      <c r="D34" s="5" t="s">
        <v>661</v>
      </c>
      <c r="E34" s="5" t="s">
        <v>666</v>
      </c>
      <c r="F34" s="5" t="s">
        <v>194</v>
      </c>
      <c r="G34" s="5" t="s">
        <v>638</v>
      </c>
      <c r="H34" s="5" t="s">
        <v>156</v>
      </c>
      <c r="I34" s="5" t="s">
        <v>64</v>
      </c>
      <c r="J34" s="5" t="s">
        <v>408</v>
      </c>
      <c r="K34" s="5" t="s">
        <v>487</v>
      </c>
      <c r="L34" s="19">
        <v>4.1999999999999997E-3</v>
      </c>
      <c r="M34" s="5" t="s">
        <v>576</v>
      </c>
      <c r="N34" s="20">
        <v>9.9999999999999998E-13</v>
      </c>
      <c r="O34" s="21">
        <f>IFERROR(INDEX(TradeCalc!$C$7:$AA$3002,MATCH($J34,TradeCalc!$C$7:$C$3002,0),MATCH($K34,TradeCalc!$C$6:$AA$6,0)),"n/a")</f>
        <v>4.1999999999999997E-3</v>
      </c>
      <c r="P34" s="20">
        <f t="shared" si="0"/>
        <v>0</v>
      </c>
      <c r="Q34" s="22" t="str">
        <f t="shared" si="1"/>
        <v>PASS</v>
      </c>
      <c r="R34" s="5"/>
    </row>
    <row r="36" spans="3:18" x14ac:dyDescent="0.25">
      <c r="D36" s="4" t="s">
        <v>667</v>
      </c>
      <c r="E36" s="4" t="str">
        <f>COUNTIF(Q7:Q34,"PASS")&amp;" passed, "&amp;COUNTIF(Q7:Q34,"FAIL")&amp;" failed of "&amp;COUNTA(C7:C34)</f>
        <v>28 passed, 0 failed of 28</v>
      </c>
    </row>
    <row r="38" spans="3:18" ht="30" customHeight="1" x14ac:dyDescent="0.25">
      <c r="D38" s="101" t="s">
        <v>668</v>
      </c>
      <c r="E38" s="101"/>
      <c r="F38" s="101"/>
      <c r="G38" s="101"/>
      <c r="H38" s="101"/>
      <c r="I38" s="101"/>
      <c r="J38" s="101"/>
      <c r="K38" s="101"/>
      <c r="L38" s="101"/>
      <c r="M38" s="101"/>
      <c r="N38" s="101"/>
      <c r="O38" s="101"/>
      <c r="P38" s="101"/>
      <c r="Q38" s="101"/>
      <c r="R38" s="101"/>
    </row>
    <row r="39" spans="3:18" ht="30" customHeight="1" x14ac:dyDescent="0.25">
      <c r="D39" s="101" t="s">
        <v>669</v>
      </c>
      <c r="E39" s="101"/>
      <c r="F39" s="101"/>
      <c r="G39" s="101"/>
      <c r="H39" s="101"/>
      <c r="I39" s="101"/>
      <c r="J39" s="101"/>
      <c r="K39" s="101"/>
      <c r="L39" s="101"/>
      <c r="M39" s="101"/>
      <c r="N39" s="101"/>
      <c r="O39" s="101"/>
      <c r="P39" s="101"/>
      <c r="Q39" s="101"/>
      <c r="R39" s="101"/>
    </row>
    <row r="40" spans="3:18" ht="30" customHeight="1" x14ac:dyDescent="0.25">
      <c r="D40" s="101" t="s">
        <v>822</v>
      </c>
      <c r="E40" s="101"/>
      <c r="F40" s="101"/>
      <c r="G40" s="101"/>
      <c r="H40" s="101"/>
      <c r="I40" s="101"/>
      <c r="J40" s="101"/>
      <c r="K40" s="101"/>
      <c r="L40" s="101"/>
      <c r="M40" s="101"/>
      <c r="N40" s="101"/>
      <c r="O40" s="101"/>
      <c r="P40" s="101"/>
      <c r="Q40" s="101"/>
      <c r="R40" s="101"/>
    </row>
  </sheetData>
  <mergeCells count="3">
    <mergeCell ref="D38:R38"/>
    <mergeCell ref="D39:R39"/>
    <mergeCell ref="D40:R40"/>
  </mergeCells>
  <conditionalFormatting sqref="Q7:Q34">
    <cfRule type="cellIs" dxfId="1" priority="1" operator="equal">
      <formula>"PASS"</formula>
    </cfRule>
    <cfRule type="cellIs" dxfId="0" priority="2" operator="equal">
      <formula>"FAIL"</formula>
    </cfRule>
  </conditionalFormatting>
  <pageMargins left="0.4" right="0.4" top="0.5" bottom="0.5" header="0.3" footer="0.3"/>
  <pageSetup paperSize="9" fitToHeight="0" orientation="landscape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4097" r:id="rId3" name="Button 1">
              <controlPr defaultSize="0" print="0" autoFill="0" autoPict="0" macro="[0]!RunSACCR">
                <anchor moveWithCells="1" sizeWithCells="1">
                  <from>
                    <xdr:col>8</xdr:col>
                    <xdr:colOff>0</xdr:colOff>
                    <xdr:row>2</xdr:row>
                    <xdr:rowOff>38100</xdr:rowOff>
                  </from>
                  <to>
                    <xdr:col>9</xdr:col>
                    <xdr:colOff>409575</xdr:colOff>
                    <xdr:row>2</xdr:row>
                    <xdr:rowOff>285750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098" r:id="rId4" name="Button 2">
              <controlPr defaultSize="0" print="0" autoFill="0" autoPict="0" macro="[0]!ValidateInputs">
                <anchor moveWithCells="1" sizeWithCells="1">
                  <from>
                    <xdr:col>9</xdr:col>
                    <xdr:colOff>504825</xdr:colOff>
                    <xdr:row>2</xdr:row>
                    <xdr:rowOff>38100</xdr:rowOff>
                  </from>
                  <to>
                    <xdr:col>10</xdr:col>
                    <xdr:colOff>647700</xdr:colOff>
                    <xdr:row>2</xdr:row>
                    <xdr:rowOff>285750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099" r:id="rId5" name="Button 3">
              <controlPr defaultSize="0" print="0" autoFill="0" autoPict="0" macro="[0]!ClearOutputs">
                <anchor moveWithCells="1" sizeWithCells="1">
                  <from>
                    <xdr:col>10</xdr:col>
                    <xdr:colOff>742950</xdr:colOff>
                    <xdr:row>2</xdr:row>
                    <xdr:rowOff>38100</xdr:rowOff>
                  </from>
                  <to>
                    <xdr:col>11</xdr:col>
                    <xdr:colOff>485775</xdr:colOff>
                    <xdr:row>2</xdr:row>
                    <xdr:rowOff>285750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Tests">
    <tabColor rgb="FF548235"/>
    <pageSetUpPr fitToPage="1"/>
  </sheetPr>
  <dimension ref="B1:AB29"/>
  <sheetViews>
    <sheetView showGridLines="0" zoomScale="90" zoomScaleNormal="90" workbookViewId="0">
      <pane xSplit="3" topLeftCell="D1" activePane="topRight" state="frozen"/>
      <selection pane="topRight" activeCell="D17" sqref="D17"/>
    </sheetView>
  </sheetViews>
  <sheetFormatPr defaultRowHeight="15" x14ac:dyDescent="0.25"/>
  <cols>
    <col min="1" max="2" width="4" customWidth="1"/>
    <col min="3" max="3" width="40.75" customWidth="1"/>
    <col min="4" max="4" width="89.125" customWidth="1"/>
    <col min="5" max="12" width="14.75" customWidth="1"/>
  </cols>
  <sheetData>
    <row r="1" spans="2:28" ht="24" customHeight="1" x14ac:dyDescent="0.25">
      <c r="B1" s="26" t="s">
        <v>0</v>
      </c>
      <c r="C1" s="27"/>
      <c r="D1" s="28"/>
      <c r="E1" s="66"/>
      <c r="F1" s="66"/>
      <c r="G1" s="66"/>
      <c r="H1" s="66"/>
      <c r="I1" s="66"/>
      <c r="J1" s="66"/>
      <c r="K1" s="66"/>
      <c r="L1" s="66"/>
      <c r="M1" s="28"/>
      <c r="N1" s="28"/>
      <c r="O1" s="28"/>
      <c r="P1" s="28"/>
      <c r="Q1" s="66"/>
      <c r="R1" s="66"/>
      <c r="S1" s="66"/>
      <c r="T1" s="66"/>
      <c r="U1" s="66"/>
      <c r="V1" s="66"/>
      <c r="W1" s="66"/>
      <c r="X1" s="66"/>
      <c r="Y1" s="66"/>
      <c r="Z1" s="66"/>
      <c r="AA1" s="66"/>
      <c r="AB1" s="66"/>
    </row>
    <row r="2" spans="2:28" ht="26.1" customHeight="1" x14ac:dyDescent="0.25">
      <c r="B2" s="30" t="s">
        <v>70</v>
      </c>
      <c r="C2" s="31"/>
      <c r="D2" s="32"/>
      <c r="E2" s="68"/>
      <c r="F2" s="68"/>
      <c r="G2" s="68"/>
      <c r="H2" s="68"/>
      <c r="I2" s="68"/>
      <c r="J2" s="68"/>
      <c r="K2" s="68"/>
      <c r="L2" s="68"/>
      <c r="M2" s="32"/>
      <c r="N2" s="32"/>
      <c r="O2" s="32"/>
      <c r="P2" s="32"/>
      <c r="Q2" s="68"/>
      <c r="R2" s="68"/>
      <c r="S2" s="68"/>
      <c r="T2" s="68"/>
      <c r="U2" s="68"/>
      <c r="V2" s="68"/>
      <c r="W2" s="68"/>
      <c r="X2" s="68"/>
      <c r="Y2" s="68"/>
      <c r="Z2" s="68"/>
      <c r="AA2" s="68"/>
      <c r="AB2" s="68"/>
    </row>
    <row r="3" spans="2:28" ht="21" x14ac:dyDescent="0.25">
      <c r="C3" s="1"/>
    </row>
    <row r="4" spans="2:28" ht="30" customHeight="1" x14ac:dyDescent="0.25">
      <c r="C4" s="2" t="s">
        <v>508</v>
      </c>
    </row>
    <row r="5" spans="2:28" ht="20.100000000000001" customHeight="1" x14ac:dyDescent="0.25"/>
    <row r="6" spans="2:28" ht="20.100000000000001" customHeight="1" x14ac:dyDescent="0.25">
      <c r="C6" s="48" t="s">
        <v>509</v>
      </c>
    </row>
    <row r="7" spans="2:28" ht="30" customHeight="1" x14ac:dyDescent="0.25">
      <c r="C7" s="54" t="s">
        <v>510</v>
      </c>
      <c r="D7" s="54" t="s">
        <v>511</v>
      </c>
      <c r="E7" s="55" t="s">
        <v>512</v>
      </c>
      <c r="F7" s="55" t="s">
        <v>513</v>
      </c>
      <c r="G7" s="55" t="s">
        <v>514</v>
      </c>
      <c r="H7" s="55" t="s">
        <v>515</v>
      </c>
    </row>
    <row r="8" spans="2:28" ht="20.100000000000001" customHeight="1" x14ac:dyDescent="0.25">
      <c r="C8" s="128" t="s">
        <v>516</v>
      </c>
      <c r="D8" s="24" t="s">
        <v>517</v>
      </c>
      <c r="E8" s="125">
        <v>7.8693868057473324</v>
      </c>
      <c r="F8" s="125" cm="1">
        <f t="array" ref="F8">SACCR_SupervisoryDuration(0,10)</f>
        <v>7.8693868057473315</v>
      </c>
      <c r="G8" s="126">
        <f t="shared" ref="G8:G29" si="0">IFERROR(ABS(F8-E8),"")</f>
        <v>8.8817841970012523E-16</v>
      </c>
      <c r="H8" s="127" t="str">
        <f t="shared" ref="H8:H29" si="1">IF(ISNUMBER(G8),IF(G8&lt;=0.000000001*MAX(1,ABS(E8)),"PASS","FAIL"),"FAIL")</f>
        <v>PASS</v>
      </c>
    </row>
    <row r="9" spans="2:28" ht="20.100000000000001" customHeight="1" x14ac:dyDescent="0.25">
      <c r="C9" s="128" t="s">
        <v>518</v>
      </c>
      <c r="D9" s="24" t="s">
        <v>519</v>
      </c>
      <c r="E9" s="125">
        <v>7.4855922824045473</v>
      </c>
      <c r="F9" s="125" cm="1">
        <f t="array" ref="F9">SACCR_SupervisoryDuration(1,11)</f>
        <v>7.4855922824045473</v>
      </c>
      <c r="G9" s="126">
        <f t="shared" si="0"/>
        <v>0</v>
      </c>
      <c r="H9" s="127" t="str">
        <f t="shared" si="1"/>
        <v>PASS</v>
      </c>
    </row>
    <row r="10" spans="2:28" ht="20.100000000000001" customHeight="1" x14ac:dyDescent="0.25">
      <c r="C10" s="128" t="s">
        <v>520</v>
      </c>
      <c r="D10" s="24" t="s">
        <v>521</v>
      </c>
      <c r="E10" s="125">
        <v>0.04</v>
      </c>
      <c r="F10" s="125" cm="1">
        <f t="array" ref="F10">SACCR_SupervisoryDuration(0,0.01,10/250)</f>
        <v>0.04</v>
      </c>
      <c r="G10" s="126">
        <f t="shared" si="0"/>
        <v>0</v>
      </c>
      <c r="H10" s="127" t="str">
        <f t="shared" si="1"/>
        <v>PASS</v>
      </c>
    </row>
    <row r="11" spans="2:28" ht="20.100000000000001" customHeight="1" x14ac:dyDescent="0.25">
      <c r="C11" s="128" t="s">
        <v>522</v>
      </c>
      <c r="D11" s="24" t="s">
        <v>523</v>
      </c>
      <c r="E11" s="125">
        <v>0.8660254037844386</v>
      </c>
      <c r="F11" s="125" cm="1">
        <f t="array" ref="F11">SACCR_MaturityFactor(0.75)</f>
        <v>0.8660254037844386</v>
      </c>
      <c r="G11" s="126">
        <f t="shared" si="0"/>
        <v>0</v>
      </c>
      <c r="H11" s="127" t="str">
        <f t="shared" si="1"/>
        <v>PASS</v>
      </c>
    </row>
    <row r="12" spans="2:28" ht="20.100000000000001" customHeight="1" x14ac:dyDescent="0.25">
      <c r="C12" s="128" t="s">
        <v>524</v>
      </c>
      <c r="D12" s="24" t="s">
        <v>525</v>
      </c>
      <c r="E12" s="125">
        <v>0.2</v>
      </c>
      <c r="F12" s="125" cm="1">
        <f t="array" ref="F12">SACCR_MaturityFactor(3/365)</f>
        <v>0.2</v>
      </c>
      <c r="G12" s="126">
        <f t="shared" si="0"/>
        <v>0</v>
      </c>
      <c r="H12" s="127" t="str">
        <f t="shared" si="1"/>
        <v>PASS</v>
      </c>
    </row>
    <row r="13" spans="2:28" ht="20.100000000000001" customHeight="1" x14ac:dyDescent="0.25">
      <c r="C13" s="128" t="s">
        <v>526</v>
      </c>
      <c r="D13" s="24" t="s">
        <v>527</v>
      </c>
      <c r="E13" s="125">
        <v>0.3</v>
      </c>
      <c r="F13" s="125" cm="1">
        <f t="array" ref="F13">SACCR_MaturityFactor(0,TRUE,10)</f>
        <v>0.30000000000000004</v>
      </c>
      <c r="G13" s="126">
        <f t="shared" si="0"/>
        <v>5.5511151231257827E-17</v>
      </c>
      <c r="H13" s="127" t="str">
        <f t="shared" si="1"/>
        <v>PASS</v>
      </c>
    </row>
    <row r="14" spans="2:28" ht="20.100000000000001" customHeight="1" x14ac:dyDescent="0.25">
      <c r="C14" s="128" t="s">
        <v>528</v>
      </c>
      <c r="D14" s="24" t="s">
        <v>529</v>
      </c>
      <c r="E14" s="125">
        <v>-0.26939521771053271</v>
      </c>
      <c r="F14" s="125" cm="1">
        <f t="array" ref="F14">SACCR_OptionDelta(0.06,0.05,1,0.5,FALSE,TRUE)</f>
        <v>-0.26939521771053271</v>
      </c>
      <c r="G14" s="126">
        <f t="shared" si="0"/>
        <v>0</v>
      </c>
      <c r="H14" s="127" t="str">
        <f t="shared" si="1"/>
        <v>PASS</v>
      </c>
    </row>
    <row r="15" spans="2:28" ht="20.100000000000001" customHeight="1" x14ac:dyDescent="0.25">
      <c r="C15" s="128" t="s">
        <v>530</v>
      </c>
      <c r="D15" s="24" t="s">
        <v>531</v>
      </c>
      <c r="E15" s="125">
        <v>-0.37901134582780288</v>
      </c>
      <c r="F15" s="125" cm="1">
        <f t="array" ref="F15">SACCR_OptionDelta(100,110,0.5,0.32,TRUE,FALSE)</f>
        <v>-0.37901134582780294</v>
      </c>
      <c r="G15" s="126">
        <f t="shared" si="0"/>
        <v>5.5511151231257827E-17</v>
      </c>
      <c r="H15" s="127" t="str">
        <f t="shared" si="1"/>
        <v>PASS</v>
      </c>
    </row>
    <row r="16" spans="2:28" ht="20.100000000000001" customHeight="1" x14ac:dyDescent="0.25">
      <c r="C16" s="128" t="s">
        <v>532</v>
      </c>
      <c r="D16" s="24" t="s">
        <v>533</v>
      </c>
      <c r="E16" s="125">
        <v>0.46143935794124907</v>
      </c>
      <c r="F16" s="125" cm="1">
        <f t="array" ref="F16">SACCR_OptionDelta(-0.002,0.001,2,0.5,TRUE,TRUE,0.01)</f>
        <v>0.46143935794124913</v>
      </c>
      <c r="G16" s="126">
        <f t="shared" si="0"/>
        <v>5.5511151231257827E-17</v>
      </c>
      <c r="H16" s="127" t="str">
        <f t="shared" si="1"/>
        <v>PASS</v>
      </c>
    </row>
    <row r="17" spans="3:8" ht="20.100000000000001" customHeight="1" x14ac:dyDescent="0.25">
      <c r="C17" s="128" t="s">
        <v>534</v>
      </c>
      <c r="D17" s="24" t="s">
        <v>535</v>
      </c>
      <c r="E17" s="125">
        <v>5.740967544396816</v>
      </c>
      <c r="F17" s="125" cm="1">
        <f t="array" ref="F17">SACCR_CDODelta(0.03,0.06,TRUE)</f>
        <v>5.740967544396816</v>
      </c>
      <c r="G17" s="126">
        <f t="shared" si="0"/>
        <v>0</v>
      </c>
      <c r="H17" s="127" t="str">
        <f t="shared" si="1"/>
        <v>PASS</v>
      </c>
    </row>
    <row r="18" spans="3:8" ht="20.100000000000001" customHeight="1" x14ac:dyDescent="0.25">
      <c r="C18" s="128" t="s">
        <v>536</v>
      </c>
      <c r="D18" s="24" t="s">
        <v>537</v>
      </c>
      <c r="E18" s="125">
        <v>59269.963463710403</v>
      </c>
      <c r="F18" s="125" cm="1">
        <f t="array" ref="F18">SACCR_IREffectiveNotional(0,-36253.8493844036,78693.8680574733)</f>
        <v>59269.963463710395</v>
      </c>
      <c r="G18" s="126">
        <f t="shared" si="0"/>
        <v>7.2759576141834259E-12</v>
      </c>
      <c r="H18" s="127" t="str">
        <f t="shared" si="1"/>
        <v>PASS</v>
      </c>
    </row>
    <row r="19" spans="3:8" ht="20.100000000000001" customHeight="1" x14ac:dyDescent="0.25">
      <c r="C19" s="128" t="s">
        <v>538</v>
      </c>
      <c r="D19" s="24" t="s">
        <v>539</v>
      </c>
      <c r="E19" s="125">
        <v>282.1288318596666</v>
      </c>
      <c r="F19" s="125" cm="1">
        <f t="array" ref="F19">SACCR_FactorAggregation({105.861937916956,-279.916321663744,168.111404865732},{0.5,0.5,0.8})</f>
        <v>282.12883185966604</v>
      </c>
      <c r="G19" s="126">
        <f t="shared" si="0"/>
        <v>5.6843418860808015E-13</v>
      </c>
      <c r="H19" s="127" t="str">
        <f t="shared" si="1"/>
        <v>PASS</v>
      </c>
    </row>
    <row r="20" spans="3:8" ht="20.100000000000001" customHeight="1" x14ac:dyDescent="0.25">
      <c r="C20" s="128" t="s">
        <v>540</v>
      </c>
      <c r="D20" s="24" t="s">
        <v>541</v>
      </c>
      <c r="E20" s="125">
        <v>0.96519268118719448</v>
      </c>
      <c r="F20" s="125" cm="1">
        <f t="array" ref="F20">SACCR_Multiplier(-20,282)</f>
        <v>0.96519268118719448</v>
      </c>
      <c r="G20" s="126">
        <f t="shared" si="0"/>
        <v>0</v>
      </c>
      <c r="H20" s="127" t="str">
        <f t="shared" si="1"/>
        <v>PASS</v>
      </c>
    </row>
    <row r="21" spans="3:8" ht="20.100000000000001" customHeight="1" x14ac:dyDescent="0.25">
      <c r="C21" s="128" t="s">
        <v>542</v>
      </c>
      <c r="D21" s="24" t="s">
        <v>543</v>
      </c>
      <c r="E21" s="125">
        <v>1</v>
      </c>
      <c r="F21" s="125" cm="1">
        <f t="array" ref="F21">SACCR_Multiplier(10,282)</f>
        <v>1</v>
      </c>
      <c r="G21" s="126">
        <f t="shared" si="0"/>
        <v>0</v>
      </c>
      <c r="H21" s="127" t="str">
        <f t="shared" si="1"/>
        <v>PASS</v>
      </c>
    </row>
    <row r="22" spans="3:8" ht="20.100000000000001" customHeight="1" x14ac:dyDescent="0.25">
      <c r="C22" s="128" t="s">
        <v>544</v>
      </c>
      <c r="D22" s="24" t="s">
        <v>545</v>
      </c>
      <c r="E22" s="125">
        <v>8</v>
      </c>
      <c r="F22" s="125" cm="1">
        <f t="array" ref="F22">SACCR_ReplacementCost(5,10,TRUE,0,10,2)</f>
        <v>8</v>
      </c>
      <c r="G22" s="126">
        <f t="shared" si="0"/>
        <v>0</v>
      </c>
      <c r="H22" s="127" t="str">
        <f t="shared" si="1"/>
        <v>PASS</v>
      </c>
    </row>
    <row r="23" spans="3:8" ht="20.100000000000001" customHeight="1" x14ac:dyDescent="0.25">
      <c r="C23" s="128" t="s">
        <v>546</v>
      </c>
      <c r="D23" s="24" t="s">
        <v>547</v>
      </c>
      <c r="E23" s="125">
        <v>0.97500210485177952</v>
      </c>
      <c r="F23" s="125" cm="1">
        <f t="array" ref="F23">SACCR_NormCDF(1.96)</f>
        <v>0.97500210485177952</v>
      </c>
      <c r="G23" s="126">
        <f t="shared" si="0"/>
        <v>0</v>
      </c>
      <c r="H23" s="127" t="str">
        <f t="shared" si="1"/>
        <v>PASS</v>
      </c>
    </row>
    <row r="24" spans="3:8" ht="20.100000000000001" customHeight="1" x14ac:dyDescent="0.25">
      <c r="C24" s="128" t="s">
        <v>548</v>
      </c>
      <c r="D24" s="24" t="s">
        <v>549</v>
      </c>
      <c r="E24" s="125">
        <v>6.2209605742718194E-16</v>
      </c>
      <c r="F24" s="125" cm="1">
        <f t="array" ref="F24">SACCR_NormCDF(-8)</f>
        <v>6.2209605201427843E-16</v>
      </c>
      <c r="G24" s="126">
        <f t="shared" si="0"/>
        <v>5.4129035033506995E-24</v>
      </c>
      <c r="H24" s="127" t="str">
        <f t="shared" si="1"/>
        <v>PASS</v>
      </c>
    </row>
    <row r="25" spans="3:8" ht="20.100000000000001" customHeight="1" x14ac:dyDescent="0.25">
      <c r="C25" s="128" t="s">
        <v>550</v>
      </c>
      <c r="D25" s="24" t="s">
        <v>551</v>
      </c>
      <c r="E25" s="125">
        <v>3.0000000000000001E-3</v>
      </c>
      <c r="F25" s="125" cm="1">
        <f t="array" ref="F25">SACCR_LambdaCRR(-0.002,0.001,TRUE)</f>
        <v>3.0000000000000001E-3</v>
      </c>
      <c r="G25" s="126">
        <f t="shared" si="0"/>
        <v>0</v>
      </c>
      <c r="H25" s="127" t="str">
        <f t="shared" si="1"/>
        <v>PASS</v>
      </c>
    </row>
    <row r="26" spans="3:8" ht="20.100000000000001" customHeight="1" x14ac:dyDescent="0.25">
      <c r="C26" s="128" t="s">
        <v>552</v>
      </c>
      <c r="D26" s="24" t="s">
        <v>553</v>
      </c>
      <c r="E26" s="125">
        <v>0</v>
      </c>
      <c r="F26" s="125" cm="1">
        <f t="array" ref="F26">SACCR_LambdaCRR(0.02,0.03,TRUE)</f>
        <v>0</v>
      </c>
      <c r="G26" s="126">
        <f t="shared" si="0"/>
        <v>0</v>
      </c>
      <c r="H26" s="127" t="str">
        <f t="shared" si="1"/>
        <v>PASS</v>
      </c>
    </row>
    <row r="27" spans="3:8" ht="20.100000000000001" customHeight="1" x14ac:dyDescent="0.25">
      <c r="C27" s="128" t="s">
        <v>554</v>
      </c>
      <c r="D27" s="24" t="s">
        <v>555</v>
      </c>
      <c r="E27" s="125">
        <v>5.0000000000000001E-4</v>
      </c>
      <c r="F27" s="125" cm="1">
        <f t="array" ref="F27">SACCR_LambdaCRR(0.0005,0.01,TRUE)</f>
        <v>5.0000000000000001E-4</v>
      </c>
      <c r="G27" s="126">
        <f t="shared" si="0"/>
        <v>0</v>
      </c>
      <c r="H27" s="127" t="str">
        <f t="shared" si="1"/>
        <v>PASS</v>
      </c>
    </row>
    <row r="28" spans="3:8" ht="20.100000000000001" customHeight="1" x14ac:dyDescent="0.25">
      <c r="C28" s="128" t="s">
        <v>556</v>
      </c>
      <c r="D28" s="24" t="s">
        <v>557</v>
      </c>
      <c r="E28" s="125">
        <v>5.5</v>
      </c>
      <c r="F28" s="125" cm="1">
        <f t="array" ref="F28">SACCR_LambdaCRR(-5,-4,FALSE)</f>
        <v>5.5</v>
      </c>
      <c r="G28" s="126">
        <f t="shared" si="0"/>
        <v>0</v>
      </c>
      <c r="H28" s="127" t="str">
        <f t="shared" si="1"/>
        <v>PASS</v>
      </c>
    </row>
    <row r="29" spans="3:8" ht="20.100000000000001" customHeight="1" x14ac:dyDescent="0.25">
      <c r="C29" s="128" t="s">
        <v>558</v>
      </c>
      <c r="D29" s="24" t="s">
        <v>559</v>
      </c>
      <c r="E29" s="125">
        <v>0</v>
      </c>
      <c r="F29" s="125" cm="1">
        <f t="array" ref="F29">SACCR_LambdaCRR(40,35,FALSE)</f>
        <v>0</v>
      </c>
      <c r="G29" s="126">
        <f t="shared" si="0"/>
        <v>0</v>
      </c>
      <c r="H29" s="127" t="str">
        <f t="shared" si="1"/>
        <v>PASS</v>
      </c>
    </row>
  </sheetData>
  <pageMargins left="0.4" right="0.4" top="0.5" bottom="0.5" header="0.3" footer="0.3"/>
  <pageSetup paperSize="9" fitToHeight="0" orientation="landscape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BaselVsCRR">
    <tabColor rgb="FF1F3864"/>
    <pageSetUpPr fitToPage="1"/>
  </sheetPr>
  <dimension ref="A1:X273"/>
  <sheetViews>
    <sheetView showGridLines="0" zoomScaleNormal="100" workbookViewId="0">
      <pane ySplit="5" topLeftCell="A6" activePane="bottomLeft" state="frozen"/>
      <selection pane="bottomLeft" activeCell="E10" sqref="E10"/>
    </sheetView>
  </sheetViews>
  <sheetFormatPr defaultColWidth="0" defaultRowHeight="15" x14ac:dyDescent="0.25"/>
  <cols>
    <col min="1" max="2" width="4" customWidth="1"/>
    <col min="3" max="3" width="4.75" style="100" customWidth="1"/>
    <col min="4" max="4" width="20.625" customWidth="1"/>
    <col min="5" max="6" width="50.625" customWidth="1"/>
    <col min="7" max="7" width="15.625" customWidth="1"/>
    <col min="8" max="8" width="20.625" customWidth="1"/>
    <col min="9" max="9" width="40.625" customWidth="1"/>
    <col min="10" max="10" width="10.625" style="69" customWidth="1"/>
    <col min="11" max="11" width="20.75" customWidth="1"/>
    <col min="12" max="12" width="5.625" customWidth="1"/>
    <col min="13" max="24" width="0" hidden="1" customWidth="1"/>
    <col min="25" max="16384" width="9" hidden="1"/>
  </cols>
  <sheetData>
    <row r="1" spans="2:19" ht="24" customHeight="1" x14ac:dyDescent="0.25">
      <c r="B1" s="65" t="s">
        <v>0</v>
      </c>
      <c r="C1" s="76"/>
      <c r="D1" s="28"/>
      <c r="E1" s="28"/>
      <c r="F1" s="28"/>
      <c r="G1" s="28"/>
      <c r="H1" s="28"/>
      <c r="I1" s="28"/>
      <c r="J1" s="66"/>
      <c r="K1" s="28"/>
      <c r="S1" s="29"/>
    </row>
    <row r="2" spans="2:19" ht="26.1" customHeight="1" x14ac:dyDescent="0.25">
      <c r="B2" s="67" t="s">
        <v>670</v>
      </c>
      <c r="C2" s="77"/>
      <c r="D2" s="32"/>
      <c r="E2" s="32"/>
      <c r="F2" s="32"/>
      <c r="G2" s="32"/>
      <c r="H2" s="32"/>
      <c r="I2" s="32"/>
      <c r="J2" s="68"/>
      <c r="K2" s="32"/>
      <c r="S2" s="29"/>
    </row>
    <row r="3" spans="2:19" ht="30" customHeight="1" x14ac:dyDescent="0.25">
      <c r="C3" s="78" t="s">
        <v>671</v>
      </c>
    </row>
    <row r="4" spans="2:19" ht="9.9499999999999993" customHeight="1" x14ac:dyDescent="0.25">
      <c r="C4" s="69"/>
    </row>
    <row r="5" spans="2:19" ht="39.950000000000003" customHeight="1" x14ac:dyDescent="0.25">
      <c r="C5" s="49" t="s">
        <v>672</v>
      </c>
      <c r="D5" s="38" t="s">
        <v>562</v>
      </c>
      <c r="E5" s="38" t="s">
        <v>673</v>
      </c>
      <c r="F5" s="38" t="s">
        <v>674</v>
      </c>
      <c r="G5" s="49" t="s">
        <v>675</v>
      </c>
      <c r="H5" s="38" t="s">
        <v>676</v>
      </c>
      <c r="I5" s="38" t="s">
        <v>677</v>
      </c>
      <c r="J5" s="49" t="s">
        <v>70</v>
      </c>
      <c r="K5" s="38" t="s">
        <v>678</v>
      </c>
    </row>
    <row r="6" spans="2:19" ht="39.950000000000003" customHeight="1" x14ac:dyDescent="0.25">
      <c r="C6" s="79">
        <v>1</v>
      </c>
      <c r="D6" s="80" t="s">
        <v>679</v>
      </c>
      <c r="E6" s="81" t="s">
        <v>680</v>
      </c>
      <c r="F6" s="81" t="s">
        <v>681</v>
      </c>
      <c r="G6" s="82" t="s">
        <v>682</v>
      </c>
      <c r="H6" s="81" t="s">
        <v>683</v>
      </c>
      <c r="I6" s="81" t="s">
        <v>684</v>
      </c>
      <c r="J6" s="83" t="s">
        <v>685</v>
      </c>
      <c r="K6" s="84" t="s">
        <v>686</v>
      </c>
    </row>
    <row r="7" spans="2:19" ht="39.950000000000003" customHeight="1" x14ac:dyDescent="0.25">
      <c r="C7" s="85">
        <v>2</v>
      </c>
      <c r="D7" s="86" t="s">
        <v>687</v>
      </c>
      <c r="E7" s="87" t="s">
        <v>688</v>
      </c>
      <c r="F7" s="87" t="s">
        <v>689</v>
      </c>
      <c r="G7" s="88" t="s">
        <v>690</v>
      </c>
      <c r="H7" s="87" t="s">
        <v>691</v>
      </c>
      <c r="I7" s="87" t="s">
        <v>692</v>
      </c>
      <c r="J7" s="89" t="s">
        <v>582</v>
      </c>
      <c r="K7" s="90" t="s">
        <v>686</v>
      </c>
    </row>
    <row r="8" spans="2:19" ht="39.950000000000003" customHeight="1" x14ac:dyDescent="0.25">
      <c r="C8" s="85">
        <v>3</v>
      </c>
      <c r="D8" s="86" t="s">
        <v>693</v>
      </c>
      <c r="E8" s="87" t="s">
        <v>823</v>
      </c>
      <c r="F8" s="87" t="s">
        <v>694</v>
      </c>
      <c r="G8" s="91" t="s">
        <v>690</v>
      </c>
      <c r="H8" s="87" t="s">
        <v>824</v>
      </c>
      <c r="I8" s="87" t="s">
        <v>825</v>
      </c>
      <c r="J8" s="89" t="s">
        <v>695</v>
      </c>
      <c r="K8" s="92" t="s">
        <v>826</v>
      </c>
    </row>
    <row r="9" spans="2:19" ht="39.950000000000003" customHeight="1" x14ac:dyDescent="0.25">
      <c r="C9" s="85">
        <v>4</v>
      </c>
      <c r="D9" s="86" t="s">
        <v>696</v>
      </c>
      <c r="E9" s="87" t="s">
        <v>827</v>
      </c>
      <c r="F9" s="87" t="s">
        <v>828</v>
      </c>
      <c r="G9" s="88" t="s">
        <v>829</v>
      </c>
      <c r="H9" s="87" t="s">
        <v>830</v>
      </c>
      <c r="I9" s="87" t="s">
        <v>831</v>
      </c>
      <c r="J9" s="89" t="s">
        <v>595</v>
      </c>
      <c r="K9" s="90" t="s">
        <v>686</v>
      </c>
    </row>
    <row r="10" spans="2:19" ht="39.950000000000003" customHeight="1" x14ac:dyDescent="0.25">
      <c r="C10" s="85">
        <v>5</v>
      </c>
      <c r="D10" s="86" t="s">
        <v>697</v>
      </c>
      <c r="E10" s="87" t="s">
        <v>698</v>
      </c>
      <c r="F10" s="87" t="s">
        <v>699</v>
      </c>
      <c r="G10" s="88" t="s">
        <v>690</v>
      </c>
      <c r="H10" s="87" t="s">
        <v>691</v>
      </c>
      <c r="I10" s="87" t="s">
        <v>700</v>
      </c>
      <c r="J10" s="89" t="s">
        <v>612</v>
      </c>
      <c r="K10" s="90" t="s">
        <v>686</v>
      </c>
    </row>
    <row r="11" spans="2:19" ht="39.950000000000003" customHeight="1" x14ac:dyDescent="0.25">
      <c r="C11" s="85">
        <v>6</v>
      </c>
      <c r="D11" s="86" t="s">
        <v>455</v>
      </c>
      <c r="E11" s="87" t="s">
        <v>701</v>
      </c>
      <c r="F11" s="87" t="s">
        <v>702</v>
      </c>
      <c r="G11" s="88" t="s">
        <v>690</v>
      </c>
      <c r="H11" s="87" t="s">
        <v>691</v>
      </c>
      <c r="I11" s="87" t="s">
        <v>700</v>
      </c>
      <c r="J11" s="89" t="s">
        <v>703</v>
      </c>
      <c r="K11" s="90" t="s">
        <v>686</v>
      </c>
    </row>
    <row r="12" spans="2:19" ht="39.950000000000003" customHeight="1" x14ac:dyDescent="0.25">
      <c r="C12" s="85">
        <v>7</v>
      </c>
      <c r="D12" s="86" t="s">
        <v>704</v>
      </c>
      <c r="E12" s="87" t="s">
        <v>705</v>
      </c>
      <c r="F12" s="87" t="s">
        <v>706</v>
      </c>
      <c r="G12" s="91" t="s">
        <v>682</v>
      </c>
      <c r="H12" s="87" t="s">
        <v>707</v>
      </c>
      <c r="I12" s="87" t="s">
        <v>708</v>
      </c>
      <c r="J12" s="89" t="s">
        <v>709</v>
      </c>
      <c r="K12" s="90" t="s">
        <v>686</v>
      </c>
    </row>
    <row r="13" spans="2:19" ht="39.950000000000003" customHeight="1" x14ac:dyDescent="0.25">
      <c r="C13" s="85">
        <v>8</v>
      </c>
      <c r="D13" s="86" t="s">
        <v>710</v>
      </c>
      <c r="E13" s="87" t="s">
        <v>711</v>
      </c>
      <c r="F13" s="87" t="s">
        <v>712</v>
      </c>
      <c r="G13" s="91" t="s">
        <v>713</v>
      </c>
      <c r="H13" s="87" t="s">
        <v>714</v>
      </c>
      <c r="I13" s="87" t="s">
        <v>715</v>
      </c>
      <c r="J13" s="89" t="s">
        <v>716</v>
      </c>
      <c r="K13" s="92" t="s">
        <v>717</v>
      </c>
    </row>
    <row r="14" spans="2:19" ht="39.950000000000003" customHeight="1" x14ac:dyDescent="0.25">
      <c r="C14" s="85">
        <v>9</v>
      </c>
      <c r="D14" s="86" t="s">
        <v>718</v>
      </c>
      <c r="E14" s="87" t="s">
        <v>719</v>
      </c>
      <c r="F14" s="87" t="s">
        <v>720</v>
      </c>
      <c r="G14" s="91" t="s">
        <v>721</v>
      </c>
      <c r="H14" s="87" t="s">
        <v>722</v>
      </c>
      <c r="I14" s="87" t="s">
        <v>723</v>
      </c>
      <c r="J14" s="89" t="s">
        <v>685</v>
      </c>
      <c r="K14" s="90" t="s">
        <v>686</v>
      </c>
    </row>
    <row r="15" spans="2:19" ht="39.950000000000003" customHeight="1" x14ac:dyDescent="0.25">
      <c r="C15" s="85">
        <v>10</v>
      </c>
      <c r="D15" s="86" t="s">
        <v>724</v>
      </c>
      <c r="E15" s="87" t="s">
        <v>725</v>
      </c>
      <c r="F15" s="87" t="s">
        <v>726</v>
      </c>
      <c r="G15" s="91" t="s">
        <v>682</v>
      </c>
      <c r="H15" s="87" t="s">
        <v>727</v>
      </c>
      <c r="I15" s="87" t="s">
        <v>728</v>
      </c>
      <c r="J15" s="89" t="s">
        <v>660</v>
      </c>
      <c r="K15" s="92" t="s">
        <v>808</v>
      </c>
    </row>
    <row r="16" spans="2:19" ht="39.950000000000003" customHeight="1" x14ac:dyDescent="0.25">
      <c r="C16" s="85">
        <v>11</v>
      </c>
      <c r="D16" s="86" t="s">
        <v>729</v>
      </c>
      <c r="E16" s="87" t="s">
        <v>730</v>
      </c>
      <c r="F16" s="87" t="s">
        <v>731</v>
      </c>
      <c r="G16" s="88" t="s">
        <v>732</v>
      </c>
      <c r="H16" s="87" t="s">
        <v>733</v>
      </c>
      <c r="I16" s="87" t="s">
        <v>734</v>
      </c>
      <c r="J16" s="89" t="s">
        <v>685</v>
      </c>
      <c r="K16" s="92" t="s">
        <v>809</v>
      </c>
    </row>
    <row r="17" spans="3:11" ht="39.950000000000003" customHeight="1" x14ac:dyDescent="0.25">
      <c r="C17" s="85">
        <v>12</v>
      </c>
      <c r="D17" s="86" t="s">
        <v>736</v>
      </c>
      <c r="E17" s="87" t="s">
        <v>737</v>
      </c>
      <c r="F17" s="87" t="s">
        <v>738</v>
      </c>
      <c r="G17" s="91" t="s">
        <v>682</v>
      </c>
      <c r="H17" s="87" t="s">
        <v>739</v>
      </c>
      <c r="I17" s="87" t="s">
        <v>740</v>
      </c>
      <c r="J17" s="89" t="s">
        <v>741</v>
      </c>
      <c r="K17" s="90" t="s">
        <v>742</v>
      </c>
    </row>
    <row r="18" spans="3:11" ht="39.950000000000003" customHeight="1" x14ac:dyDescent="0.25">
      <c r="C18" s="85">
        <v>13</v>
      </c>
      <c r="D18" s="86" t="s">
        <v>743</v>
      </c>
      <c r="E18" s="87" t="s">
        <v>744</v>
      </c>
      <c r="F18" s="87" t="s">
        <v>745</v>
      </c>
      <c r="G18" s="88" t="s">
        <v>746</v>
      </c>
      <c r="H18" s="87" t="s">
        <v>691</v>
      </c>
      <c r="I18" s="87" t="s">
        <v>747</v>
      </c>
      <c r="J18" s="89" t="s">
        <v>748</v>
      </c>
      <c r="K18" s="90" t="s">
        <v>686</v>
      </c>
    </row>
    <row r="19" spans="3:11" ht="39.950000000000003" customHeight="1" x14ac:dyDescent="0.25">
      <c r="C19" s="85">
        <v>14</v>
      </c>
      <c r="D19" s="86" t="s">
        <v>749</v>
      </c>
      <c r="E19" s="87" t="s">
        <v>750</v>
      </c>
      <c r="F19" s="87" t="s">
        <v>751</v>
      </c>
      <c r="G19" s="88" t="s">
        <v>752</v>
      </c>
      <c r="H19" s="87" t="s">
        <v>753</v>
      </c>
      <c r="I19" s="87" t="s">
        <v>810</v>
      </c>
      <c r="J19" s="89" t="s">
        <v>665</v>
      </c>
      <c r="K19" s="92" t="s">
        <v>686</v>
      </c>
    </row>
    <row r="20" spans="3:11" ht="39.950000000000003" customHeight="1" x14ac:dyDescent="0.25">
      <c r="C20" s="85">
        <v>15</v>
      </c>
      <c r="D20" s="86" t="s">
        <v>76</v>
      </c>
      <c r="E20" s="87" t="s">
        <v>754</v>
      </c>
      <c r="F20" s="87" t="s">
        <v>755</v>
      </c>
      <c r="G20" s="88" t="s">
        <v>690</v>
      </c>
      <c r="H20" s="87" t="s">
        <v>756</v>
      </c>
      <c r="I20" s="87" t="s">
        <v>757</v>
      </c>
      <c r="J20" s="89" t="s">
        <v>571</v>
      </c>
      <c r="K20" s="90" t="s">
        <v>686</v>
      </c>
    </row>
    <row r="21" spans="3:11" ht="39.950000000000003" customHeight="1" x14ac:dyDescent="0.25">
      <c r="C21" s="85">
        <v>16</v>
      </c>
      <c r="D21" s="86" t="s">
        <v>758</v>
      </c>
      <c r="E21" s="87" t="s">
        <v>759</v>
      </c>
      <c r="F21" s="87" t="s">
        <v>760</v>
      </c>
      <c r="G21" s="88" t="s">
        <v>832</v>
      </c>
      <c r="H21" s="87" t="s">
        <v>833</v>
      </c>
      <c r="I21" s="87" t="s">
        <v>834</v>
      </c>
      <c r="J21" s="89" t="s">
        <v>604</v>
      </c>
      <c r="K21" s="90" t="s">
        <v>686</v>
      </c>
    </row>
    <row r="22" spans="3:11" ht="39.950000000000003" customHeight="1" x14ac:dyDescent="0.25">
      <c r="C22" s="85">
        <v>17</v>
      </c>
      <c r="D22" s="86" t="s">
        <v>761</v>
      </c>
      <c r="E22" s="87" t="s">
        <v>762</v>
      </c>
      <c r="F22" s="87" t="s">
        <v>763</v>
      </c>
      <c r="G22" s="88" t="s">
        <v>690</v>
      </c>
      <c r="H22" s="87" t="s">
        <v>691</v>
      </c>
      <c r="I22" s="87" t="s">
        <v>764</v>
      </c>
      <c r="J22" s="89" t="s">
        <v>685</v>
      </c>
      <c r="K22" s="90" t="s">
        <v>686</v>
      </c>
    </row>
    <row r="23" spans="3:11" ht="39.950000000000003" customHeight="1" x14ac:dyDescent="0.25">
      <c r="C23" s="85">
        <v>18</v>
      </c>
      <c r="D23" s="86" t="s">
        <v>765</v>
      </c>
      <c r="E23" s="87" t="s">
        <v>766</v>
      </c>
      <c r="F23" s="87" t="s">
        <v>811</v>
      </c>
      <c r="G23" s="88" t="s">
        <v>682</v>
      </c>
      <c r="H23" s="87" t="s">
        <v>812</v>
      </c>
      <c r="I23" s="87" t="s">
        <v>813</v>
      </c>
      <c r="J23" s="89" t="s">
        <v>580</v>
      </c>
      <c r="K23" s="90" t="s">
        <v>686</v>
      </c>
    </row>
    <row r="24" spans="3:11" ht="39.950000000000003" customHeight="1" x14ac:dyDescent="0.25">
      <c r="C24" s="85">
        <v>19</v>
      </c>
      <c r="D24" s="86" t="s">
        <v>767</v>
      </c>
      <c r="E24" s="87" t="s">
        <v>768</v>
      </c>
      <c r="F24" s="87" t="s">
        <v>769</v>
      </c>
      <c r="G24" s="88" t="s">
        <v>690</v>
      </c>
      <c r="H24" s="87" t="s">
        <v>691</v>
      </c>
      <c r="I24" s="87" t="s">
        <v>770</v>
      </c>
      <c r="J24" s="89" t="s">
        <v>685</v>
      </c>
      <c r="K24" s="90" t="s">
        <v>686</v>
      </c>
    </row>
    <row r="25" spans="3:11" ht="39.950000000000003" customHeight="1" x14ac:dyDescent="0.25">
      <c r="C25" s="85">
        <v>20</v>
      </c>
      <c r="D25" s="86" t="s">
        <v>771</v>
      </c>
      <c r="E25" s="87" t="s">
        <v>772</v>
      </c>
      <c r="F25" s="87" t="s">
        <v>773</v>
      </c>
      <c r="G25" s="88" t="s">
        <v>774</v>
      </c>
      <c r="H25" s="87" t="s">
        <v>775</v>
      </c>
      <c r="I25" s="87" t="s">
        <v>814</v>
      </c>
      <c r="J25" s="89" t="s">
        <v>685</v>
      </c>
      <c r="K25" s="90" t="s">
        <v>686</v>
      </c>
    </row>
    <row r="26" spans="3:11" ht="39.950000000000003" customHeight="1" x14ac:dyDescent="0.25">
      <c r="C26" s="85">
        <v>21</v>
      </c>
      <c r="D26" s="86" t="s">
        <v>776</v>
      </c>
      <c r="E26" s="87" t="s">
        <v>777</v>
      </c>
      <c r="F26" s="87" t="s">
        <v>778</v>
      </c>
      <c r="G26" s="91" t="s">
        <v>779</v>
      </c>
      <c r="H26" s="87" t="s">
        <v>780</v>
      </c>
      <c r="I26" s="87" t="s">
        <v>781</v>
      </c>
      <c r="J26" s="89" t="s">
        <v>685</v>
      </c>
      <c r="K26" s="90" t="s">
        <v>782</v>
      </c>
    </row>
    <row r="27" spans="3:11" ht="39.950000000000003" customHeight="1" x14ac:dyDescent="0.25">
      <c r="C27" s="85">
        <v>22</v>
      </c>
      <c r="D27" s="86" t="s">
        <v>783</v>
      </c>
      <c r="E27" s="87" t="s">
        <v>784</v>
      </c>
      <c r="F27" s="87" t="s">
        <v>785</v>
      </c>
      <c r="G27" s="91" t="s">
        <v>786</v>
      </c>
      <c r="H27" s="87" t="s">
        <v>787</v>
      </c>
      <c r="I27" s="87" t="s">
        <v>835</v>
      </c>
      <c r="J27" s="89" t="s">
        <v>685</v>
      </c>
      <c r="K27" s="90" t="s">
        <v>686</v>
      </c>
    </row>
    <row r="28" spans="3:11" ht="39.950000000000003" customHeight="1" x14ac:dyDescent="0.25">
      <c r="C28" s="85">
        <v>23</v>
      </c>
      <c r="D28" s="86" t="s">
        <v>789</v>
      </c>
      <c r="E28" s="87" t="s">
        <v>790</v>
      </c>
      <c r="F28" s="87" t="s">
        <v>836</v>
      </c>
      <c r="G28" s="91" t="s">
        <v>786</v>
      </c>
      <c r="H28" s="87" t="s">
        <v>787</v>
      </c>
      <c r="I28" s="87" t="s">
        <v>837</v>
      </c>
      <c r="J28" s="89" t="s">
        <v>685</v>
      </c>
      <c r="K28" s="90" t="s">
        <v>782</v>
      </c>
    </row>
    <row r="29" spans="3:11" ht="39.950000000000003" customHeight="1" x14ac:dyDescent="0.25">
      <c r="C29" s="85">
        <v>24</v>
      </c>
      <c r="D29" s="86" t="s">
        <v>791</v>
      </c>
      <c r="E29" s="87" t="s">
        <v>792</v>
      </c>
      <c r="F29" s="87" t="s">
        <v>793</v>
      </c>
      <c r="G29" s="91" t="s">
        <v>713</v>
      </c>
      <c r="H29" s="87" t="s">
        <v>794</v>
      </c>
      <c r="I29" s="87" t="s">
        <v>788</v>
      </c>
      <c r="J29" s="89" t="s">
        <v>685</v>
      </c>
      <c r="K29" s="90" t="s">
        <v>686</v>
      </c>
    </row>
    <row r="30" spans="3:11" ht="39.950000000000003" customHeight="1" x14ac:dyDescent="0.25">
      <c r="C30" s="85">
        <v>25</v>
      </c>
      <c r="D30" s="86" t="s">
        <v>795</v>
      </c>
      <c r="E30" s="87" t="s">
        <v>796</v>
      </c>
      <c r="F30" s="87" t="s">
        <v>797</v>
      </c>
      <c r="G30" s="91" t="s">
        <v>798</v>
      </c>
      <c r="H30" s="87" t="s">
        <v>799</v>
      </c>
      <c r="I30" s="87" t="s">
        <v>800</v>
      </c>
      <c r="J30" s="89" t="s">
        <v>685</v>
      </c>
      <c r="K30" s="92" t="s">
        <v>735</v>
      </c>
    </row>
    <row r="31" spans="3:11" x14ac:dyDescent="0.25">
      <c r="C31" s="85"/>
      <c r="D31" s="93"/>
      <c r="E31" s="93"/>
      <c r="F31" s="93"/>
      <c r="G31" s="93"/>
      <c r="H31" s="93"/>
      <c r="I31" s="93"/>
      <c r="J31" s="94"/>
      <c r="K31" s="95"/>
    </row>
    <row r="32" spans="3:11" x14ac:dyDescent="0.25">
      <c r="C32" s="85"/>
      <c r="D32" s="93"/>
      <c r="E32" s="93"/>
      <c r="F32" s="93"/>
      <c r="G32" s="93"/>
      <c r="H32" s="93"/>
      <c r="I32" s="93"/>
      <c r="J32" s="94"/>
      <c r="K32" s="95"/>
    </row>
    <row r="33" spans="3:11" x14ac:dyDescent="0.25">
      <c r="C33" s="85"/>
      <c r="D33" s="93"/>
      <c r="E33" s="93"/>
      <c r="F33" s="93"/>
      <c r="G33" s="93"/>
      <c r="H33" s="93"/>
      <c r="I33" s="93"/>
      <c r="J33" s="94"/>
      <c r="K33" s="95"/>
    </row>
    <row r="34" spans="3:11" x14ac:dyDescent="0.25">
      <c r="C34" s="85"/>
      <c r="D34" s="93"/>
      <c r="E34" s="93"/>
      <c r="F34" s="93"/>
      <c r="G34" s="93"/>
      <c r="H34" s="93"/>
      <c r="I34" s="93"/>
      <c r="J34" s="94"/>
      <c r="K34" s="95"/>
    </row>
    <row r="35" spans="3:11" x14ac:dyDescent="0.25">
      <c r="C35" s="85"/>
      <c r="D35" s="93"/>
      <c r="E35" s="93"/>
      <c r="F35" s="93"/>
      <c r="G35" s="93"/>
      <c r="H35" s="93"/>
      <c r="I35" s="93"/>
      <c r="J35" s="94"/>
      <c r="K35" s="95"/>
    </row>
    <row r="36" spans="3:11" x14ac:dyDescent="0.25">
      <c r="C36" s="85"/>
      <c r="D36" s="93"/>
      <c r="E36" s="93"/>
      <c r="F36" s="93"/>
      <c r="G36" s="93"/>
      <c r="H36" s="93"/>
      <c r="I36" s="93"/>
      <c r="J36" s="94"/>
      <c r="K36" s="95"/>
    </row>
    <row r="37" spans="3:11" x14ac:dyDescent="0.25">
      <c r="C37" s="85"/>
      <c r="D37" s="93"/>
      <c r="E37" s="93"/>
      <c r="F37" s="93"/>
      <c r="G37" s="93"/>
      <c r="H37" s="93"/>
      <c r="I37" s="93"/>
      <c r="J37" s="94"/>
      <c r="K37" s="95"/>
    </row>
    <row r="38" spans="3:11" x14ac:dyDescent="0.25">
      <c r="C38" s="85"/>
      <c r="D38" s="93"/>
      <c r="E38" s="93"/>
      <c r="F38" s="93"/>
      <c r="G38" s="93"/>
      <c r="H38" s="93"/>
      <c r="I38" s="93"/>
      <c r="J38" s="94"/>
      <c r="K38" s="95"/>
    </row>
    <row r="39" spans="3:11" x14ac:dyDescent="0.25">
      <c r="C39" s="85"/>
      <c r="D39" s="93"/>
      <c r="E39" s="93"/>
      <c r="F39" s="93"/>
      <c r="G39" s="93"/>
      <c r="H39" s="93"/>
      <c r="I39" s="93"/>
      <c r="J39" s="94"/>
      <c r="K39" s="95"/>
    </row>
    <row r="40" spans="3:11" x14ac:dyDescent="0.25">
      <c r="C40" s="85"/>
      <c r="D40" s="93"/>
      <c r="E40" s="93"/>
      <c r="F40" s="93"/>
      <c r="G40" s="93"/>
      <c r="H40" s="93"/>
      <c r="I40" s="93"/>
      <c r="J40" s="94"/>
      <c r="K40" s="95"/>
    </row>
    <row r="41" spans="3:11" x14ac:dyDescent="0.25">
      <c r="C41" s="85"/>
      <c r="D41" s="93"/>
      <c r="E41" s="93"/>
      <c r="F41" s="93"/>
      <c r="G41" s="93"/>
      <c r="H41" s="93"/>
      <c r="I41" s="93"/>
      <c r="J41" s="94"/>
      <c r="K41" s="95"/>
    </row>
    <row r="42" spans="3:11" x14ac:dyDescent="0.25">
      <c r="C42" s="85"/>
      <c r="D42" s="93"/>
      <c r="E42" s="93"/>
      <c r="F42" s="93"/>
      <c r="G42" s="93"/>
      <c r="H42" s="93"/>
      <c r="I42" s="93"/>
      <c r="J42" s="94"/>
      <c r="K42" s="95"/>
    </row>
    <row r="43" spans="3:11" x14ac:dyDescent="0.25">
      <c r="C43" s="85"/>
      <c r="D43" s="93"/>
      <c r="E43" s="93"/>
      <c r="F43" s="93"/>
      <c r="G43" s="93"/>
      <c r="H43" s="93"/>
      <c r="I43" s="93"/>
      <c r="J43" s="94"/>
      <c r="K43" s="95"/>
    </row>
    <row r="44" spans="3:11" x14ac:dyDescent="0.25">
      <c r="C44" s="85"/>
      <c r="D44" s="93"/>
      <c r="E44" s="93"/>
      <c r="F44" s="93"/>
      <c r="G44" s="93"/>
      <c r="H44" s="93"/>
      <c r="I44" s="93"/>
      <c r="J44" s="94"/>
      <c r="K44" s="95"/>
    </row>
    <row r="45" spans="3:11" x14ac:dyDescent="0.25">
      <c r="C45" s="85"/>
      <c r="D45" s="93"/>
      <c r="E45" s="93"/>
      <c r="F45" s="93"/>
      <c r="G45" s="93"/>
      <c r="H45" s="93"/>
      <c r="I45" s="93"/>
      <c r="J45" s="94"/>
      <c r="K45" s="95"/>
    </row>
    <row r="46" spans="3:11" x14ac:dyDescent="0.25">
      <c r="C46" s="85"/>
      <c r="D46" s="93"/>
      <c r="E46" s="93"/>
      <c r="F46" s="93"/>
      <c r="G46" s="93"/>
      <c r="H46" s="93"/>
      <c r="I46" s="93"/>
      <c r="J46" s="94"/>
      <c r="K46" s="95"/>
    </row>
    <row r="47" spans="3:11" x14ac:dyDescent="0.25">
      <c r="C47" s="85"/>
      <c r="D47" s="93"/>
      <c r="E47" s="93"/>
      <c r="F47" s="93"/>
      <c r="G47" s="93"/>
      <c r="H47" s="93"/>
      <c r="I47" s="93"/>
      <c r="J47" s="94"/>
      <c r="K47" s="95"/>
    </row>
    <row r="48" spans="3:11" x14ac:dyDescent="0.25">
      <c r="C48" s="85"/>
      <c r="D48" s="93"/>
      <c r="E48" s="93"/>
      <c r="F48" s="93"/>
      <c r="G48" s="93"/>
      <c r="H48" s="93"/>
      <c r="I48" s="93"/>
      <c r="J48" s="94"/>
      <c r="K48" s="95"/>
    </row>
    <row r="49" spans="3:11" x14ac:dyDescent="0.25">
      <c r="C49" s="85"/>
      <c r="D49" s="93"/>
      <c r="E49" s="93"/>
      <c r="F49" s="93"/>
      <c r="G49" s="93"/>
      <c r="H49" s="93"/>
      <c r="I49" s="93"/>
      <c r="J49" s="94"/>
      <c r="K49" s="95"/>
    </row>
    <row r="50" spans="3:11" x14ac:dyDescent="0.25">
      <c r="C50" s="85"/>
      <c r="D50" s="93"/>
      <c r="E50" s="93"/>
      <c r="F50" s="93"/>
      <c r="G50" s="93"/>
      <c r="H50" s="93"/>
      <c r="I50" s="93"/>
      <c r="J50" s="94"/>
      <c r="K50" s="95"/>
    </row>
    <row r="51" spans="3:11" x14ac:dyDescent="0.25">
      <c r="C51" s="85"/>
      <c r="D51" s="93"/>
      <c r="E51" s="93"/>
      <c r="F51" s="93"/>
      <c r="G51" s="93"/>
      <c r="H51" s="93"/>
      <c r="I51" s="93"/>
      <c r="J51" s="94"/>
      <c r="K51" s="95"/>
    </row>
    <row r="52" spans="3:11" x14ac:dyDescent="0.25">
      <c r="C52" s="85"/>
      <c r="D52" s="93"/>
      <c r="E52" s="93"/>
      <c r="F52" s="93"/>
      <c r="G52" s="93"/>
      <c r="H52" s="93"/>
      <c r="I52" s="93"/>
      <c r="J52" s="94"/>
      <c r="K52" s="95"/>
    </row>
    <row r="53" spans="3:11" x14ac:dyDescent="0.25">
      <c r="C53" s="85"/>
      <c r="D53" s="93"/>
      <c r="E53" s="93"/>
      <c r="F53" s="93"/>
      <c r="G53" s="93"/>
      <c r="H53" s="93"/>
      <c r="I53" s="93"/>
      <c r="J53" s="94"/>
      <c r="K53" s="95"/>
    </row>
    <row r="54" spans="3:11" x14ac:dyDescent="0.25">
      <c r="C54" s="85"/>
      <c r="D54" s="93"/>
      <c r="E54" s="93"/>
      <c r="F54" s="93"/>
      <c r="G54" s="93"/>
      <c r="H54" s="93"/>
      <c r="I54" s="93"/>
      <c r="J54" s="94"/>
      <c r="K54" s="95"/>
    </row>
    <row r="55" spans="3:11" x14ac:dyDescent="0.25">
      <c r="C55" s="85"/>
      <c r="D55" s="93"/>
      <c r="E55" s="93"/>
      <c r="F55" s="93"/>
      <c r="G55" s="93"/>
      <c r="H55" s="93"/>
      <c r="I55" s="93"/>
      <c r="J55" s="94"/>
      <c r="K55" s="95"/>
    </row>
    <row r="56" spans="3:11" x14ac:dyDescent="0.25">
      <c r="C56" s="85"/>
      <c r="D56" s="93"/>
      <c r="E56" s="93"/>
      <c r="F56" s="93"/>
      <c r="G56" s="93"/>
      <c r="H56" s="93"/>
      <c r="I56" s="93"/>
      <c r="J56" s="94"/>
      <c r="K56" s="95"/>
    </row>
    <row r="57" spans="3:11" x14ac:dyDescent="0.25">
      <c r="C57" s="85"/>
      <c r="D57" s="93"/>
      <c r="E57" s="93"/>
      <c r="F57" s="93"/>
      <c r="G57" s="93"/>
      <c r="H57" s="93"/>
      <c r="I57" s="93"/>
      <c r="J57" s="94"/>
      <c r="K57" s="95"/>
    </row>
    <row r="58" spans="3:11" x14ac:dyDescent="0.25">
      <c r="C58" s="85"/>
      <c r="D58" s="93"/>
      <c r="E58" s="93"/>
      <c r="F58" s="93"/>
      <c r="G58" s="93"/>
      <c r="H58" s="93"/>
      <c r="I58" s="93"/>
      <c r="J58" s="94"/>
      <c r="K58" s="95"/>
    </row>
    <row r="59" spans="3:11" x14ac:dyDescent="0.25">
      <c r="C59" s="85"/>
      <c r="D59" s="93"/>
      <c r="E59" s="93"/>
      <c r="F59" s="93"/>
      <c r="G59" s="93"/>
      <c r="H59" s="93"/>
      <c r="I59" s="93"/>
      <c r="J59" s="94"/>
      <c r="K59" s="95"/>
    </row>
    <row r="60" spans="3:11" x14ac:dyDescent="0.25">
      <c r="C60" s="85"/>
      <c r="D60" s="93"/>
      <c r="E60" s="93"/>
      <c r="F60" s="93"/>
      <c r="G60" s="93"/>
      <c r="H60" s="93"/>
      <c r="I60" s="93"/>
      <c r="J60" s="94"/>
      <c r="K60" s="95"/>
    </row>
    <row r="61" spans="3:11" x14ac:dyDescent="0.25">
      <c r="C61" s="85"/>
      <c r="D61" s="93"/>
      <c r="E61" s="93"/>
      <c r="F61" s="93"/>
      <c r="G61" s="93"/>
      <c r="H61" s="93"/>
      <c r="I61" s="93"/>
      <c r="J61" s="94"/>
      <c r="K61" s="95"/>
    </row>
    <row r="62" spans="3:11" x14ac:dyDescent="0.25">
      <c r="C62" s="85"/>
      <c r="D62" s="93"/>
      <c r="E62" s="93"/>
      <c r="F62" s="93"/>
      <c r="G62" s="93"/>
      <c r="H62" s="93"/>
      <c r="I62" s="93"/>
      <c r="J62" s="94"/>
      <c r="K62" s="95"/>
    </row>
    <row r="63" spans="3:11" x14ac:dyDescent="0.25">
      <c r="C63" s="85"/>
      <c r="D63" s="93"/>
      <c r="E63" s="93"/>
      <c r="F63" s="93"/>
      <c r="G63" s="93"/>
      <c r="H63" s="93"/>
      <c r="I63" s="93"/>
      <c r="J63" s="94"/>
      <c r="K63" s="95"/>
    </row>
    <row r="64" spans="3:11" x14ac:dyDescent="0.25">
      <c r="C64" s="85"/>
      <c r="D64" s="93"/>
      <c r="E64" s="93"/>
      <c r="F64" s="93"/>
      <c r="G64" s="93"/>
      <c r="H64" s="93"/>
      <c r="I64" s="93"/>
      <c r="J64" s="94"/>
      <c r="K64" s="95"/>
    </row>
    <row r="65" spans="3:11" x14ac:dyDescent="0.25">
      <c r="C65" s="85"/>
      <c r="D65" s="93"/>
      <c r="E65" s="93"/>
      <c r="F65" s="93"/>
      <c r="G65" s="93"/>
      <c r="H65" s="93"/>
      <c r="I65" s="93"/>
      <c r="J65" s="94"/>
      <c r="K65" s="95"/>
    </row>
    <row r="66" spans="3:11" x14ac:dyDescent="0.25">
      <c r="C66" s="85"/>
      <c r="D66" s="93"/>
      <c r="E66" s="93"/>
      <c r="F66" s="93"/>
      <c r="G66" s="93"/>
      <c r="H66" s="93"/>
      <c r="I66" s="93"/>
      <c r="J66" s="94"/>
      <c r="K66" s="95"/>
    </row>
    <row r="67" spans="3:11" x14ac:dyDescent="0.25">
      <c r="C67" s="85"/>
      <c r="D67" s="93"/>
      <c r="E67" s="93"/>
      <c r="F67" s="93"/>
      <c r="G67" s="93"/>
      <c r="H67" s="93"/>
      <c r="I67" s="93"/>
      <c r="J67" s="94"/>
      <c r="K67" s="95"/>
    </row>
    <row r="68" spans="3:11" x14ac:dyDescent="0.25">
      <c r="C68" s="85"/>
      <c r="D68" s="93"/>
      <c r="E68" s="93"/>
      <c r="F68" s="93"/>
      <c r="G68" s="93"/>
      <c r="H68" s="93"/>
      <c r="I68" s="93"/>
      <c r="J68" s="94"/>
      <c r="K68" s="95"/>
    </row>
    <row r="69" spans="3:11" x14ac:dyDescent="0.25">
      <c r="C69" s="85"/>
      <c r="D69" s="93"/>
      <c r="E69" s="93"/>
      <c r="F69" s="93"/>
      <c r="G69" s="93"/>
      <c r="H69" s="93"/>
      <c r="I69" s="93"/>
      <c r="J69" s="94"/>
      <c r="K69" s="95"/>
    </row>
    <row r="70" spans="3:11" x14ac:dyDescent="0.25">
      <c r="C70" s="85"/>
      <c r="D70" s="93"/>
      <c r="E70" s="93"/>
      <c r="F70" s="93"/>
      <c r="G70" s="93"/>
      <c r="H70" s="93"/>
      <c r="I70" s="93"/>
      <c r="J70" s="94"/>
      <c r="K70" s="95"/>
    </row>
    <row r="71" spans="3:11" x14ac:dyDescent="0.25">
      <c r="C71" s="85"/>
      <c r="D71" s="93"/>
      <c r="E71" s="93"/>
      <c r="F71" s="93"/>
      <c r="G71" s="93"/>
      <c r="H71" s="93"/>
      <c r="I71" s="93"/>
      <c r="J71" s="94"/>
      <c r="K71" s="95"/>
    </row>
    <row r="72" spans="3:11" x14ac:dyDescent="0.25">
      <c r="C72" s="85"/>
      <c r="D72" s="93"/>
      <c r="E72" s="93"/>
      <c r="F72" s="93"/>
      <c r="G72" s="93"/>
      <c r="H72" s="93"/>
      <c r="I72" s="93"/>
      <c r="J72" s="94"/>
      <c r="K72" s="95"/>
    </row>
    <row r="73" spans="3:11" x14ac:dyDescent="0.25">
      <c r="C73" s="85"/>
      <c r="D73" s="93"/>
      <c r="E73" s="93"/>
      <c r="F73" s="93"/>
      <c r="G73" s="93"/>
      <c r="H73" s="93"/>
      <c r="I73" s="93"/>
      <c r="J73" s="94"/>
      <c r="K73" s="95"/>
    </row>
    <row r="74" spans="3:11" x14ac:dyDescent="0.25">
      <c r="C74" s="85"/>
      <c r="D74" s="93"/>
      <c r="E74" s="93"/>
      <c r="F74" s="93"/>
      <c r="G74" s="93"/>
      <c r="H74" s="93"/>
      <c r="I74" s="93"/>
      <c r="J74" s="94"/>
      <c r="K74" s="95"/>
    </row>
    <row r="75" spans="3:11" x14ac:dyDescent="0.25">
      <c r="C75" s="85"/>
      <c r="D75" s="93"/>
      <c r="E75" s="93"/>
      <c r="F75" s="93"/>
      <c r="G75" s="93"/>
      <c r="H75" s="93"/>
      <c r="I75" s="93"/>
      <c r="J75" s="94"/>
      <c r="K75" s="95"/>
    </row>
    <row r="76" spans="3:11" x14ac:dyDescent="0.25">
      <c r="C76" s="85"/>
      <c r="D76" s="93"/>
      <c r="E76" s="93"/>
      <c r="F76" s="93"/>
      <c r="G76" s="93"/>
      <c r="H76" s="93"/>
      <c r="I76" s="93"/>
      <c r="J76" s="94"/>
      <c r="K76" s="95"/>
    </row>
    <row r="77" spans="3:11" x14ac:dyDescent="0.25">
      <c r="C77" s="85"/>
      <c r="D77" s="93"/>
      <c r="E77" s="93"/>
      <c r="F77" s="93"/>
      <c r="G77" s="93"/>
      <c r="H77" s="93"/>
      <c r="I77" s="93"/>
      <c r="J77" s="94"/>
      <c r="K77" s="95"/>
    </row>
    <row r="78" spans="3:11" x14ac:dyDescent="0.25">
      <c r="C78" s="85"/>
      <c r="D78" s="93"/>
      <c r="E78" s="93"/>
      <c r="F78" s="93"/>
      <c r="G78" s="93"/>
      <c r="H78" s="93"/>
      <c r="I78" s="93"/>
      <c r="J78" s="94"/>
      <c r="K78" s="95"/>
    </row>
    <row r="79" spans="3:11" x14ac:dyDescent="0.25">
      <c r="C79" s="85"/>
      <c r="D79" s="93"/>
      <c r="E79" s="93"/>
      <c r="F79" s="93"/>
      <c r="G79" s="93"/>
      <c r="H79" s="93"/>
      <c r="I79" s="93"/>
      <c r="J79" s="94"/>
      <c r="K79" s="95"/>
    </row>
    <row r="80" spans="3:11" x14ac:dyDescent="0.25">
      <c r="C80" s="85"/>
      <c r="D80" s="93"/>
      <c r="E80" s="93"/>
      <c r="F80" s="93"/>
      <c r="G80" s="93"/>
      <c r="H80" s="93"/>
      <c r="I80" s="93"/>
      <c r="J80" s="94"/>
      <c r="K80" s="95"/>
    </row>
    <row r="81" spans="3:11" x14ac:dyDescent="0.25">
      <c r="C81" s="85"/>
      <c r="D81" s="93"/>
      <c r="E81" s="93"/>
      <c r="F81" s="93"/>
      <c r="G81" s="93"/>
      <c r="H81" s="93"/>
      <c r="I81" s="93"/>
      <c r="J81" s="94"/>
      <c r="K81" s="95"/>
    </row>
    <row r="82" spans="3:11" x14ac:dyDescent="0.25">
      <c r="C82" s="85"/>
      <c r="D82" s="93"/>
      <c r="E82" s="93"/>
      <c r="F82" s="93"/>
      <c r="G82" s="93"/>
      <c r="H82" s="93"/>
      <c r="I82" s="93"/>
      <c r="J82" s="94"/>
      <c r="K82" s="95"/>
    </row>
    <row r="83" spans="3:11" x14ac:dyDescent="0.25">
      <c r="C83" s="85"/>
      <c r="D83" s="93"/>
      <c r="E83" s="93"/>
      <c r="F83" s="93"/>
      <c r="G83" s="93"/>
      <c r="H83" s="93"/>
      <c r="I83" s="93"/>
      <c r="J83" s="94"/>
      <c r="K83" s="95"/>
    </row>
    <row r="84" spans="3:11" x14ac:dyDescent="0.25">
      <c r="C84" s="85"/>
      <c r="D84" s="93"/>
      <c r="E84" s="93"/>
      <c r="F84" s="93"/>
      <c r="G84" s="93"/>
      <c r="H84" s="93"/>
      <c r="I84" s="93"/>
      <c r="J84" s="94"/>
      <c r="K84" s="95"/>
    </row>
    <row r="85" spans="3:11" x14ac:dyDescent="0.25">
      <c r="C85" s="85"/>
      <c r="D85" s="93"/>
      <c r="E85" s="93"/>
      <c r="F85" s="93"/>
      <c r="G85" s="93"/>
      <c r="H85" s="93"/>
      <c r="I85" s="93"/>
      <c r="J85" s="94"/>
      <c r="K85" s="95"/>
    </row>
    <row r="86" spans="3:11" x14ac:dyDescent="0.25">
      <c r="C86" s="85"/>
      <c r="D86" s="93"/>
      <c r="E86" s="93"/>
      <c r="F86" s="93"/>
      <c r="G86" s="93"/>
      <c r="H86" s="93"/>
      <c r="I86" s="93"/>
      <c r="J86" s="94"/>
      <c r="K86" s="95"/>
    </row>
    <row r="87" spans="3:11" x14ac:dyDescent="0.25">
      <c r="C87" s="85"/>
      <c r="D87" s="93"/>
      <c r="E87" s="93"/>
      <c r="F87" s="93"/>
      <c r="G87" s="93"/>
      <c r="H87" s="93"/>
      <c r="I87" s="93"/>
      <c r="J87" s="94"/>
      <c r="K87" s="95"/>
    </row>
    <row r="88" spans="3:11" x14ac:dyDescent="0.25">
      <c r="C88" s="85"/>
      <c r="D88" s="93"/>
      <c r="E88" s="93"/>
      <c r="F88" s="93"/>
      <c r="G88" s="93"/>
      <c r="H88" s="93"/>
      <c r="I88" s="93"/>
      <c r="J88" s="94"/>
      <c r="K88" s="95"/>
    </row>
    <row r="89" spans="3:11" x14ac:dyDescent="0.25">
      <c r="C89" s="85"/>
      <c r="D89" s="93"/>
      <c r="E89" s="93"/>
      <c r="F89" s="93"/>
      <c r="G89" s="93"/>
      <c r="H89" s="93"/>
      <c r="I89" s="93"/>
      <c r="J89" s="94"/>
      <c r="K89" s="95"/>
    </row>
    <row r="90" spans="3:11" x14ac:dyDescent="0.25">
      <c r="C90" s="85"/>
      <c r="D90" s="93"/>
      <c r="E90" s="93"/>
      <c r="F90" s="93"/>
      <c r="G90" s="93"/>
      <c r="H90" s="93"/>
      <c r="I90" s="93"/>
      <c r="J90" s="94"/>
      <c r="K90" s="95"/>
    </row>
    <row r="91" spans="3:11" x14ac:dyDescent="0.25">
      <c r="C91" s="85"/>
      <c r="D91" s="93"/>
      <c r="E91" s="93"/>
      <c r="F91" s="93"/>
      <c r="G91" s="93"/>
      <c r="H91" s="93"/>
      <c r="I91" s="93"/>
      <c r="J91" s="94"/>
      <c r="K91" s="95"/>
    </row>
    <row r="92" spans="3:11" x14ac:dyDescent="0.25">
      <c r="C92" s="85"/>
      <c r="D92" s="93"/>
      <c r="E92" s="93"/>
      <c r="F92" s="93"/>
      <c r="G92" s="93"/>
      <c r="H92" s="93"/>
      <c r="I92" s="93"/>
      <c r="J92" s="94"/>
      <c r="K92" s="95"/>
    </row>
    <row r="93" spans="3:11" x14ac:dyDescent="0.25">
      <c r="C93" s="85"/>
      <c r="D93" s="93"/>
      <c r="E93" s="93"/>
      <c r="F93" s="93"/>
      <c r="G93" s="93"/>
      <c r="H93" s="93"/>
      <c r="I93" s="93"/>
      <c r="J93" s="94"/>
      <c r="K93" s="95"/>
    </row>
    <row r="94" spans="3:11" x14ac:dyDescent="0.25">
      <c r="C94" s="85"/>
      <c r="D94" s="93"/>
      <c r="E94" s="93"/>
      <c r="F94" s="93"/>
      <c r="G94" s="93"/>
      <c r="H94" s="93"/>
      <c r="I94" s="93"/>
      <c r="J94" s="94"/>
      <c r="K94" s="95"/>
    </row>
    <row r="95" spans="3:11" x14ac:dyDescent="0.25">
      <c r="C95" s="85"/>
      <c r="D95" s="93"/>
      <c r="E95" s="93"/>
      <c r="F95" s="93"/>
      <c r="G95" s="93"/>
      <c r="H95" s="93"/>
      <c r="I95" s="93"/>
      <c r="J95" s="94"/>
      <c r="K95" s="95"/>
    </row>
    <row r="96" spans="3:11" x14ac:dyDescent="0.25">
      <c r="C96" s="85"/>
      <c r="D96" s="93"/>
      <c r="E96" s="93"/>
      <c r="F96" s="93"/>
      <c r="G96" s="93"/>
      <c r="H96" s="93"/>
      <c r="I96" s="93"/>
      <c r="J96" s="94"/>
      <c r="K96" s="95"/>
    </row>
    <row r="97" spans="3:11" x14ac:dyDescent="0.25">
      <c r="C97" s="85"/>
      <c r="D97" s="93"/>
      <c r="E97" s="93"/>
      <c r="F97" s="93"/>
      <c r="G97" s="93"/>
      <c r="H97" s="93"/>
      <c r="I97" s="93"/>
      <c r="J97" s="94"/>
      <c r="K97" s="95"/>
    </row>
    <row r="98" spans="3:11" x14ac:dyDescent="0.25">
      <c r="C98" s="85"/>
      <c r="D98" s="93"/>
      <c r="E98" s="93"/>
      <c r="F98" s="93"/>
      <c r="G98" s="93"/>
      <c r="H98" s="93"/>
      <c r="I98" s="93"/>
      <c r="J98" s="94"/>
      <c r="K98" s="95"/>
    </row>
    <row r="99" spans="3:11" x14ac:dyDescent="0.25">
      <c r="C99" s="85"/>
      <c r="D99" s="93"/>
      <c r="E99" s="93"/>
      <c r="F99" s="93"/>
      <c r="G99" s="93"/>
      <c r="H99" s="93"/>
      <c r="I99" s="93"/>
      <c r="J99" s="94"/>
      <c r="K99" s="95"/>
    </row>
    <row r="100" spans="3:11" x14ac:dyDescent="0.25">
      <c r="C100" s="85"/>
      <c r="D100" s="93"/>
      <c r="E100" s="93"/>
      <c r="F100" s="93"/>
      <c r="G100" s="93"/>
      <c r="H100" s="93"/>
      <c r="I100" s="93"/>
      <c r="J100" s="94"/>
      <c r="K100" s="95"/>
    </row>
    <row r="101" spans="3:11" x14ac:dyDescent="0.25">
      <c r="C101" s="85"/>
      <c r="D101" s="93"/>
      <c r="E101" s="93"/>
      <c r="F101" s="93"/>
      <c r="G101" s="93"/>
      <c r="H101" s="93"/>
      <c r="I101" s="93"/>
      <c r="J101" s="94"/>
      <c r="K101" s="95"/>
    </row>
    <row r="102" spans="3:11" x14ac:dyDescent="0.25">
      <c r="C102" s="85"/>
      <c r="D102" s="93"/>
      <c r="E102" s="93"/>
      <c r="F102" s="93"/>
      <c r="G102" s="93"/>
      <c r="H102" s="93"/>
      <c r="I102" s="93"/>
      <c r="J102" s="94"/>
      <c r="K102" s="95"/>
    </row>
    <row r="103" spans="3:11" x14ac:dyDescent="0.25">
      <c r="C103" s="85"/>
      <c r="D103" s="93"/>
      <c r="E103" s="93"/>
      <c r="F103" s="93"/>
      <c r="G103" s="93"/>
      <c r="H103" s="93"/>
      <c r="I103" s="93"/>
      <c r="J103" s="94"/>
      <c r="K103" s="95"/>
    </row>
    <row r="104" spans="3:11" x14ac:dyDescent="0.25">
      <c r="C104" s="85"/>
      <c r="D104" s="93"/>
      <c r="E104" s="93"/>
      <c r="F104" s="93"/>
      <c r="G104" s="93"/>
      <c r="H104" s="93"/>
      <c r="I104" s="93"/>
      <c r="J104" s="94"/>
      <c r="K104" s="95"/>
    </row>
    <row r="105" spans="3:11" x14ac:dyDescent="0.25">
      <c r="C105" s="85"/>
      <c r="D105" s="93"/>
      <c r="E105" s="93"/>
      <c r="F105" s="93"/>
      <c r="G105" s="93"/>
      <c r="H105" s="93"/>
      <c r="I105" s="93"/>
      <c r="J105" s="94"/>
      <c r="K105" s="95"/>
    </row>
    <row r="106" spans="3:11" x14ac:dyDescent="0.25">
      <c r="C106" s="85"/>
      <c r="D106" s="93"/>
      <c r="E106" s="93"/>
      <c r="F106" s="93"/>
      <c r="G106" s="93"/>
      <c r="H106" s="93"/>
      <c r="I106" s="93"/>
      <c r="J106" s="94"/>
      <c r="K106" s="95"/>
    </row>
    <row r="107" spans="3:11" x14ac:dyDescent="0.25">
      <c r="C107" s="85"/>
      <c r="D107" s="93"/>
      <c r="E107" s="93"/>
      <c r="F107" s="93"/>
      <c r="G107" s="93"/>
      <c r="H107" s="93"/>
      <c r="I107" s="93"/>
      <c r="J107" s="94"/>
      <c r="K107" s="95"/>
    </row>
    <row r="108" spans="3:11" x14ac:dyDescent="0.25">
      <c r="C108" s="85"/>
      <c r="D108" s="93"/>
      <c r="E108" s="93"/>
      <c r="F108" s="93"/>
      <c r="G108" s="93"/>
      <c r="H108" s="93"/>
      <c r="I108" s="93"/>
      <c r="J108" s="94"/>
      <c r="K108" s="95"/>
    </row>
    <row r="109" spans="3:11" x14ac:dyDescent="0.25">
      <c r="C109" s="85"/>
      <c r="D109" s="93"/>
      <c r="E109" s="93"/>
      <c r="F109" s="93"/>
      <c r="G109" s="93"/>
      <c r="H109" s="93"/>
      <c r="I109" s="93"/>
      <c r="J109" s="94"/>
      <c r="K109" s="95"/>
    </row>
    <row r="110" spans="3:11" x14ac:dyDescent="0.25">
      <c r="C110" s="85"/>
      <c r="D110" s="93"/>
      <c r="E110" s="93"/>
      <c r="F110" s="93"/>
      <c r="G110" s="93"/>
      <c r="H110" s="93"/>
      <c r="I110" s="93"/>
      <c r="J110" s="94"/>
      <c r="K110" s="95"/>
    </row>
    <row r="111" spans="3:11" x14ac:dyDescent="0.25">
      <c r="C111" s="85"/>
      <c r="D111" s="93"/>
      <c r="E111" s="93"/>
      <c r="F111" s="93"/>
      <c r="G111" s="93"/>
      <c r="H111" s="93"/>
      <c r="I111" s="93"/>
      <c r="J111" s="94"/>
      <c r="K111" s="95"/>
    </row>
    <row r="112" spans="3:11" x14ac:dyDescent="0.25">
      <c r="C112" s="85"/>
      <c r="D112" s="93"/>
      <c r="E112" s="93"/>
      <c r="F112" s="93"/>
      <c r="G112" s="93"/>
      <c r="H112" s="93"/>
      <c r="I112" s="93"/>
      <c r="J112" s="94"/>
      <c r="K112" s="95"/>
    </row>
    <row r="113" spans="3:11" x14ac:dyDescent="0.25">
      <c r="C113" s="85"/>
      <c r="D113" s="93"/>
      <c r="E113" s="93"/>
      <c r="F113" s="93"/>
      <c r="G113" s="93"/>
      <c r="H113" s="93"/>
      <c r="I113" s="93"/>
      <c r="J113" s="94"/>
      <c r="K113" s="95"/>
    </row>
    <row r="114" spans="3:11" x14ac:dyDescent="0.25">
      <c r="C114" s="85"/>
      <c r="D114" s="93"/>
      <c r="E114" s="93"/>
      <c r="F114" s="93"/>
      <c r="G114" s="93"/>
      <c r="H114" s="93"/>
      <c r="I114" s="93"/>
      <c r="J114" s="94"/>
      <c r="K114" s="95"/>
    </row>
    <row r="115" spans="3:11" x14ac:dyDescent="0.25">
      <c r="C115" s="85"/>
      <c r="D115" s="93"/>
      <c r="E115" s="93"/>
      <c r="F115" s="93"/>
      <c r="G115" s="93"/>
      <c r="H115" s="93"/>
      <c r="I115" s="93"/>
      <c r="J115" s="94"/>
      <c r="K115" s="95"/>
    </row>
    <row r="116" spans="3:11" x14ac:dyDescent="0.25">
      <c r="C116" s="85"/>
      <c r="D116" s="93"/>
      <c r="E116" s="93"/>
      <c r="F116" s="93"/>
      <c r="G116" s="93"/>
      <c r="H116" s="93"/>
      <c r="I116" s="93"/>
      <c r="J116" s="94"/>
      <c r="K116" s="95"/>
    </row>
    <row r="117" spans="3:11" x14ac:dyDescent="0.25">
      <c r="C117" s="85"/>
      <c r="D117" s="93"/>
      <c r="E117" s="93"/>
      <c r="F117" s="93"/>
      <c r="G117" s="93"/>
      <c r="H117" s="93"/>
      <c r="I117" s="93"/>
      <c r="J117" s="94"/>
      <c r="K117" s="95"/>
    </row>
    <row r="118" spans="3:11" x14ac:dyDescent="0.25">
      <c r="C118" s="85"/>
      <c r="D118" s="93"/>
      <c r="E118" s="93"/>
      <c r="F118" s="93"/>
      <c r="G118" s="93"/>
      <c r="H118" s="93"/>
      <c r="I118" s="93"/>
      <c r="J118" s="94"/>
      <c r="K118" s="95"/>
    </row>
    <row r="119" spans="3:11" x14ac:dyDescent="0.25">
      <c r="C119" s="85"/>
      <c r="D119" s="93"/>
      <c r="E119" s="93"/>
      <c r="F119" s="93"/>
      <c r="G119" s="93"/>
      <c r="H119" s="93"/>
      <c r="I119" s="93"/>
      <c r="J119" s="94"/>
      <c r="K119" s="95"/>
    </row>
    <row r="120" spans="3:11" x14ac:dyDescent="0.25">
      <c r="C120" s="85"/>
      <c r="D120" s="93"/>
      <c r="E120" s="93"/>
      <c r="F120" s="93"/>
      <c r="G120" s="93"/>
      <c r="H120" s="93"/>
      <c r="I120" s="93"/>
      <c r="J120" s="94"/>
      <c r="K120" s="95"/>
    </row>
    <row r="121" spans="3:11" x14ac:dyDescent="0.25">
      <c r="C121" s="85"/>
      <c r="D121" s="93"/>
      <c r="E121" s="93"/>
      <c r="F121" s="93"/>
      <c r="G121" s="93"/>
      <c r="H121" s="93"/>
      <c r="I121" s="93"/>
      <c r="J121" s="94"/>
      <c r="K121" s="95"/>
    </row>
    <row r="122" spans="3:11" x14ac:dyDescent="0.25">
      <c r="C122" s="85"/>
      <c r="D122" s="93"/>
      <c r="E122" s="93"/>
      <c r="F122" s="93"/>
      <c r="G122" s="93"/>
      <c r="H122" s="93"/>
      <c r="I122" s="93"/>
      <c r="J122" s="94"/>
      <c r="K122" s="95"/>
    </row>
    <row r="123" spans="3:11" x14ac:dyDescent="0.25">
      <c r="C123" s="85"/>
      <c r="D123" s="93"/>
      <c r="E123" s="93"/>
      <c r="F123" s="93"/>
      <c r="G123" s="93"/>
      <c r="H123" s="93"/>
      <c r="I123" s="93"/>
      <c r="J123" s="94"/>
      <c r="K123" s="95"/>
    </row>
    <row r="124" spans="3:11" x14ac:dyDescent="0.25">
      <c r="C124" s="85"/>
      <c r="D124" s="93"/>
      <c r="E124" s="93"/>
      <c r="F124" s="93"/>
      <c r="G124" s="93"/>
      <c r="H124" s="93"/>
      <c r="I124" s="93"/>
      <c r="J124" s="94"/>
      <c r="K124" s="95"/>
    </row>
    <row r="125" spans="3:11" x14ac:dyDescent="0.25">
      <c r="C125" s="85"/>
      <c r="D125" s="93"/>
      <c r="E125" s="93"/>
      <c r="F125" s="93"/>
      <c r="G125" s="93"/>
      <c r="H125" s="93"/>
      <c r="I125" s="93"/>
      <c r="J125" s="94"/>
      <c r="K125" s="95"/>
    </row>
    <row r="126" spans="3:11" x14ac:dyDescent="0.25">
      <c r="C126" s="85"/>
      <c r="D126" s="93"/>
      <c r="E126" s="93"/>
      <c r="F126" s="93"/>
      <c r="G126" s="93"/>
      <c r="H126" s="93"/>
      <c r="I126" s="93"/>
      <c r="J126" s="94"/>
      <c r="K126" s="95"/>
    </row>
    <row r="127" spans="3:11" x14ac:dyDescent="0.25">
      <c r="C127" s="85"/>
      <c r="D127" s="93"/>
      <c r="E127" s="93"/>
      <c r="F127" s="93"/>
      <c r="G127" s="93"/>
      <c r="H127" s="93"/>
      <c r="I127" s="93"/>
      <c r="J127" s="94"/>
      <c r="K127" s="95"/>
    </row>
    <row r="128" spans="3:11" x14ac:dyDescent="0.25">
      <c r="C128" s="85"/>
      <c r="D128" s="93"/>
      <c r="E128" s="93"/>
      <c r="F128" s="93"/>
      <c r="G128" s="93"/>
      <c r="H128" s="93"/>
      <c r="I128" s="93"/>
      <c r="J128" s="94"/>
      <c r="K128" s="95"/>
    </row>
    <row r="129" spans="3:11" x14ac:dyDescent="0.25">
      <c r="C129" s="85"/>
      <c r="D129" s="93"/>
      <c r="E129" s="93"/>
      <c r="F129" s="93"/>
      <c r="G129" s="93"/>
      <c r="H129" s="93"/>
      <c r="I129" s="93"/>
      <c r="J129" s="94"/>
      <c r="K129" s="95"/>
    </row>
    <row r="130" spans="3:11" x14ac:dyDescent="0.25">
      <c r="C130" s="85"/>
      <c r="D130" s="93"/>
      <c r="E130" s="93"/>
      <c r="F130" s="93"/>
      <c r="G130" s="93"/>
      <c r="H130" s="93"/>
      <c r="I130" s="93"/>
      <c r="J130" s="94"/>
      <c r="K130" s="95"/>
    </row>
    <row r="131" spans="3:11" x14ac:dyDescent="0.25">
      <c r="C131" s="85"/>
      <c r="D131" s="93"/>
      <c r="E131" s="93"/>
      <c r="F131" s="93"/>
      <c r="G131" s="93"/>
      <c r="H131" s="93"/>
      <c r="I131" s="93"/>
      <c r="J131" s="94"/>
      <c r="K131" s="95"/>
    </row>
    <row r="132" spans="3:11" x14ac:dyDescent="0.25">
      <c r="C132" s="85"/>
      <c r="D132" s="93"/>
      <c r="E132" s="93"/>
      <c r="F132" s="93"/>
      <c r="G132" s="93"/>
      <c r="H132" s="93"/>
      <c r="I132" s="93"/>
      <c r="J132" s="94"/>
      <c r="K132" s="95"/>
    </row>
    <row r="133" spans="3:11" x14ac:dyDescent="0.25">
      <c r="C133" s="85"/>
      <c r="D133" s="93"/>
      <c r="E133" s="93"/>
      <c r="F133" s="93"/>
      <c r="G133" s="93"/>
      <c r="H133" s="93"/>
      <c r="I133" s="93"/>
      <c r="J133" s="94"/>
      <c r="K133" s="95"/>
    </row>
    <row r="134" spans="3:11" x14ac:dyDescent="0.25">
      <c r="C134" s="85"/>
      <c r="D134" s="93"/>
      <c r="E134" s="93"/>
      <c r="F134" s="93"/>
      <c r="G134" s="93"/>
      <c r="H134" s="93"/>
      <c r="I134" s="93"/>
      <c r="J134" s="94"/>
      <c r="K134" s="95"/>
    </row>
    <row r="135" spans="3:11" x14ac:dyDescent="0.25">
      <c r="C135" s="85"/>
      <c r="D135" s="93"/>
      <c r="E135" s="93"/>
      <c r="F135" s="93"/>
      <c r="G135" s="93"/>
      <c r="H135" s="93"/>
      <c r="I135" s="93"/>
      <c r="J135" s="94"/>
      <c r="K135" s="95"/>
    </row>
    <row r="136" spans="3:11" x14ac:dyDescent="0.25">
      <c r="C136" s="85"/>
      <c r="D136" s="93"/>
      <c r="E136" s="93"/>
      <c r="F136" s="93"/>
      <c r="G136" s="93"/>
      <c r="H136" s="93"/>
      <c r="I136" s="93"/>
      <c r="J136" s="94"/>
      <c r="K136" s="95"/>
    </row>
    <row r="137" spans="3:11" x14ac:dyDescent="0.25">
      <c r="C137" s="85"/>
      <c r="D137" s="93"/>
      <c r="E137" s="93"/>
      <c r="F137" s="93"/>
      <c r="G137" s="93"/>
      <c r="H137" s="93"/>
      <c r="I137" s="93"/>
      <c r="J137" s="94"/>
      <c r="K137" s="95"/>
    </row>
    <row r="138" spans="3:11" x14ac:dyDescent="0.25">
      <c r="C138" s="85"/>
      <c r="D138" s="93"/>
      <c r="E138" s="93"/>
      <c r="F138" s="93"/>
      <c r="G138" s="93"/>
      <c r="H138" s="93"/>
      <c r="I138" s="93"/>
      <c r="J138" s="94"/>
      <c r="K138" s="95"/>
    </row>
    <row r="139" spans="3:11" x14ac:dyDescent="0.25">
      <c r="C139" s="85"/>
      <c r="D139" s="93"/>
      <c r="E139" s="93"/>
      <c r="F139" s="93"/>
      <c r="G139" s="93"/>
      <c r="H139" s="93"/>
      <c r="I139" s="93"/>
      <c r="J139" s="94"/>
      <c r="K139" s="95"/>
    </row>
    <row r="140" spans="3:11" x14ac:dyDescent="0.25">
      <c r="C140" s="85"/>
      <c r="D140" s="93"/>
      <c r="E140" s="93"/>
      <c r="F140" s="93"/>
      <c r="G140" s="93"/>
      <c r="H140" s="93"/>
      <c r="I140" s="93"/>
      <c r="J140" s="94"/>
      <c r="K140" s="95"/>
    </row>
    <row r="141" spans="3:11" x14ac:dyDescent="0.25">
      <c r="C141" s="85"/>
      <c r="D141" s="93"/>
      <c r="E141" s="93"/>
      <c r="F141" s="93"/>
      <c r="G141" s="93"/>
      <c r="H141" s="93"/>
      <c r="I141" s="93"/>
      <c r="J141" s="94"/>
      <c r="K141" s="95"/>
    </row>
    <row r="142" spans="3:11" x14ac:dyDescent="0.25">
      <c r="C142" s="85"/>
      <c r="D142" s="93"/>
      <c r="E142" s="93"/>
      <c r="F142" s="93"/>
      <c r="G142" s="93"/>
      <c r="H142" s="93"/>
      <c r="I142" s="93"/>
      <c r="J142" s="94"/>
      <c r="K142" s="95"/>
    </row>
    <row r="143" spans="3:11" x14ac:dyDescent="0.25">
      <c r="C143" s="85"/>
      <c r="D143" s="93"/>
      <c r="E143" s="93"/>
      <c r="F143" s="93"/>
      <c r="G143" s="93"/>
      <c r="H143" s="93"/>
      <c r="I143" s="93"/>
      <c r="J143" s="94"/>
      <c r="K143" s="95"/>
    </row>
    <row r="144" spans="3:11" x14ac:dyDescent="0.25">
      <c r="C144" s="85"/>
      <c r="D144" s="93"/>
      <c r="E144" s="93"/>
      <c r="F144" s="93"/>
      <c r="G144" s="93"/>
      <c r="H144" s="93"/>
      <c r="I144" s="93"/>
      <c r="J144" s="94"/>
      <c r="K144" s="95"/>
    </row>
    <row r="145" spans="3:11" x14ac:dyDescent="0.25">
      <c r="C145" s="85"/>
      <c r="D145" s="93"/>
      <c r="E145" s="93"/>
      <c r="F145" s="93"/>
      <c r="G145" s="93"/>
      <c r="H145" s="93"/>
      <c r="I145" s="93"/>
      <c r="J145" s="94"/>
      <c r="K145" s="95"/>
    </row>
    <row r="146" spans="3:11" x14ac:dyDescent="0.25">
      <c r="C146" s="85"/>
      <c r="D146" s="93"/>
      <c r="E146" s="93"/>
      <c r="F146" s="93"/>
      <c r="G146" s="93"/>
      <c r="H146" s="93"/>
      <c r="I146" s="93"/>
      <c r="J146" s="94"/>
      <c r="K146" s="95"/>
    </row>
    <row r="147" spans="3:11" x14ac:dyDescent="0.25">
      <c r="C147" s="85"/>
      <c r="D147" s="93"/>
      <c r="E147" s="93"/>
      <c r="F147" s="93"/>
      <c r="G147" s="93"/>
      <c r="H147" s="93"/>
      <c r="I147" s="93"/>
      <c r="J147" s="94"/>
      <c r="K147" s="95"/>
    </row>
    <row r="148" spans="3:11" x14ac:dyDescent="0.25">
      <c r="C148" s="85"/>
      <c r="D148" s="93"/>
      <c r="E148" s="93"/>
      <c r="F148" s="93"/>
      <c r="G148" s="93"/>
      <c r="H148" s="93"/>
      <c r="I148" s="93"/>
      <c r="J148" s="94"/>
      <c r="K148" s="95"/>
    </row>
    <row r="149" spans="3:11" x14ac:dyDescent="0.25">
      <c r="C149" s="85"/>
      <c r="D149" s="93"/>
      <c r="E149" s="93"/>
      <c r="F149" s="93"/>
      <c r="G149" s="93"/>
      <c r="H149" s="93"/>
      <c r="I149" s="93"/>
      <c r="J149" s="94"/>
      <c r="K149" s="95"/>
    </row>
    <row r="150" spans="3:11" x14ac:dyDescent="0.25">
      <c r="C150" s="85"/>
      <c r="D150" s="93"/>
      <c r="E150" s="93"/>
      <c r="F150" s="93"/>
      <c r="G150" s="93"/>
      <c r="H150" s="93"/>
      <c r="I150" s="93"/>
      <c r="J150" s="94"/>
      <c r="K150" s="95"/>
    </row>
    <row r="151" spans="3:11" x14ac:dyDescent="0.25">
      <c r="C151" s="85"/>
      <c r="D151" s="93"/>
      <c r="E151" s="93"/>
      <c r="F151" s="93"/>
      <c r="G151" s="93"/>
      <c r="H151" s="93"/>
      <c r="I151" s="93"/>
      <c r="J151" s="94"/>
      <c r="K151" s="95"/>
    </row>
    <row r="152" spans="3:11" x14ac:dyDescent="0.25">
      <c r="C152" s="85"/>
      <c r="D152" s="93"/>
      <c r="E152" s="93"/>
      <c r="F152" s="93"/>
      <c r="G152" s="93"/>
      <c r="H152" s="93"/>
      <c r="I152" s="93"/>
      <c r="J152" s="94"/>
      <c r="K152" s="95"/>
    </row>
    <row r="153" spans="3:11" x14ac:dyDescent="0.25">
      <c r="C153" s="85"/>
      <c r="D153" s="93"/>
      <c r="E153" s="93"/>
      <c r="F153" s="93"/>
      <c r="G153" s="93"/>
      <c r="H153" s="93"/>
      <c r="I153" s="93"/>
      <c r="J153" s="94"/>
      <c r="K153" s="95"/>
    </row>
    <row r="154" spans="3:11" x14ac:dyDescent="0.25">
      <c r="C154" s="85"/>
      <c r="D154" s="93"/>
      <c r="E154" s="93"/>
      <c r="F154" s="93"/>
      <c r="G154" s="93"/>
      <c r="H154" s="93"/>
      <c r="I154" s="93"/>
      <c r="J154" s="94"/>
      <c r="K154" s="95"/>
    </row>
    <row r="155" spans="3:11" x14ac:dyDescent="0.25">
      <c r="C155" s="85"/>
      <c r="D155" s="93"/>
      <c r="E155" s="93"/>
      <c r="F155" s="93"/>
      <c r="G155" s="93"/>
      <c r="H155" s="93"/>
      <c r="I155" s="93"/>
      <c r="J155" s="94"/>
      <c r="K155" s="95"/>
    </row>
    <row r="156" spans="3:11" x14ac:dyDescent="0.25">
      <c r="C156" s="85"/>
      <c r="D156" s="93"/>
      <c r="E156" s="93"/>
      <c r="F156" s="93"/>
      <c r="G156" s="93"/>
      <c r="H156" s="93"/>
      <c r="I156" s="93"/>
      <c r="J156" s="94"/>
      <c r="K156" s="95"/>
    </row>
    <row r="157" spans="3:11" x14ac:dyDescent="0.25">
      <c r="C157" s="85"/>
      <c r="D157" s="93"/>
      <c r="E157" s="93"/>
      <c r="F157" s="93"/>
      <c r="G157" s="93"/>
      <c r="H157" s="93"/>
      <c r="I157" s="93"/>
      <c r="J157" s="94"/>
      <c r="K157" s="95"/>
    </row>
    <row r="158" spans="3:11" x14ac:dyDescent="0.25">
      <c r="C158" s="85"/>
      <c r="D158" s="93"/>
      <c r="E158" s="93"/>
      <c r="F158" s="93"/>
      <c r="G158" s="93"/>
      <c r="H158" s="93"/>
      <c r="I158" s="93"/>
      <c r="J158" s="94"/>
      <c r="K158" s="95"/>
    </row>
    <row r="159" spans="3:11" x14ac:dyDescent="0.25">
      <c r="C159" s="85"/>
      <c r="D159" s="93"/>
      <c r="E159" s="93"/>
      <c r="F159" s="93"/>
      <c r="G159" s="93"/>
      <c r="H159" s="93"/>
      <c r="I159" s="93"/>
      <c r="J159" s="94"/>
      <c r="K159" s="95"/>
    </row>
    <row r="160" spans="3:11" x14ac:dyDescent="0.25">
      <c r="C160" s="85"/>
      <c r="D160" s="93"/>
      <c r="E160" s="93"/>
      <c r="F160" s="93"/>
      <c r="G160" s="93"/>
      <c r="H160" s="93"/>
      <c r="I160" s="93"/>
      <c r="J160" s="94"/>
      <c r="K160" s="95"/>
    </row>
    <row r="161" spans="3:11" x14ac:dyDescent="0.25">
      <c r="C161" s="85"/>
      <c r="D161" s="93"/>
      <c r="E161" s="93"/>
      <c r="F161" s="93"/>
      <c r="G161" s="93"/>
      <c r="H161" s="93"/>
      <c r="I161" s="93"/>
      <c r="J161" s="94"/>
      <c r="K161" s="95"/>
    </row>
    <row r="162" spans="3:11" x14ac:dyDescent="0.25">
      <c r="C162" s="85"/>
      <c r="D162" s="93"/>
      <c r="E162" s="93"/>
      <c r="F162" s="93"/>
      <c r="G162" s="93"/>
      <c r="H162" s="93"/>
      <c r="I162" s="93"/>
      <c r="J162" s="94"/>
      <c r="K162" s="95"/>
    </row>
    <row r="163" spans="3:11" x14ac:dyDescent="0.25">
      <c r="C163" s="85"/>
      <c r="D163" s="93"/>
      <c r="E163" s="93"/>
      <c r="F163" s="93"/>
      <c r="G163" s="93"/>
      <c r="H163" s="93"/>
      <c r="I163" s="93"/>
      <c r="J163" s="94"/>
      <c r="K163" s="95"/>
    </row>
    <row r="164" spans="3:11" x14ac:dyDescent="0.25">
      <c r="C164" s="85"/>
      <c r="D164" s="93"/>
      <c r="E164" s="93"/>
      <c r="F164" s="93"/>
      <c r="G164" s="93"/>
      <c r="H164" s="93"/>
      <c r="I164" s="93"/>
      <c r="J164" s="94"/>
      <c r="K164" s="95"/>
    </row>
    <row r="165" spans="3:11" x14ac:dyDescent="0.25">
      <c r="C165" s="85"/>
      <c r="D165" s="93"/>
      <c r="E165" s="93"/>
      <c r="F165" s="93"/>
      <c r="G165" s="93"/>
      <c r="H165" s="93"/>
      <c r="I165" s="93"/>
      <c r="J165" s="94"/>
      <c r="K165" s="95"/>
    </row>
    <row r="166" spans="3:11" x14ac:dyDescent="0.25">
      <c r="C166" s="85"/>
      <c r="D166" s="93"/>
      <c r="E166" s="93"/>
      <c r="F166" s="93"/>
      <c r="G166" s="93"/>
      <c r="H166" s="93"/>
      <c r="I166" s="93"/>
      <c r="J166" s="94"/>
      <c r="K166" s="95"/>
    </row>
    <row r="167" spans="3:11" x14ac:dyDescent="0.25">
      <c r="C167" s="85"/>
      <c r="D167" s="93"/>
      <c r="E167" s="93"/>
      <c r="F167" s="93"/>
      <c r="G167" s="93"/>
      <c r="H167" s="93"/>
      <c r="I167" s="93"/>
      <c r="J167" s="94"/>
      <c r="K167" s="95"/>
    </row>
    <row r="168" spans="3:11" x14ac:dyDescent="0.25">
      <c r="C168" s="85"/>
      <c r="D168" s="93"/>
      <c r="E168" s="93"/>
      <c r="F168" s="93"/>
      <c r="G168" s="93"/>
      <c r="H168" s="93"/>
      <c r="I168" s="93"/>
      <c r="J168" s="94"/>
      <c r="K168" s="95"/>
    </row>
    <row r="169" spans="3:11" x14ac:dyDescent="0.25">
      <c r="C169" s="85"/>
      <c r="D169" s="93"/>
      <c r="E169" s="93"/>
      <c r="F169" s="93"/>
      <c r="G169" s="93"/>
      <c r="H169" s="93"/>
      <c r="I169" s="93"/>
      <c r="J169" s="94"/>
      <c r="K169" s="95"/>
    </row>
    <row r="170" spans="3:11" x14ac:dyDescent="0.25">
      <c r="C170" s="85"/>
      <c r="D170" s="93"/>
      <c r="E170" s="93"/>
      <c r="F170" s="93"/>
      <c r="G170" s="93"/>
      <c r="H170" s="93"/>
      <c r="I170" s="93"/>
      <c r="J170" s="94"/>
      <c r="K170" s="95"/>
    </row>
    <row r="171" spans="3:11" x14ac:dyDescent="0.25">
      <c r="C171" s="85"/>
      <c r="D171" s="93"/>
      <c r="E171" s="93"/>
      <c r="F171" s="93"/>
      <c r="G171" s="93"/>
      <c r="H171" s="93"/>
      <c r="I171" s="93"/>
      <c r="J171" s="94"/>
      <c r="K171" s="95"/>
    </row>
    <row r="172" spans="3:11" x14ac:dyDescent="0.25">
      <c r="C172" s="85"/>
      <c r="D172" s="93"/>
      <c r="E172" s="93"/>
      <c r="F172" s="93"/>
      <c r="G172" s="93"/>
      <c r="H172" s="93"/>
      <c r="I172" s="93"/>
      <c r="J172" s="94"/>
      <c r="K172" s="95"/>
    </row>
    <row r="173" spans="3:11" x14ac:dyDescent="0.25">
      <c r="C173" s="85"/>
      <c r="D173" s="93"/>
      <c r="E173" s="93"/>
      <c r="F173" s="93"/>
      <c r="G173" s="93"/>
      <c r="H173" s="93"/>
      <c r="I173" s="93"/>
      <c r="J173" s="94"/>
      <c r="K173" s="95"/>
    </row>
    <row r="174" spans="3:11" x14ac:dyDescent="0.25">
      <c r="C174" s="85"/>
      <c r="D174" s="93"/>
      <c r="E174" s="93"/>
      <c r="F174" s="93"/>
      <c r="G174" s="93"/>
      <c r="H174" s="93"/>
      <c r="I174" s="93"/>
      <c r="J174" s="94"/>
      <c r="K174" s="95"/>
    </row>
    <row r="175" spans="3:11" x14ac:dyDescent="0.25">
      <c r="C175" s="85"/>
      <c r="D175" s="93"/>
      <c r="E175" s="93"/>
      <c r="F175" s="93"/>
      <c r="G175" s="93"/>
      <c r="H175" s="93"/>
      <c r="I175" s="93"/>
      <c r="J175" s="94"/>
      <c r="K175" s="95"/>
    </row>
    <row r="176" spans="3:11" x14ac:dyDescent="0.25">
      <c r="C176" s="85"/>
      <c r="D176" s="93"/>
      <c r="E176" s="93"/>
      <c r="F176" s="93"/>
      <c r="G176" s="93"/>
      <c r="H176" s="93"/>
      <c r="I176" s="93"/>
      <c r="J176" s="94"/>
      <c r="K176" s="95"/>
    </row>
    <row r="177" spans="3:11" x14ac:dyDescent="0.25">
      <c r="C177" s="85"/>
      <c r="D177" s="93"/>
      <c r="E177" s="93"/>
      <c r="F177" s="93"/>
      <c r="G177" s="93"/>
      <c r="H177" s="93"/>
      <c r="I177" s="93"/>
      <c r="J177" s="94"/>
      <c r="K177" s="95"/>
    </row>
    <row r="178" spans="3:11" x14ac:dyDescent="0.25">
      <c r="C178" s="85"/>
      <c r="D178" s="93"/>
      <c r="E178" s="93"/>
      <c r="F178" s="93"/>
      <c r="G178" s="93"/>
      <c r="H178" s="93"/>
      <c r="I178" s="93"/>
      <c r="J178" s="94"/>
      <c r="K178" s="95"/>
    </row>
    <row r="179" spans="3:11" x14ac:dyDescent="0.25">
      <c r="C179" s="85"/>
      <c r="D179" s="93"/>
      <c r="E179" s="93"/>
      <c r="F179" s="93"/>
      <c r="G179" s="93"/>
      <c r="H179" s="93"/>
      <c r="I179" s="93"/>
      <c r="J179" s="94"/>
      <c r="K179" s="95"/>
    </row>
    <row r="180" spans="3:11" x14ac:dyDescent="0.25">
      <c r="C180" s="85"/>
      <c r="D180" s="93"/>
      <c r="E180" s="93"/>
      <c r="F180" s="93"/>
      <c r="G180" s="93"/>
      <c r="H180" s="93"/>
      <c r="I180" s="93"/>
      <c r="J180" s="94"/>
      <c r="K180" s="95"/>
    </row>
    <row r="181" spans="3:11" x14ac:dyDescent="0.25">
      <c r="C181" s="85"/>
      <c r="D181" s="93"/>
      <c r="E181" s="93"/>
      <c r="F181" s="93"/>
      <c r="G181" s="93"/>
      <c r="H181" s="93"/>
      <c r="I181" s="93"/>
      <c r="J181" s="94"/>
      <c r="K181" s="95"/>
    </row>
    <row r="182" spans="3:11" x14ac:dyDescent="0.25">
      <c r="C182" s="85"/>
      <c r="D182" s="93"/>
      <c r="E182" s="93"/>
      <c r="F182" s="93"/>
      <c r="G182" s="93"/>
      <c r="H182" s="93"/>
      <c r="I182" s="93"/>
      <c r="J182" s="94"/>
      <c r="K182" s="95"/>
    </row>
    <row r="183" spans="3:11" x14ac:dyDescent="0.25">
      <c r="C183" s="85"/>
      <c r="D183" s="93"/>
      <c r="E183" s="93"/>
      <c r="F183" s="93"/>
      <c r="G183" s="93"/>
      <c r="H183" s="93"/>
      <c r="I183" s="93"/>
      <c r="J183" s="94"/>
      <c r="K183" s="95"/>
    </row>
    <row r="184" spans="3:11" x14ac:dyDescent="0.25">
      <c r="C184" s="85"/>
      <c r="D184" s="93"/>
      <c r="E184" s="93"/>
      <c r="F184" s="93"/>
      <c r="G184" s="93"/>
      <c r="H184" s="93"/>
      <c r="I184" s="93"/>
      <c r="J184" s="94"/>
      <c r="K184" s="95"/>
    </row>
    <row r="185" spans="3:11" x14ac:dyDescent="0.25">
      <c r="C185" s="85"/>
      <c r="D185" s="93"/>
      <c r="E185" s="93"/>
      <c r="F185" s="93"/>
      <c r="G185" s="93"/>
      <c r="H185" s="93"/>
      <c r="I185" s="93"/>
      <c r="J185" s="94"/>
      <c r="K185" s="95"/>
    </row>
    <row r="186" spans="3:11" x14ac:dyDescent="0.25">
      <c r="C186" s="85"/>
      <c r="D186" s="93"/>
      <c r="E186" s="93"/>
      <c r="F186" s="93"/>
      <c r="G186" s="93"/>
      <c r="H186" s="93"/>
      <c r="I186" s="93"/>
      <c r="J186" s="94"/>
      <c r="K186" s="95"/>
    </row>
    <row r="187" spans="3:11" x14ac:dyDescent="0.25">
      <c r="C187" s="85"/>
      <c r="D187" s="93"/>
      <c r="E187" s="93"/>
      <c r="F187" s="93"/>
      <c r="G187" s="93"/>
      <c r="H187" s="93"/>
      <c r="I187" s="93"/>
      <c r="J187" s="94"/>
      <c r="K187" s="95"/>
    </row>
    <row r="188" spans="3:11" x14ac:dyDescent="0.25">
      <c r="C188" s="85"/>
      <c r="D188" s="93"/>
      <c r="E188" s="93"/>
      <c r="F188" s="93"/>
      <c r="G188" s="93"/>
      <c r="H188" s="93"/>
      <c r="I188" s="93"/>
      <c r="J188" s="94"/>
      <c r="K188" s="95"/>
    </row>
    <row r="189" spans="3:11" x14ac:dyDescent="0.25">
      <c r="C189" s="85"/>
      <c r="D189" s="93"/>
      <c r="E189" s="93"/>
      <c r="F189" s="93"/>
      <c r="G189" s="93"/>
      <c r="H189" s="93"/>
      <c r="I189" s="93"/>
      <c r="J189" s="94"/>
      <c r="K189" s="95"/>
    </row>
    <row r="190" spans="3:11" x14ac:dyDescent="0.25">
      <c r="C190" s="85"/>
      <c r="D190" s="93"/>
      <c r="E190" s="93"/>
      <c r="F190" s="93"/>
      <c r="G190" s="93"/>
      <c r="H190" s="93"/>
      <c r="I190" s="93"/>
      <c r="J190" s="94"/>
      <c r="K190" s="95"/>
    </row>
    <row r="191" spans="3:11" x14ac:dyDescent="0.25">
      <c r="C191" s="85"/>
      <c r="D191" s="93"/>
      <c r="E191" s="93"/>
      <c r="F191" s="93"/>
      <c r="G191" s="93"/>
      <c r="H191" s="93"/>
      <c r="I191" s="93"/>
      <c r="J191" s="94"/>
      <c r="K191" s="95"/>
    </row>
    <row r="192" spans="3:11" x14ac:dyDescent="0.25">
      <c r="C192" s="85"/>
      <c r="D192" s="93"/>
      <c r="E192" s="93"/>
      <c r="F192" s="93"/>
      <c r="G192" s="93"/>
      <c r="H192" s="93"/>
      <c r="I192" s="93"/>
      <c r="J192" s="94"/>
      <c r="K192" s="95"/>
    </row>
    <row r="193" spans="3:11" x14ac:dyDescent="0.25">
      <c r="C193" s="85"/>
      <c r="D193" s="93"/>
      <c r="E193" s="93"/>
      <c r="F193" s="93"/>
      <c r="G193" s="93"/>
      <c r="H193" s="93"/>
      <c r="I193" s="93"/>
      <c r="J193" s="94"/>
      <c r="K193" s="95"/>
    </row>
    <row r="194" spans="3:11" x14ac:dyDescent="0.25">
      <c r="C194" s="85"/>
      <c r="D194" s="93"/>
      <c r="E194" s="93"/>
      <c r="F194" s="93"/>
      <c r="G194" s="93"/>
      <c r="H194" s="93"/>
      <c r="I194" s="93"/>
      <c r="J194" s="94"/>
      <c r="K194" s="95"/>
    </row>
    <row r="195" spans="3:11" x14ac:dyDescent="0.25">
      <c r="C195" s="85"/>
      <c r="D195" s="93"/>
      <c r="E195" s="93"/>
      <c r="F195" s="93"/>
      <c r="G195" s="93"/>
      <c r="H195" s="93"/>
      <c r="I195" s="93"/>
      <c r="J195" s="94"/>
      <c r="K195" s="95"/>
    </row>
    <row r="196" spans="3:11" x14ac:dyDescent="0.25">
      <c r="C196" s="85"/>
      <c r="D196" s="93"/>
      <c r="E196" s="93"/>
      <c r="F196" s="93"/>
      <c r="G196" s="93"/>
      <c r="H196" s="93"/>
      <c r="I196" s="93"/>
      <c r="J196" s="94"/>
      <c r="K196" s="95"/>
    </row>
    <row r="197" spans="3:11" x14ac:dyDescent="0.25">
      <c r="C197" s="85"/>
      <c r="D197" s="93"/>
      <c r="E197" s="93"/>
      <c r="F197" s="93"/>
      <c r="G197" s="93"/>
      <c r="H197" s="93"/>
      <c r="I197" s="93"/>
      <c r="J197" s="94"/>
      <c r="K197" s="95"/>
    </row>
    <row r="198" spans="3:11" x14ac:dyDescent="0.25">
      <c r="C198" s="85"/>
      <c r="D198" s="93"/>
      <c r="E198" s="93"/>
      <c r="F198" s="93"/>
      <c r="G198" s="93"/>
      <c r="H198" s="93"/>
      <c r="I198" s="93"/>
      <c r="J198" s="94"/>
      <c r="K198" s="95"/>
    </row>
    <row r="199" spans="3:11" x14ac:dyDescent="0.25">
      <c r="C199" s="85"/>
      <c r="D199" s="93"/>
      <c r="E199" s="93"/>
      <c r="F199" s="93"/>
      <c r="G199" s="93"/>
      <c r="H199" s="93"/>
      <c r="I199" s="93"/>
      <c r="J199" s="94"/>
      <c r="K199" s="95"/>
    </row>
    <row r="200" spans="3:11" x14ac:dyDescent="0.25">
      <c r="C200" s="85"/>
      <c r="D200" s="93"/>
      <c r="E200" s="93"/>
      <c r="F200" s="93"/>
      <c r="G200" s="93"/>
      <c r="H200" s="93"/>
      <c r="I200" s="93"/>
      <c r="J200" s="94"/>
      <c r="K200" s="95"/>
    </row>
    <row r="201" spans="3:11" x14ac:dyDescent="0.25">
      <c r="C201" s="85"/>
      <c r="D201" s="93"/>
      <c r="E201" s="93"/>
      <c r="F201" s="93"/>
      <c r="G201" s="93"/>
      <c r="H201" s="93"/>
      <c r="I201" s="93"/>
      <c r="J201" s="94"/>
      <c r="K201" s="95"/>
    </row>
    <row r="202" spans="3:11" x14ac:dyDescent="0.25">
      <c r="C202" s="85"/>
      <c r="D202" s="93"/>
      <c r="E202" s="93"/>
      <c r="F202" s="93"/>
      <c r="G202" s="93"/>
      <c r="H202" s="93"/>
      <c r="I202" s="93"/>
      <c r="J202" s="94"/>
      <c r="K202" s="95"/>
    </row>
    <row r="203" spans="3:11" x14ac:dyDescent="0.25">
      <c r="C203" s="85"/>
      <c r="D203" s="93"/>
      <c r="E203" s="93"/>
      <c r="F203" s="93"/>
      <c r="G203" s="93"/>
      <c r="H203" s="93"/>
      <c r="I203" s="93"/>
      <c r="J203" s="94"/>
      <c r="K203" s="95"/>
    </row>
    <row r="204" spans="3:11" x14ac:dyDescent="0.25">
      <c r="C204" s="85"/>
      <c r="D204" s="93"/>
      <c r="E204" s="93"/>
      <c r="F204" s="93"/>
      <c r="G204" s="93"/>
      <c r="H204" s="93"/>
      <c r="I204" s="93"/>
      <c r="J204" s="94"/>
      <c r="K204" s="95"/>
    </row>
    <row r="205" spans="3:11" x14ac:dyDescent="0.25">
      <c r="C205" s="85"/>
      <c r="D205" s="93"/>
      <c r="E205" s="93"/>
      <c r="F205" s="93"/>
      <c r="G205" s="93"/>
      <c r="H205" s="93"/>
      <c r="I205" s="93"/>
      <c r="J205" s="94"/>
      <c r="K205" s="95"/>
    </row>
    <row r="206" spans="3:11" x14ac:dyDescent="0.25">
      <c r="C206" s="85"/>
      <c r="D206" s="93"/>
      <c r="E206" s="93"/>
      <c r="F206" s="93"/>
      <c r="G206" s="93"/>
      <c r="H206" s="93"/>
      <c r="I206" s="93"/>
      <c r="J206" s="94"/>
      <c r="K206" s="95"/>
    </row>
    <row r="207" spans="3:11" x14ac:dyDescent="0.25">
      <c r="C207" s="85"/>
      <c r="D207" s="93"/>
      <c r="E207" s="93"/>
      <c r="F207" s="93"/>
      <c r="G207" s="93"/>
      <c r="H207" s="93"/>
      <c r="I207" s="93"/>
      <c r="J207" s="94"/>
      <c r="K207" s="95"/>
    </row>
    <row r="208" spans="3:11" x14ac:dyDescent="0.25">
      <c r="C208" s="85"/>
      <c r="D208" s="93"/>
      <c r="E208" s="93"/>
      <c r="F208" s="93"/>
      <c r="G208" s="93"/>
      <c r="H208" s="93"/>
      <c r="I208" s="93"/>
      <c r="J208" s="94"/>
      <c r="K208" s="95"/>
    </row>
    <row r="209" spans="3:11" x14ac:dyDescent="0.25">
      <c r="C209" s="85"/>
      <c r="D209" s="93"/>
      <c r="E209" s="93"/>
      <c r="F209" s="93"/>
      <c r="G209" s="93"/>
      <c r="H209" s="93"/>
      <c r="I209" s="93"/>
      <c r="J209" s="94"/>
      <c r="K209" s="95"/>
    </row>
    <row r="210" spans="3:11" x14ac:dyDescent="0.25">
      <c r="C210" s="85"/>
      <c r="D210" s="93"/>
      <c r="E210" s="93"/>
      <c r="F210" s="93"/>
      <c r="G210" s="93"/>
      <c r="H210" s="93"/>
      <c r="I210" s="93"/>
      <c r="J210" s="94"/>
      <c r="K210" s="95"/>
    </row>
    <row r="211" spans="3:11" x14ac:dyDescent="0.25">
      <c r="C211" s="85"/>
      <c r="D211" s="93"/>
      <c r="E211" s="93"/>
      <c r="F211" s="93"/>
      <c r="G211" s="93"/>
      <c r="H211" s="93"/>
      <c r="I211" s="93"/>
      <c r="J211" s="94"/>
      <c r="K211" s="95"/>
    </row>
    <row r="212" spans="3:11" x14ac:dyDescent="0.25">
      <c r="C212" s="85"/>
      <c r="D212" s="93"/>
      <c r="E212" s="93"/>
      <c r="F212" s="93"/>
      <c r="G212" s="93"/>
      <c r="H212" s="93"/>
      <c r="I212" s="93"/>
      <c r="J212" s="94"/>
      <c r="K212" s="95"/>
    </row>
    <row r="213" spans="3:11" x14ac:dyDescent="0.25">
      <c r="C213" s="85"/>
      <c r="D213" s="93"/>
      <c r="E213" s="93"/>
      <c r="F213" s="93"/>
      <c r="G213" s="93"/>
      <c r="H213" s="93"/>
      <c r="I213" s="93"/>
      <c r="J213" s="94"/>
      <c r="K213" s="95"/>
    </row>
    <row r="214" spans="3:11" x14ac:dyDescent="0.25">
      <c r="C214" s="85"/>
      <c r="D214" s="93"/>
      <c r="E214" s="93"/>
      <c r="F214" s="93"/>
      <c r="G214" s="93"/>
      <c r="H214" s="93"/>
      <c r="I214" s="93"/>
      <c r="J214" s="94"/>
      <c r="K214" s="95"/>
    </row>
    <row r="215" spans="3:11" x14ac:dyDescent="0.25">
      <c r="C215" s="85"/>
      <c r="D215" s="93"/>
      <c r="E215" s="93"/>
      <c r="F215" s="93"/>
      <c r="G215" s="93"/>
      <c r="H215" s="93"/>
      <c r="I215" s="93"/>
      <c r="J215" s="94"/>
      <c r="K215" s="95"/>
    </row>
    <row r="216" spans="3:11" x14ac:dyDescent="0.25">
      <c r="C216" s="85"/>
      <c r="D216" s="93"/>
      <c r="E216" s="93"/>
      <c r="F216" s="93"/>
      <c r="G216" s="93"/>
      <c r="H216" s="93"/>
      <c r="I216" s="93"/>
      <c r="J216" s="94"/>
      <c r="K216" s="95"/>
    </row>
    <row r="217" spans="3:11" x14ac:dyDescent="0.25">
      <c r="C217" s="85"/>
      <c r="D217" s="93"/>
      <c r="E217" s="93"/>
      <c r="F217" s="93"/>
      <c r="G217" s="93"/>
      <c r="H217" s="93"/>
      <c r="I217" s="93"/>
      <c r="J217" s="94"/>
      <c r="K217" s="95"/>
    </row>
    <row r="218" spans="3:11" x14ac:dyDescent="0.25">
      <c r="C218" s="85"/>
      <c r="D218" s="93"/>
      <c r="E218" s="93"/>
      <c r="F218" s="93"/>
      <c r="G218" s="93"/>
      <c r="H218" s="93"/>
      <c r="I218" s="93"/>
      <c r="J218" s="94"/>
      <c r="K218" s="95"/>
    </row>
    <row r="219" spans="3:11" x14ac:dyDescent="0.25">
      <c r="C219" s="85"/>
      <c r="D219" s="93"/>
      <c r="E219" s="93"/>
      <c r="F219" s="93"/>
      <c r="G219" s="93"/>
      <c r="H219" s="93"/>
      <c r="I219" s="93"/>
      <c r="J219" s="94"/>
      <c r="K219" s="95"/>
    </row>
    <row r="220" spans="3:11" x14ac:dyDescent="0.25">
      <c r="C220" s="85"/>
      <c r="D220" s="93"/>
      <c r="E220" s="93"/>
      <c r="F220" s="93"/>
      <c r="G220" s="93"/>
      <c r="H220" s="93"/>
      <c r="I220" s="93"/>
      <c r="J220" s="94"/>
      <c r="K220" s="95"/>
    </row>
    <row r="221" spans="3:11" x14ac:dyDescent="0.25">
      <c r="C221" s="85"/>
      <c r="D221" s="93"/>
      <c r="E221" s="93"/>
      <c r="F221" s="93"/>
      <c r="G221" s="93"/>
      <c r="H221" s="93"/>
      <c r="I221" s="93"/>
      <c r="J221" s="94"/>
      <c r="K221" s="95"/>
    </row>
    <row r="222" spans="3:11" x14ac:dyDescent="0.25">
      <c r="C222" s="85"/>
      <c r="D222" s="93"/>
      <c r="E222" s="93"/>
      <c r="F222" s="93"/>
      <c r="G222" s="93"/>
      <c r="H222" s="93"/>
      <c r="I222" s="93"/>
      <c r="J222" s="94"/>
      <c r="K222" s="95"/>
    </row>
    <row r="223" spans="3:11" x14ac:dyDescent="0.25">
      <c r="C223" s="85"/>
      <c r="D223" s="93"/>
      <c r="E223" s="93"/>
      <c r="F223" s="93"/>
      <c r="G223" s="93"/>
      <c r="H223" s="93"/>
      <c r="I223" s="93"/>
      <c r="J223" s="94"/>
      <c r="K223" s="95"/>
    </row>
    <row r="224" spans="3:11" x14ac:dyDescent="0.25">
      <c r="C224" s="85"/>
      <c r="D224" s="93"/>
      <c r="E224" s="93"/>
      <c r="F224" s="93"/>
      <c r="G224" s="93"/>
      <c r="H224" s="93"/>
      <c r="I224" s="93"/>
      <c r="J224" s="94"/>
      <c r="K224" s="95"/>
    </row>
    <row r="225" spans="3:11" x14ac:dyDescent="0.25">
      <c r="C225" s="85"/>
      <c r="D225" s="93"/>
      <c r="E225" s="93"/>
      <c r="F225" s="93"/>
      <c r="G225" s="93"/>
      <c r="H225" s="93"/>
      <c r="I225" s="93"/>
      <c r="J225" s="94"/>
      <c r="K225" s="95"/>
    </row>
    <row r="226" spans="3:11" x14ac:dyDescent="0.25">
      <c r="C226" s="85"/>
      <c r="D226" s="93"/>
      <c r="E226" s="93"/>
      <c r="F226" s="93"/>
      <c r="G226" s="93"/>
      <c r="H226" s="93"/>
      <c r="I226" s="93"/>
      <c r="J226" s="94"/>
      <c r="K226" s="95"/>
    </row>
    <row r="227" spans="3:11" x14ac:dyDescent="0.25">
      <c r="C227" s="85"/>
      <c r="D227" s="93"/>
      <c r="E227" s="93"/>
      <c r="F227" s="93"/>
      <c r="G227" s="93"/>
      <c r="H227" s="93"/>
      <c r="I227" s="93"/>
      <c r="J227" s="94"/>
      <c r="K227" s="95"/>
    </row>
    <row r="228" spans="3:11" x14ac:dyDescent="0.25">
      <c r="C228" s="85"/>
      <c r="D228" s="93"/>
      <c r="E228" s="93"/>
      <c r="F228" s="93"/>
      <c r="G228" s="93"/>
      <c r="H228" s="93"/>
      <c r="I228" s="93"/>
      <c r="J228" s="94"/>
      <c r="K228" s="95"/>
    </row>
    <row r="229" spans="3:11" x14ac:dyDescent="0.25">
      <c r="C229" s="85"/>
      <c r="D229" s="93"/>
      <c r="E229" s="93"/>
      <c r="F229" s="93"/>
      <c r="G229" s="93"/>
      <c r="H229" s="93"/>
      <c r="I229" s="93"/>
      <c r="J229" s="94"/>
      <c r="K229" s="95"/>
    </row>
    <row r="230" spans="3:11" x14ac:dyDescent="0.25">
      <c r="C230" s="85"/>
      <c r="D230" s="93"/>
      <c r="E230" s="93"/>
      <c r="F230" s="93"/>
      <c r="G230" s="93"/>
      <c r="H230" s="93"/>
      <c r="I230" s="93"/>
      <c r="J230" s="94"/>
      <c r="K230" s="95"/>
    </row>
    <row r="231" spans="3:11" x14ac:dyDescent="0.25">
      <c r="C231" s="85"/>
      <c r="D231" s="93"/>
      <c r="E231" s="93"/>
      <c r="F231" s="93"/>
      <c r="G231" s="93"/>
      <c r="H231" s="93"/>
      <c r="I231" s="93"/>
      <c r="J231" s="94"/>
      <c r="K231" s="95"/>
    </row>
    <row r="232" spans="3:11" x14ac:dyDescent="0.25">
      <c r="C232" s="85"/>
      <c r="D232" s="93"/>
      <c r="E232" s="93"/>
      <c r="F232" s="93"/>
      <c r="G232" s="93"/>
      <c r="H232" s="93"/>
      <c r="I232" s="93"/>
      <c r="J232" s="94"/>
      <c r="K232" s="95"/>
    </row>
    <row r="233" spans="3:11" x14ac:dyDescent="0.25">
      <c r="C233" s="85"/>
      <c r="D233" s="93"/>
      <c r="E233" s="93"/>
      <c r="F233" s="93"/>
      <c r="G233" s="93"/>
      <c r="H233" s="93"/>
      <c r="I233" s="93"/>
      <c r="J233" s="94"/>
      <c r="K233" s="95"/>
    </row>
    <row r="234" spans="3:11" x14ac:dyDescent="0.25">
      <c r="C234" s="85"/>
      <c r="D234" s="93"/>
      <c r="E234" s="93"/>
      <c r="F234" s="93"/>
      <c r="G234" s="93"/>
      <c r="H234" s="93"/>
      <c r="I234" s="93"/>
      <c r="J234" s="94"/>
      <c r="K234" s="95"/>
    </row>
    <row r="235" spans="3:11" x14ac:dyDescent="0.25">
      <c r="C235" s="85"/>
      <c r="D235" s="93"/>
      <c r="E235" s="93"/>
      <c r="F235" s="93"/>
      <c r="G235" s="93"/>
      <c r="H235" s="93"/>
      <c r="I235" s="93"/>
      <c r="J235" s="94"/>
      <c r="K235" s="95"/>
    </row>
    <row r="236" spans="3:11" x14ac:dyDescent="0.25">
      <c r="C236" s="85"/>
      <c r="D236" s="93"/>
      <c r="E236" s="93"/>
      <c r="F236" s="93"/>
      <c r="G236" s="93"/>
      <c r="H236" s="93"/>
      <c r="I236" s="93"/>
      <c r="J236" s="94"/>
      <c r="K236" s="95"/>
    </row>
    <row r="237" spans="3:11" x14ac:dyDescent="0.25">
      <c r="C237" s="85"/>
      <c r="D237" s="93"/>
      <c r="E237" s="93"/>
      <c r="F237" s="93"/>
      <c r="G237" s="93"/>
      <c r="H237" s="93"/>
      <c r="I237" s="93"/>
      <c r="J237" s="94"/>
      <c r="K237" s="95"/>
    </row>
    <row r="238" spans="3:11" x14ac:dyDescent="0.25">
      <c r="C238" s="85"/>
      <c r="D238" s="93"/>
      <c r="E238" s="93"/>
      <c r="F238" s="93"/>
      <c r="G238" s="93"/>
      <c r="H238" s="93"/>
      <c r="I238" s="93"/>
      <c r="J238" s="94"/>
      <c r="K238" s="95"/>
    </row>
    <row r="239" spans="3:11" x14ac:dyDescent="0.25">
      <c r="C239" s="85"/>
      <c r="D239" s="93"/>
      <c r="E239" s="93"/>
      <c r="F239" s="93"/>
      <c r="G239" s="93"/>
      <c r="H239" s="93"/>
      <c r="I239" s="93"/>
      <c r="J239" s="94"/>
      <c r="K239" s="95"/>
    </row>
    <row r="240" spans="3:11" x14ac:dyDescent="0.25">
      <c r="C240" s="85"/>
      <c r="D240" s="93"/>
      <c r="E240" s="93"/>
      <c r="F240" s="93"/>
      <c r="G240" s="93"/>
      <c r="H240" s="93"/>
      <c r="I240" s="93"/>
      <c r="J240" s="94"/>
      <c r="K240" s="95"/>
    </row>
    <row r="241" spans="3:11" x14ac:dyDescent="0.25">
      <c r="C241" s="85"/>
      <c r="D241" s="93"/>
      <c r="E241" s="93"/>
      <c r="F241" s="93"/>
      <c r="G241" s="93"/>
      <c r="H241" s="93"/>
      <c r="I241" s="93"/>
      <c r="J241" s="94"/>
      <c r="K241" s="95"/>
    </row>
    <row r="242" spans="3:11" x14ac:dyDescent="0.25">
      <c r="C242" s="85"/>
      <c r="D242" s="93"/>
      <c r="E242" s="93"/>
      <c r="F242" s="93"/>
      <c r="G242" s="93"/>
      <c r="H242" s="93"/>
      <c r="I242" s="93"/>
      <c r="J242" s="94"/>
      <c r="K242" s="95"/>
    </row>
    <row r="243" spans="3:11" x14ac:dyDescent="0.25">
      <c r="C243" s="85"/>
      <c r="D243" s="93"/>
      <c r="E243" s="93"/>
      <c r="F243" s="93"/>
      <c r="G243" s="93"/>
      <c r="H243" s="93"/>
      <c r="I243" s="93"/>
      <c r="J243" s="94"/>
      <c r="K243" s="95"/>
    </row>
    <row r="244" spans="3:11" x14ac:dyDescent="0.25">
      <c r="C244" s="85"/>
      <c r="D244" s="93"/>
      <c r="E244" s="93"/>
      <c r="F244" s="93"/>
      <c r="G244" s="93"/>
      <c r="H244" s="93"/>
      <c r="I244" s="93"/>
      <c r="J244" s="94"/>
      <c r="K244" s="95"/>
    </row>
    <row r="245" spans="3:11" x14ac:dyDescent="0.25">
      <c r="C245" s="85"/>
      <c r="D245" s="93"/>
      <c r="E245" s="93"/>
      <c r="F245" s="93"/>
      <c r="G245" s="93"/>
      <c r="H245" s="93"/>
      <c r="I245" s="93"/>
      <c r="J245" s="94"/>
      <c r="K245" s="95"/>
    </row>
    <row r="246" spans="3:11" x14ac:dyDescent="0.25">
      <c r="C246" s="85"/>
      <c r="D246" s="93"/>
      <c r="E246" s="93"/>
      <c r="F246" s="93"/>
      <c r="G246" s="93"/>
      <c r="H246" s="93"/>
      <c r="I246" s="93"/>
      <c r="J246" s="94"/>
      <c r="K246" s="95"/>
    </row>
    <row r="247" spans="3:11" x14ac:dyDescent="0.25">
      <c r="C247" s="85"/>
      <c r="D247" s="93"/>
      <c r="E247" s="93"/>
      <c r="F247" s="93"/>
      <c r="G247" s="93"/>
      <c r="H247" s="93"/>
      <c r="I247" s="93"/>
      <c r="J247" s="94"/>
      <c r="K247" s="95"/>
    </row>
    <row r="248" spans="3:11" x14ac:dyDescent="0.25">
      <c r="C248" s="85"/>
      <c r="D248" s="93"/>
      <c r="E248" s="93"/>
      <c r="F248" s="93"/>
      <c r="G248" s="93"/>
      <c r="H248" s="93"/>
      <c r="I248" s="93"/>
      <c r="J248" s="94"/>
      <c r="K248" s="95"/>
    </row>
    <row r="249" spans="3:11" x14ac:dyDescent="0.25">
      <c r="C249" s="85"/>
      <c r="D249" s="93"/>
      <c r="E249" s="93"/>
      <c r="F249" s="93"/>
      <c r="G249" s="93"/>
      <c r="H249" s="93"/>
      <c r="I249" s="93"/>
      <c r="J249" s="94"/>
      <c r="K249" s="95"/>
    </row>
    <row r="250" spans="3:11" x14ac:dyDescent="0.25">
      <c r="C250" s="85"/>
      <c r="D250" s="93"/>
      <c r="E250" s="93"/>
      <c r="F250" s="93"/>
      <c r="G250" s="93"/>
      <c r="H250" s="93"/>
      <c r="I250" s="93"/>
      <c r="J250" s="94"/>
      <c r="K250" s="95"/>
    </row>
    <row r="251" spans="3:11" x14ac:dyDescent="0.25">
      <c r="C251" s="85"/>
      <c r="D251" s="93"/>
      <c r="E251" s="93"/>
      <c r="F251" s="93"/>
      <c r="G251" s="93"/>
      <c r="H251" s="93"/>
      <c r="I251" s="93"/>
      <c r="J251" s="94"/>
      <c r="K251" s="95"/>
    </row>
    <row r="252" spans="3:11" x14ac:dyDescent="0.25">
      <c r="C252" s="85"/>
      <c r="D252" s="93"/>
      <c r="E252" s="93"/>
      <c r="F252" s="93"/>
      <c r="G252" s="93"/>
      <c r="H252" s="93"/>
      <c r="I252" s="93"/>
      <c r="J252" s="94"/>
      <c r="K252" s="95"/>
    </row>
    <row r="253" spans="3:11" x14ac:dyDescent="0.25">
      <c r="C253" s="85"/>
      <c r="D253" s="93"/>
      <c r="E253" s="93"/>
      <c r="F253" s="93"/>
      <c r="G253" s="93"/>
      <c r="H253" s="93"/>
      <c r="I253" s="93"/>
      <c r="J253" s="94"/>
      <c r="K253" s="95"/>
    </row>
    <row r="254" spans="3:11" x14ac:dyDescent="0.25">
      <c r="C254" s="85"/>
      <c r="D254" s="93"/>
      <c r="E254" s="93"/>
      <c r="F254" s="93"/>
      <c r="G254" s="93"/>
      <c r="H254" s="93"/>
      <c r="I254" s="93"/>
      <c r="J254" s="94"/>
      <c r="K254" s="95"/>
    </row>
    <row r="255" spans="3:11" x14ac:dyDescent="0.25">
      <c r="C255" s="85"/>
      <c r="D255" s="93"/>
      <c r="E255" s="93"/>
      <c r="F255" s="93"/>
      <c r="G255" s="93"/>
      <c r="H255" s="93"/>
      <c r="I255" s="93"/>
      <c r="J255" s="94"/>
      <c r="K255" s="95"/>
    </row>
    <row r="256" spans="3:11" x14ac:dyDescent="0.25">
      <c r="C256" s="85"/>
      <c r="D256" s="93"/>
      <c r="E256" s="93"/>
      <c r="F256" s="93"/>
      <c r="G256" s="93"/>
      <c r="H256" s="93"/>
      <c r="I256" s="93"/>
      <c r="J256" s="94"/>
      <c r="K256" s="95"/>
    </row>
    <row r="257" spans="3:11" x14ac:dyDescent="0.25">
      <c r="C257" s="85"/>
      <c r="D257" s="93"/>
      <c r="E257" s="93"/>
      <c r="F257" s="93"/>
      <c r="G257" s="93"/>
      <c r="H257" s="93"/>
      <c r="I257" s="93"/>
      <c r="J257" s="94"/>
      <c r="K257" s="95"/>
    </row>
    <row r="258" spans="3:11" x14ac:dyDescent="0.25">
      <c r="C258" s="85"/>
      <c r="D258" s="93"/>
      <c r="E258" s="93"/>
      <c r="F258" s="93"/>
      <c r="G258" s="93"/>
      <c r="H258" s="93"/>
      <c r="I258" s="93"/>
      <c r="J258" s="94"/>
      <c r="K258" s="95"/>
    </row>
    <row r="259" spans="3:11" x14ac:dyDescent="0.25">
      <c r="C259" s="85"/>
      <c r="D259" s="93"/>
      <c r="E259" s="93"/>
      <c r="F259" s="93"/>
      <c r="G259" s="93"/>
      <c r="H259" s="93"/>
      <c r="I259" s="93"/>
      <c r="J259" s="94"/>
      <c r="K259" s="95"/>
    </row>
    <row r="260" spans="3:11" x14ac:dyDescent="0.25">
      <c r="C260" s="85"/>
      <c r="D260" s="93"/>
      <c r="E260" s="93"/>
      <c r="F260" s="93"/>
      <c r="G260" s="93"/>
      <c r="H260" s="93"/>
      <c r="I260" s="93"/>
      <c r="J260" s="94"/>
      <c r="K260" s="95"/>
    </row>
    <row r="261" spans="3:11" x14ac:dyDescent="0.25">
      <c r="C261" s="85"/>
      <c r="D261" s="93"/>
      <c r="E261" s="93"/>
      <c r="F261" s="93"/>
      <c r="G261" s="93"/>
      <c r="H261" s="93"/>
      <c r="I261" s="93"/>
      <c r="J261" s="94"/>
      <c r="K261" s="95"/>
    </row>
    <row r="262" spans="3:11" x14ac:dyDescent="0.25">
      <c r="C262" s="85"/>
      <c r="D262" s="93"/>
      <c r="E262" s="93"/>
      <c r="F262" s="93"/>
      <c r="G262" s="93"/>
      <c r="H262" s="93"/>
      <c r="I262" s="93"/>
      <c r="J262" s="94"/>
      <c r="K262" s="95"/>
    </row>
    <row r="263" spans="3:11" x14ac:dyDescent="0.25">
      <c r="C263" s="85"/>
      <c r="D263" s="93"/>
      <c r="E263" s="93"/>
      <c r="F263" s="93"/>
      <c r="G263" s="93"/>
      <c r="H263" s="93"/>
      <c r="I263" s="93"/>
      <c r="J263" s="94"/>
      <c r="K263" s="95"/>
    </row>
    <row r="264" spans="3:11" x14ac:dyDescent="0.25">
      <c r="C264" s="85"/>
      <c r="D264" s="93"/>
      <c r="E264" s="93"/>
      <c r="F264" s="93"/>
      <c r="G264" s="93"/>
      <c r="H264" s="93"/>
      <c r="I264" s="93"/>
      <c r="J264" s="94"/>
      <c r="K264" s="95"/>
    </row>
    <row r="265" spans="3:11" x14ac:dyDescent="0.25">
      <c r="C265" s="85"/>
      <c r="D265" s="93"/>
      <c r="E265" s="93"/>
      <c r="F265" s="93"/>
      <c r="G265" s="93"/>
      <c r="H265" s="93"/>
      <c r="I265" s="93"/>
      <c r="J265" s="94"/>
      <c r="K265" s="95"/>
    </row>
    <row r="266" spans="3:11" x14ac:dyDescent="0.25">
      <c r="C266" s="85"/>
      <c r="D266" s="93"/>
      <c r="E266" s="93"/>
      <c r="F266" s="93"/>
      <c r="G266" s="93"/>
      <c r="H266" s="93"/>
      <c r="I266" s="93"/>
      <c r="J266" s="94"/>
      <c r="K266" s="95"/>
    </row>
    <row r="267" spans="3:11" x14ac:dyDescent="0.25">
      <c r="C267" s="85"/>
      <c r="D267" s="93"/>
      <c r="E267" s="93"/>
      <c r="F267" s="93"/>
      <c r="G267" s="93"/>
      <c r="H267" s="93"/>
      <c r="I267" s="93"/>
      <c r="J267" s="94"/>
      <c r="K267" s="95"/>
    </row>
    <row r="268" spans="3:11" x14ac:dyDescent="0.25">
      <c r="C268" s="85"/>
      <c r="D268" s="93"/>
      <c r="E268" s="93"/>
      <c r="F268" s="93"/>
      <c r="G268" s="93"/>
      <c r="H268" s="93"/>
      <c r="I268" s="93"/>
      <c r="J268" s="94"/>
      <c r="K268" s="95"/>
    </row>
    <row r="269" spans="3:11" x14ac:dyDescent="0.25">
      <c r="C269" s="85"/>
      <c r="D269" s="93"/>
      <c r="E269" s="93"/>
      <c r="F269" s="93"/>
      <c r="G269" s="93"/>
      <c r="H269" s="93"/>
      <c r="I269" s="93"/>
      <c r="J269" s="94"/>
      <c r="K269" s="95"/>
    </row>
    <row r="270" spans="3:11" x14ac:dyDescent="0.25">
      <c r="C270" s="85"/>
      <c r="D270" s="93"/>
      <c r="E270" s="93"/>
      <c r="F270" s="93"/>
      <c r="G270" s="93"/>
      <c r="H270" s="93"/>
      <c r="I270" s="93"/>
      <c r="J270" s="94"/>
      <c r="K270" s="95"/>
    </row>
    <row r="271" spans="3:11" x14ac:dyDescent="0.25">
      <c r="C271" s="85"/>
      <c r="D271" s="93"/>
      <c r="E271" s="93"/>
      <c r="F271" s="93"/>
      <c r="G271" s="93"/>
      <c r="H271" s="93"/>
      <c r="I271" s="93"/>
      <c r="J271" s="94"/>
      <c r="K271" s="95"/>
    </row>
    <row r="272" spans="3:11" x14ac:dyDescent="0.25">
      <c r="C272" s="85"/>
      <c r="D272" s="93"/>
      <c r="E272" s="93"/>
      <c r="F272" s="93"/>
      <c r="G272" s="93"/>
      <c r="H272" s="93"/>
      <c r="I272" s="93"/>
      <c r="J272" s="94"/>
      <c r="K272" s="95"/>
    </row>
    <row r="273" spans="3:11" x14ac:dyDescent="0.25">
      <c r="C273" s="96"/>
      <c r="D273" s="97"/>
      <c r="E273" s="97"/>
      <c r="F273" s="97"/>
      <c r="G273" s="97"/>
      <c r="H273" s="97"/>
      <c r="I273" s="97"/>
      <c r="J273" s="98"/>
      <c r="K273" s="99"/>
    </row>
  </sheetData>
  <autoFilter ref="C5:K30" xr:uid="{00000000-0009-0000-0000-00000B000000}"/>
  <pageMargins left="0.4" right="0.4" top="0.5" bottom="0.5" header="0.3" footer="0.3"/>
  <pageSetup paperSize="9" fitToHeight="0" orientation="landscape"/>
</worksheet>
</file>