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TestCatalogue" sheetId="10" r:id="rId10"/>
    <sheet name="Tests" sheetId="11" r:id="rId11"/>
    <sheet name="Basel_vs_CRR" sheetId="12" r:id="rId12"/>
  </sheets>
  <definedNames>
    <definedName name="_xlnm._FilterDatabase" localSheetId="11" hidden="1">Basel_vs_CRR!$C$5:$K$30</definedName>
    <definedName name="_xlnm._FilterDatabase" localSheetId="3" hidden="1">Trades!$C$4:$AB$69</definedName>
    <definedName name="Alpha">Params!$E$8</definedName>
    <definedName name="AsOfDate">Params!$E$6</definedName>
    <definedName name="BasisFactor">Params!$E$17</definedName>
    <definedName name="BusinessDaysPerYear">Params!$E$11</definedName>
    <definedName name="DaysPerYear">Params!$E$10</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unInputs" hidden="1">""</definedName>
    <definedName name="SDFloorBD">Params!$E$13</definedName>
    <definedName name="SF_Table">Params!$C$28:$K$54</definedName>
    <definedName name="Tests_Tolerance">Tests!$D$5</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<sst xmlns="http://schemas.openxmlformats.org/spreadsheetml/2006/main" uniqueCount="896">
  <si>
    <t>SA-CCR Calculator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</si>
  <si>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</si>
  <si>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</si>
  <si>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</si>
  <si>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</si>
  <si>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</si>
  <si>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</si>
  <si>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</si>
  <si>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</si>
  <si>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</si>
  <si>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</si>
  <si>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</si>
  <si>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</si>
  <si>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</si>
  <si>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TestCatalogue compares the engine with published / hand-calculated reference values per regime; Tests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</si>
  <si>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</si>
  <si>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</si>
  <si>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</si>
  <si>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</si>
  <si>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</si>
  <si>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</si>
  <si>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</si>
  <si>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</si>
  <si>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</si>
  <si>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</si>
  <si>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</si>
  <si>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</si>
  <si>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</si>
  <si>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</si>
  <si>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</si>
  <si>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</si>
  <si>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</si>
  <si>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</si>
  <si>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</si>
  <si>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</si>
  <si>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</si>
  <si>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</si>
  <si>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</si>
  <si>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</si>
  <si>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</si>
  <si>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</si>
  <si>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</si>
  <si>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</si>
  <si>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</si>
  <si>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</si>
  <si>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</si>
  <si>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</si>
  <si>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</si>
  <si>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</si>
  <si>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</si>
  <si>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</si>
  <si>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</si>
  <si>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</si>
  <si>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</si>
  <si>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</si>
  <si>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</si>
  <si>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</si>
  <si>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</si>
  <si>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</si>
  <si>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</si>
  <si>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</si>
  <si>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</si>
  <si>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</si>
  <si>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</si>
  <si>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</si>
  <si>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</si>
  <si>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</si>
  <si>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</si>
  <si>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</si>
  <si>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</si>
  <si>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</si>
  <si>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</si>
  <si>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</si>
  <si>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</si>
  <si>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</si>
  <si>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</si>
  <si>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</si>
  <si>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</si>
  <si>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</si>
  <si>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</si>
  <si>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</si>
  <si>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</si>
  <si>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</si>
  <si>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</si>
  <si>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</si>
  <si>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</si>
  <si>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</si>
  <si>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</si>
  <si>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</si>
  <si>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</si>
  <si>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</si>
  <si>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</si>
  <si>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</si>
  <si>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</si>
  <si>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</si>
  <si>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</si>
  <si>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</si>
  <si>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</si>
  <si>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</si>
  <si>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</si>
  <si>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</si>
  <si>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</si>
  <si>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</si>
  <si>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</si>
  <si>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</si>
  <si>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</si>
  <si>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</si>
  <si>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</si>
  <si>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</si>
  <si>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</si>
  <si>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</si>
  <si>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</si>
  <si>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</si>
  <si>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</si>
  <si>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</si>
  <si>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</si>
  <si>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</si>
  <si>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</si>
  <si>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</si>
  <si>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</si>
  <si>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</si>
  <si>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</si>
  <si>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</si>
  <si>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</si>
  <si>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</si>
  <si>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</si>
  <si>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</si>
  <si>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</si>
  <si>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</si>
  <si>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</si>
  <si>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</si>
  <si>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</si>
  <si>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</si>
  <si>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</si>
  <si>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</si>
  <si>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</si>
  <si>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</si>
  <si>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</si>
  <si>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</si>
  <si>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</si>
  <si>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</si>
  <si>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</si>
  <si>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</si>
  <si>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</si>
  <si>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</si>
  <si>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</si>
  <si>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</si>
  <si>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</si>
  <si>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</si>
  <si>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</si>
  <si>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</si>
  <si>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</si>
  <si>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</si>
  <si>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</si>
  <si>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</si>
  <si>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</si>
  <si>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</si>
  <si>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</si>
  <si>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</si>
  <si>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</si>
  <si>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</si>
  <si>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</si>
  <si>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</si>
  <si>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</si>
  <si>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</si>
  <si>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</si>
  <si>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</si>
  <si>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</si>
  <si>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</si>
  <si>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</si>
  <si>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</si>
  <si>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</si>
  <si>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</si>
  <si>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</si>
  <si>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</si>
  <si>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</si>
  <si>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</si>
  <si>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</si>
  <si>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</si>
  <si>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</si>
  <si>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</si>
  <si>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</si>
  <si>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</si>
  <si>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</si>
  <si>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</si>
  <si>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</si>
  <si>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</si>
  <si>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</si>
  <si>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</si>
  <si>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</si>
  <si>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</si>
  <si>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</si>
  <si>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</si>
  <si>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</si>
  <si>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</si>
  <si>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</si>
  <si>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</si>
  <si>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</si>
  <si>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</si>
  <si>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</si>
  <si>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</si>
  <si>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</si>
  <si>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</si>
  <si>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</si>
  <si>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</si>
  <si>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</si>
  <si>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</si>
  <si>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</si>
  <si>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</si>
  <si>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</si>
  <si>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</si>
  <si>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</si>
  <si>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</si>
  <si>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</si>
  <si>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</si>
  <si>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</si>
  <si>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</si>
  <si>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</si>
  <si>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</si>
  <si>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</si>
  <si>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</si>
  <si>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</si>
  <si>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</si>
  <si>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</si>
  <si>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</si>
  <si>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</si>
  <si>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</si>
  <si>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</si>
  <si>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</si>
  <si>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</si>
  <si>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</si>
  <si>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</si>
  <si>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</si>
  <si>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</si>
  <si>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</si>
  <si>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</si>
  <si>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</si>
  <si>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</si>
  <si>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</si>
  <si>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</si>
  <si>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</si>
  <si>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</si>
  <si>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</si>
  <si>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</si>
  <si>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</si>
  <si>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</si>
  <si>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</si>
  <si>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</si>
  <si>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</si>
  <si>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</si>
  <si>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</si>
  <si>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</si>
  <si>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</si>
  <si>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</si>
  <si>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</si>
  <si>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</si>
  <si>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</si>
  <si>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</si>
  <si>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</si>
  <si>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</si>
  <si>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</si>
  <si>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</si>
  <si>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</si>
  <si>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</si>
  <si>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</si>
  <si>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</si>
  <si>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</si>
  <si>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</si>
  <si>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</si>
  <si>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</si>
  <si>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</si>
  <si>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</si>
  <si>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</si>
  <si>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</si>
  <si>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</si>
  <si>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</si>
  <si>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</si>
  <si>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</si>
  <si>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</si>
  <si>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</si>
  <si>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</si>
  <si>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</si>
  <si>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</si>
  <si>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</si>
  <si>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</si>
  <si>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</si>
  <si>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</si>
  <si>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</si>
  <si>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</si>
  <si>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</si>
  <si>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</si>
  <si>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</si>
  <si>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</si>
  <si>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</si>
  <si>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</si>
  <si>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</si>
  <si>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</si>
  <si>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</si>
  <si>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</si>
  <si>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</si>
  <si>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</si>
  <si>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</si>
  <si>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</si>
  <si>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</si>
  <si>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</si>
  <si>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</si>
  <si>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</si>
  <si>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</si>
  <si>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</si>
  <si>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</si>
  <si>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</si>
  <si>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</si>
  <si>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</si>
  <si>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</si>
  <si>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</si>
  <si>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</si>
  <si>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</si>
  <si>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</si>
  <si>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</si>
  <si>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</si>
  <si>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</si>
  <si>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</si>
  <si>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</si>
  <si>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</si>
  <si>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</si>
  <si>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</si>
  <si>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</si>
  <si>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</si>
  <si>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</si>
  <si>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</si>
  <si>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</si>
  <si>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</si>
  <si>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</si>
  <si>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</si>
  <si>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</si>
  <si>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</si>
  <si>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</si>
  <si>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</si>
  <si>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</si>
  <si>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</si>
  <si>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</si>
  <si>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</si>
  <si>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</si>
  <si>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</si>
  <si>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</si>
  <si>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</si>
  <si>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</si>
  <si>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</si>
  <si>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</si>
  <si>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</si>
  <si>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</si>
  <si>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</si>
  <si>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</si>
  <si>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</si>
  <si>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</si>
  <si>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</si>
  <si>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</si>
  <si>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</si>
  <si>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</si>
  <si>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</si>
  <si>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</si>
  <si>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</si>
  <si>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</si>
  <si>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</si>
  <si>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</si>
  <si>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</si>
  <si>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</si>
  <si>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</si>
  <si>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</si>
  <si>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</si>
  <si>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</si>
  <si>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</si>
  <si>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</si>
  <si>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</si>
  <si>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</si>
  <si>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</si>
  <si>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</si>
  <si>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</si>
  <si>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</si>
  <si>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</si>
  <si>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</si>
  <si>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</si>
  <si>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</si>
  <si>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</si>
  <si>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</si>
  <si>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</si>
  <si>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</si>
  <si>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</si>
  <si>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</si>
  <si>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</si>
  <si>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</si>
  <si>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</si>
  <si>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</si>
  <si>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</si>
  <si>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</si>
  <si>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</si>
  <si>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</si>
  <si>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</si>
  <si>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</si>
  <si>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</si>
  <si>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</si>
  <si>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</si>
  <si>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</si>
  <si>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</si>
  <si>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</si>
  <si>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</si>
  <si>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</si>
  <si>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</si>
  <si>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</si>
  <si>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</si>
  <si>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</si>
  <si>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</si>
  <si>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</si>
  <si>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</si>
  <si>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</si>
  <si>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</si>
  <si>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</si>
  <si>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</si>
  <si>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</si>
  <si>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</si>
  <si>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</si>
  <si>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</si>
  <si>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</si>
  <si>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</si>
  <si>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</si>
  <si>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</si>
  <si>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</si>
  <si>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</si>
  <si>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</si>
  <si>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</si>
  <si>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</si>
  <si>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</si>
  <si>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</si>
  <si>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</si>
  <si>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</si>
  <si>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</si>
  <si>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</si>
  <si>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</si>
  <si>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</si>
  <si>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</si>
  <si>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</si>
  <si>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</si>
  <si>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</si>
  <si>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</si>
  <si>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</si>
  <si>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</si>
  <si>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</si>
  <si>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</si>
  <si>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</si>
  <si>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</si>
  <si>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</si>
  <si>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</si>
  <si>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</si>
  <si>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</si>
  <si>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</si>
  <si>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</si>
  <si>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</si>
  <si>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</si>
  <si>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</si>
  <si>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</si>
  <si>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</si>
  <si>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</si>
  <si>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</si>
  <si>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</si>
  <si>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</si>
  <si>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</si>
  <si>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</si>
  <si>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</si>
  <si>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</si>
  <si>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</si>
  <si>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</si>
  <si>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</si>
  <si>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</si>
  <si>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</si>
  <si>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</si>
  <si>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</si>
  <si>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</si>
  <si>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</si>
  <si>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</si>
  <si>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</si>
  <si>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</si>
  <si>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</si>
  <si>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</si>
  <si>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</si>
  <si>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</si>
  <si>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</si>
  <si>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</si>
  <si>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</si>
  <si>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</si>
  <si>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</si>
  <si>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</si>
  <si>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</si>
  <si>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</si>
  <si>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</si>
  <si>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</si>
  <si>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</si>
  <si>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</si>
  <si>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</si>
  <si>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</si>
  <si>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</si>
  <si>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</si>
  <si>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</si>
  <si>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</si>
  <si>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</si>
  <si>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</si>
  <si>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</si>
  <si>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</si>
  <si>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</si>
  <si>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</si>
  <si>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</si>
  <si>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</si>
  <si>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</si>
  <si>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</si>
  <si>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</si>
  <si>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</si>
  <si>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</si>
  <si>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</si>
  <si>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</si>
  <si>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</si>
  <si>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</si>
  <si>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</si>
  <si>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</si>
  <si>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</si>
  <si>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</si>
  <si>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</si>
  <si>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</si>
  <si>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</si>
  <si>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</si>
  <si>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</si>
  <si>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</si>
  <si>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</si>
  <si>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</si>
  <si>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</si>
  <si>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</si>
  <si>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</si>
  <si>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</si>
  <si>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</si>
  <si>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</si>
  <si>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</si>
  <si>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</si>
  <si>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</si>
  <si>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</si>
  <si>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</si>
  <si>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</si>
  <si>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</si>
  <si>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</si>
  <si>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</si>
  <si>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</si>
  <si>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CDF(-8)</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</si>
  <si>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</si>
  <si>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</si>
  <si>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</si>
  <si>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</si>
  <si>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</si>
  <si>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</si>
  <si>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</si>
  <si>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</si>
  <si>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</si>
  <si>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</si>
  <si>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</si>
  <si>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</si>
  <si>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</si>
  <si>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</si>
  <si>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</si>
  <si>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</si>
  <si>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</si>
  <si>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</si>
  <si>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</si>
  <si>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</si>
  <si>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</si>
  <si>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</si>
  <si>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</si>
  <si>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</si>
  <si>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</si>
  <si>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</si>
  <si>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</si>
  <si>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</si>
  <si>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</si>
  <si>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</si>
  <si>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</si>
  <si>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</si>
  <si>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</si>
  <si>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</si>
  <si>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</si>
  <si>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</si>
  <si>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</si>
  <si>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</si>
  <si>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</si>
  <si>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</si>
  <si>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</si>
  <si>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</si>
  <si>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</si>
  <si>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</si>
  <si>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</si>
  <si>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</si>
  <si>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</si>
  <si>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</si>
  <si>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</si>
  <si>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</si>
  <si>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</si>
  <si>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</si>
  <si>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</si>
  <si>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</si>
  <si>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</si>
  <si>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</si>
  <si>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</si>
  <si>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</si>
  <si>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</si>
  <si>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</si>
  <si>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</si>
  <si>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</si>
  <si>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</si>
  <si>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</si>
  <si>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</si>
  <si>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</si>
  <si>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</si>
  <si>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</si>
  <si>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</si>
  <si>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</si>
  <si>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</si>
  <si>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</si>
  <si>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</si>
  <si>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</si>
  <si>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</si>
  <si>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</si>
  <si>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</si>
  <si>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</si>
  <si>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</si>
  <si>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</si>
  <si>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</si>
  <si>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</si>
  <si>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</si>
  <si>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</si>
  <si>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</si>
  <si>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</si>
  <si>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</si>
  <si>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</si>
  <si>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</si>
  <si>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</si>
  <si>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</si>
  <si>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</si>
  <si>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</si>
  <si>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</si>
  <si>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</si>
  <si>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</si>
  <si>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</si>
  <si>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</si>
  <si>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</si>
  <si>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</si>
  <si>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</si>
  <si>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</si>
  <si>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</si>
  <si>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</si>
  <si>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</si>
  <si>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</si>
  <si>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</si>
  <si>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</si>
  <si>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</si>
  <si>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</si>
  <si>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</si>
  <si>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</si>
  <si>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</si>
  <si>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</si>
  <si>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</si>
  <si>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</si>
  <si>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</si>
  <si>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</si>
  <si>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</si>
  <si>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</si>
  <si>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</si>
  <si>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</si>
  <si>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</si>
  <si>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</si>
  <si>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</si>
  <si>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</si>
  <si>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</si>
  <si>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</si>
  <si>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</si>
  <si>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</si>
  <si>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</si>
  <si>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</si>
  <si>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</si>
  <si>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</si>
  <si>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</si>
  <si>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</si>
  <si>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</si>
  <si>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</si>
  <si>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</si>
  <si>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</si>
  <si>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</si>
  <si>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</si>
  <si>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</si>
  <si>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</si>
  <si>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</si>
  <si>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</si>
  <si>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</si>
  <si>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</si>
  <si>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</si>
  <si>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</si>
  <si>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</si>
  <si>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</si>
  <si>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</si>
  <si>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</si>
  <si>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</si>
  <si>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</si>
  <si>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</si>
  <si>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</si>
  <si>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</si>
  <si>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</si>
  <si>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</si>
  <si>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</si>
  <si>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</si>
  <si>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</si>
  <si>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</si>
  <si>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</si>
  <si>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</si>
  <si>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</si>
  <si>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</si>
  <si>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</si>
  <si>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</si>
  <si>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</si>
  <si>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</si>
  <si>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</si>
  <si>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</si>
  <si>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</si>
  <si>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</si>
  <si>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</si>
  <si>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</si>
  <si>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</si>
  <si>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</si>
  <si>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</si>
  <si>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</si>
  <si>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</si>
  <si>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</si>
  <si>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</si>
  <si>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</si>
  <si>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</si>
  <si>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</si>
  <si>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</si>
  <si>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</si>
  <si>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</si>
  <si>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</si>
  <si>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</si>
  <si>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</si>
  <si>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</si>
  <si>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</si>
  <si>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</si>
  <si>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</si>
  <si>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Tests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</si>
  <si>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</si>
  <si>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</si>
  <si>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</si>
  <si>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</si>
  <si>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</si>
  <si>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</si>
  <si>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</si>
  <si>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</si>
  <si>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</si>
  <si>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</si>
  <si>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</si>
  <si>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</si>
  <si>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</si>
  <si>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</si>
  <si>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</si>
  <si>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</si>
  <si>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</si>
  <si>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</si>
  <si>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</si>
  <si>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</si>
  <si>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</si>
  <si>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</si>
  <si>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</si>
  <si>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</si>
  <si>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</si>
  <si>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</si>
  <si>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</si>
  <si>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</si>
  <si>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</si>
  <si>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</si>
  <si>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</si>
  <si>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</si>
  <si>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</si>
  <si>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</si>
  <si>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</si>
  <si>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</si>
  <si>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</si>
  <si>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</si>
  <si>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</si>
  <si>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</si>
  <si>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</si>
  <si>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</si>
  <si>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</si>
  <si>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</si>
  <si>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</si>
  <si>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</si>
  <si>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</si>
  <si>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</si>
  <si>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</si>
  <si>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</si>
  <si>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</si>
  <si>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</si>
  <si>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</si>
  <si>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</si>
  <si>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</si>
  <si>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</si>
  <si>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</si>
  <si>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</si>
  <si>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</si>
  <si>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</si>
  <si>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</si>
  <si>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</si>
  <si>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</si>
  <si>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</si>
  <si>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</si>
  <si>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</si>
  <si>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</si>
  <si>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</si>
  <si>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</si>
  <si>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</si>
  <si>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</si>
  <si>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</si>
  <si>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</si>
  <si>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</si>
  <si>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</si>
  <si>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</si>
  <si>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</si>
  <si>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</si>
  <si>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</si>
  <si>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</si>
  <si>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</si>
  <si>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</si>
  <si>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</si>
  <si>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</si>
  <si>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</si>
  <si>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</si>
  <si>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</si>
  <si>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</si>
  <si>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</si>
  <si>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</si>
  <si>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</si>
  <si>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</si>
  <si>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</si>
  <si>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</si>
  <si>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</si>
  <si>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</si>
  <si>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</si>
  <si>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</si>
  <si>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</si>
  <si>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</si>
  <si>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</si>
  <si>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</si>
  <si>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</si>
  <si>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</si>
  <si>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</si>
  <si>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</si>
  <si>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</si>
  <si>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</si>
  <si>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</si>
  <si>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</si>
  <si>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</si>
  <si>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</si>
  <si>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</si>
  <si>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</si>
  <si>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</si>
  <si>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</si>
  <si>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</si>
  <si>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</si>
  <si>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</si>
  <si>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</si>
  <si>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</si>
  <si>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</si>
  <si>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</si>
  <si>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</si>
  <si>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</si>
  <si>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</si>
  <si>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</si>
  <si>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</si>
  <si>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</si>
  <si>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</si>
  <si>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</si>
  <si>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</si>
  <si>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</si>
  <si>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</si>
  <si>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</si>
  <si>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</si>
  <si>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</si>
  <si>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</si>
  <si>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</si>
  <si>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</si>
  <si>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</si>
  <si>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</si>
  <si>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</si>
  <si>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</si>
  <si>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</si>
  <si>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</si>
  <si>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|Function - Expected| &lt;= tolerance x max(1, |Expected|)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</si>
</sst>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7"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14">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s>
  <cellStyleXfs count="1">
    <xf numFmtId="0" fontId="0" fillId="0" borderId="0">
      <alignment vertical="center"/>
    </xf>
  </cellStyleXfs>
  <cellXfs count="132">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pageSetUpPr fitToPage="1"/>
  </sheetPr>
  <dimension ref="A1:X70"/>
  <sheetViews>
    <sheetView tabSelected="1" showGridLines="0" zoomScaleNormal="100" workbookViewId="0">
      <pane ySplit="3" topLeftCell="A4" activePane="bottomLeft" state="frozen"/>
      <selection pane="bottomLeft" activeCell="C8" sqref="C8"/>
    </sheetView>
  </sheetViews>
  <sheetFormatPr defaultColWidth="0" defaultRowHeight="15" x14ac:dyDescent="0.25"/>
  <cols>
    <col min="1" max="2" width="4" customWidth="1"/>
    <col min="3" max="3" width="46"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c r="C6" s="25" t="s">
        <v>3</v>
      </c>
      <c r="D6" s="34" t="s">
        <v>4</v>
      </c>
    </row>
    <row r="7" spans="2:19" ht="30" customHeight="1" x14ac:dyDescent="0.25">
      <c r="C7" s="25" t="s">
        <v>5</v>
      </c>
      <c r="D7" s="34" t="s">
        <v>6</v>
      </c>
    </row>
    <row r="8" spans="2:19" ht="30" customHeight="1" x14ac:dyDescent="0.25">
      <c r="C8" s="25" t="s">
        <v>7</v>
      </c>
      <c r="D8" s="34" t="s">
        <v>8</v>
      </c>
    </row>
    <row r="9" spans="2:19" ht="30" customHeight="1" x14ac:dyDescent="0.25">
      <c r="C9" s="25" t="s">
        <v>9</v>
      </c>
      <c r="D9" s="34" t="s">
        <v>10</v>
      </c>
    </row>
    <row r="10" spans="2:19" ht="30" customHeight="1" x14ac:dyDescent="0.25">
      <c r="C10" s="25" t="s">
        <v>11</v>
      </c>
      <c r="D10" s="34" t="s">
        <v>12</v>
      </c>
    </row>
    <row r="11" spans="2:19" ht="30" customHeight="1" x14ac:dyDescent="0.25">
      <c r="C11" s="25" t="s">
        <v>13</v>
      </c>
      <c r="D11" s="34" t="s">
        <v>14</v>
      </c>
    </row>
    <row r="12" spans="2:19" ht="30" customHeight="1" x14ac:dyDescent="0.25">
      <c r="C12" s="25" t="s">
        <v>15</v>
      </c>
      <c r="D12" s="34" t="s">
        <v>16</v>
      </c>
    </row>
    <row r="13" spans="2:19" ht="9.9499999999999993" customHeight="1" x14ac:dyDescent="0.25">
      <c r="C13" s="35"/>
      <c r="D13" s="36"/>
    </row>
    <row r="14" spans="2:19" ht="30" customHeight="1" x14ac:dyDescent="0.25">
      <c r="C14" s="33" t="s">
        <v>17</v>
      </c>
      <c r="D14" s="37"/>
    </row>
    <row r="15" spans="2:19" ht="30" customHeight="1" x14ac:dyDescent="0.25">
      <c r="C15" s="25" t="s">
        <v>18</v>
      </c>
      <c r="D15" s="34" t="s">
        <v>19</v>
      </c>
    </row>
    <row r="16" spans="2:19" ht="30" customHeight="1" x14ac:dyDescent="0.25">
      <c r="C16" s="25" t="s">
        <v>20</v>
      </c>
      <c r="D16" s="34" t="s">
        <v>21</v>
      </c>
    </row>
    <row r="17" spans="3:4" ht="24" x14ac:dyDescent="0.25">
      <c r="C17" s="25" t="s">
        <v>22</v>
      </c>
      <c r="D17" s="34" t="s">
        <v>801</v>
      </c>
    </row>
    <row r="18" spans="3:4" ht="30" customHeight="1" x14ac:dyDescent="0.25">
      <c r="C18" s="25" t="s">
        <v>23</v>
      </c>
      <c r="D18" s="34" t="s">
        <v>24</v>
      </c>
    </row>
    <row r="19" spans="3:4" ht="30" customHeight="1" x14ac:dyDescent="0.25">
      <c r="C19" s="25" t="s">
        <v>25</v>
      </c>
      <c r="D19" s="34" t="s">
        <v>26</v>
      </c>
    </row>
    <row r="20" spans="3:4" ht="30" customHeight="1" x14ac:dyDescent="0.25">
      <c r="C20" s="25" t="s">
        <v>27</v>
      </c>
      <c r="D20" s="34" t="s">
        <v>28</v>
      </c>
    </row>
    <row r="21" spans="3:4" ht="30" customHeight="1" x14ac:dyDescent="0.25">
      <c r="C21" s="25" t="s">
        <v>29</v>
      </c>
      <c r="D21" s="34" t="s">
        <v>30</v>
      </c>
    </row>
    <row r="22" spans="3:4" ht="9.9499999999999993" customHeight="1" x14ac:dyDescent="0.25">
      <c r="C22" s="35"/>
      <c r="D22" s="36"/>
    </row>
    <row r="23" spans="3:4" ht="30" customHeight="1" x14ac:dyDescent="0.25">
      <c r="C23" s="33" t="s">
        <v>31</v>
      </c>
      <c r="D23" s="37"/>
    </row>
    <row r="24" spans="3:4" ht="30" customHeight="1" x14ac:dyDescent="0.25">
      <c r="C24" s="25" t="s">
        <v>32</v>
      </c>
      <c r="D24" s="34" t="s">
        <v>815</v>
      </c>
    </row>
    <row r="25" spans="3:4" ht="30" customHeight="1" x14ac:dyDescent="0.25">
      <c r="C25" s="25" t="s">
        <v>33</v>
      </c>
      <c r="D25" s="34" t="s">
        <v>34</v>
      </c>
    </row>
    <row r="26" spans="3:4" ht="30" customHeight="1" x14ac:dyDescent="0.25">
      <c r="C26" s="25" t="s">
        <v>35</v>
      </c>
      <c r="D26" s="34" t="s">
        <v>36</v>
      </c>
    </row>
    <row r="27" spans="3:4" ht="30" customHeight="1" x14ac:dyDescent="0.25">
      <c r="C27" s="25" t="s">
        <v>37</v>
      </c>
      <c r="D27" s="34" t="s">
        <v>38</v>
      </c>
    </row>
    <row r="28" spans="3:4" ht="30" customHeight="1" x14ac:dyDescent="0.25">
      <c r="C28" s="25" t="s">
        <v>39</v>
      </c>
      <c r="D28" s="34" t="s">
        <v>40</v>
      </c>
    </row>
    <row r="29" spans="3:4" ht="30" customHeight="1" x14ac:dyDescent="0.25">
      <c r="C29" s="25" t="s">
        <v>41</v>
      </c>
      <c r="D29" s="34" t="s">
        <v>816</v>
      </c>
    </row>
    <row r="30" spans="3:4" ht="30" customHeight="1" x14ac:dyDescent="0.25">
      <c r="C30" s="25" t="s">
        <v>42</v>
      </c>
      <c r="D30" s="34" t="s">
        <v>802</v>
      </c>
    </row>
    <row r="31" spans="3:4" ht="30" customHeight="1" x14ac:dyDescent="0.25">
      <c r="C31" s="25" t="s">
        <v>43</v>
      </c>
      <c r="D31" s="34" t="s">
        <v>44</v>
      </c>
    </row>
    <row r="32" spans="3:4" ht="30" customHeight="1" x14ac:dyDescent="0.25">
      <c r="C32" s="25" t="s">
        <v>45</v>
      </c>
      <c r="D32" s="34" t="s">
        <v>46</v>
      </c>
    </row>
    <row r="33" spans="3:4" ht="30" customHeight="1" x14ac:dyDescent="0.25">
      <c r="C33" s="25" t="s">
        <v>47</v>
      </c>
      <c r="D33" s="34" t="s">
        <v>48</v>
      </c>
    </row>
    <row r="34" spans="3:4" ht="30" customHeight="1" x14ac:dyDescent="0.25">
      <c r="C34" s="25" t="s">
        <v>49</v>
      </c>
      <c r="D34" s="34" t="s">
        <v>50</v>
      </c>
    </row>
    <row r="35" spans="3:4" ht="9.9499999999999993" customHeight="1" x14ac:dyDescent="0.25">
      <c r="C35" s="35"/>
      <c r="D35" s="36"/>
    </row>
    <row r="36" spans="3:4" ht="30" customHeight="1" x14ac:dyDescent="0.25">
      <c r="C36" s="33" t="s">
        <v>51</v>
      </c>
      <c r="D36" s="37"/>
    </row>
    <row r="37" spans="3:4" ht="30" customHeight="1" x14ac:dyDescent="0.25">
      <c r="C37" s="25" t="s">
        <v>52</v>
      </c>
      <c r="D37" s="34" t="s">
        <v>53</v>
      </c>
    </row>
    <row r="38" spans="3:4" ht="30" customHeight="1" x14ac:dyDescent="0.25">
      <c r="C38" s="25" t="s">
        <v>54</v>
      </c>
      <c r="D38" s="34" t="s">
        <v>55</v>
      </c>
    </row>
    <row r="39" spans="3:4" ht="30" customHeight="1" x14ac:dyDescent="0.25">
      <c r="C39" s="25" t="s">
        <v>56</v>
      </c>
      <c r="D39" s="34" t="s">
        <v>57</v>
      </c>
    </row>
    <row r="40" spans="3:4" ht="30" customHeight="1" x14ac:dyDescent="0.25">
      <c r="C40" s="25" t="s">
        <v>58</v>
      </c>
      <c r="D40" s="34" t="s">
        <v>59</v>
      </c>
    </row>
    <row r="41" spans="3:4" ht="30" customHeight="1" x14ac:dyDescent="0.25">
      <c r="C41" s="25" t="s">
        <v>60</v>
      </c>
      <c r="D41" s="34" t="s">
        <v>61</v>
      </c>
    </row>
    <row r="42" spans="3:4" ht="30" customHeight="1" x14ac:dyDescent="0.25">
      <c r="C42" s="25" t="s">
        <v>62</v>
      </c>
      <c r="D42" s="34" t="s">
        <v>63</v>
      </c>
    </row>
    <row r="43" spans="3:4" ht="30" customHeight="1" x14ac:dyDescent="0.25">
      <c r="C43" s="25" t="s">
        <v>64</v>
      </c>
      <c r="D43" s="34" t="s">
        <v>65</v>
      </c>
    </row>
    <row r="44" spans="3:4" ht="30" customHeight="1" x14ac:dyDescent="0.25">
      <c r="C44" s="25" t="s">
        <v>66</v>
      </c>
      <c r="D44" s="34" t="s">
        <v>67</v>
      </c>
    </row>
    <row r="45" spans="3:4" ht="30" customHeight="1" x14ac:dyDescent="0.25">
      <c r="C45" s="25" t="s">
        <v>68</v>
      </c>
      <c r="D45" s="34" t="s">
        <v>69</v>
      </c>
    </row>
    <row r="46" spans="3:4" ht="30" customHeight="1" x14ac:dyDescent="0.25">
      <c r="C46" s="25" t="s">
        <v>70</v>
      </c>
      <c r="D46" s="34" t="s">
        <v>71</v>
      </c>
    </row>
    <row r="47" spans="3:4" ht="30" customHeight="1" x14ac:dyDescent="0.25">
      <c r="C47" s="25" t="s">
        <v>72</v>
      </c>
      <c r="D47" s="34" t="s">
        <v>73</v>
      </c>
    </row>
    <row r="48" spans="3:4" ht="9.9499999999999993" customHeight="1" x14ac:dyDescent="0.25">
      <c r="C48" s="35"/>
      <c r="D48" s="36"/>
    </row>
    <row r="49" spans="3:4" ht="30" customHeight="1" x14ac:dyDescent="0.25">
      <c r="C49" s="33" t="s">
        <v>74</v>
      </c>
      <c r="D49" s="37"/>
    </row>
    <row r="50" spans="3:4" ht="30" customHeight="1" x14ac:dyDescent="0.25">
      <c r="C50" s="25" t="s">
        <v>75</v>
      </c>
      <c r="D50" s="34" t="s">
        <v>76</v>
      </c>
    </row>
    <row r="51" spans="3:4" ht="30" customHeight="1" x14ac:dyDescent="0.25">
      <c r="C51" s="25" t="s">
        <v>77</v>
      </c>
      <c r="D51" s="34" t="s">
        <v>39</v>
      </c>
    </row>
    <row r="52" spans="3:4" ht="30" customHeight="1" x14ac:dyDescent="0.25">
      <c r="C52" s="25" t="s">
        <v>78</v>
      </c>
      <c r="D52" s="34" t="s">
        <v>79</v>
      </c>
    </row>
    <row r="53" spans="3:4" ht="30" customHeight="1" x14ac:dyDescent="0.25">
      <c r="C53" s="25" t="s">
        <v>80</v>
      </c>
      <c r="D53" s="34" t="s">
        <v>81</v>
      </c>
    </row>
    <row r="54" spans="3:4" ht="30" customHeight="1" x14ac:dyDescent="0.25">
      <c r="C54" s="25" t="s">
        <v>82</v>
      </c>
      <c r="D54" s="34" t="s">
        <v>83</v>
      </c>
    </row>
    <row r="55" spans="3:4" ht="30" customHeight="1" x14ac:dyDescent="0.25">
      <c r="C55" s="25" t="s">
        <v>84</v>
      </c>
      <c r="D55" s="34" t="s">
        <v>85</v>
      </c>
    </row>
    <row r="56" spans="3:4" ht="30" customHeight="1" x14ac:dyDescent="0.25">
      <c r="C56" s="25" t="s">
        <v>86</v>
      </c>
      <c r="D56" s="34" t="s">
        <v>87</v>
      </c>
    </row>
    <row r="57" spans="3:4" ht="30" customHeight="1" x14ac:dyDescent="0.25">
      <c r="C57" s="25" t="s">
        <v>88</v>
      </c>
      <c r="D57" s="34" t="s">
        <v>89</v>
      </c>
    </row>
    <row r="58" spans="3:4" ht="30" customHeight="1" x14ac:dyDescent="0.25">
      <c r="C58" s="25" t="s">
        <v>90</v>
      </c>
      <c r="D58" s="34" t="s">
        <v>91</v>
      </c>
    </row>
    <row r="59" spans="3:4" ht="30" customHeight="1" x14ac:dyDescent="0.25">
      <c r="C59" s="25" t="s">
        <v>92</v>
      </c>
      <c r="D59" s="34" t="s">
        <v>93</v>
      </c>
    </row>
    <row r="60" spans="3:4" ht="9.9499999999999993" customHeight="1" x14ac:dyDescent="0.25">
      <c r="C60" s="35"/>
      <c r="D60" s="36"/>
    </row>
    <row r="61" spans="3:4" ht="30" customHeight="1" x14ac:dyDescent="0.25">
      <c r="C61" s="33" t="s">
        <v>94</v>
      </c>
      <c r="D61" s="37"/>
    </row>
    <row r="62" spans="3:4" ht="36" x14ac:dyDescent="0.25">
      <c r="C62" s="25" t="s">
        <v>95</v>
      </c>
      <c r="D62" s="34" t="s">
        <v>803</v>
      </c>
    </row>
    <row r="63" spans="3:4" ht="30" customHeight="1" x14ac:dyDescent="0.25">
      <c r="C63" s="25" t="s">
        <v>805</v>
      </c>
      <c r="D63" s="34" t="s">
        <v>804</v>
      </c>
    </row>
    <row r="64" spans="3:4" ht="30" customHeight="1" x14ac:dyDescent="0.25">
      <c r="C64" s="25" t="s">
        <v>96</v>
      </c>
      <c r="D64" s="34" t="s">
        <v>817</v>
      </c>
    </row>
    <row r="65" spans="3:4" ht="30" customHeight="1" x14ac:dyDescent="0.25">
      <c r="C65" s="25" t="s">
        <v>97</v>
      </c>
      <c r="D65" s="34" t="s">
        <v>838</v>
      </c>
    </row>
    <row r="66" spans="3:4" ht="30" customHeight="1" x14ac:dyDescent="0.25">
      <c r="C66" s="25" t="s">
        <v>98</v>
      </c>
      <c r="D66" s="34" t="s">
        <v>99</v>
      </c>
    </row>
    <row r="67" spans="3:4" ht="30" customHeight="1" x14ac:dyDescent="0.25">
      <c r="C67" s="25" t="s">
        <v>100</v>
      </c>
      <c r="D67" s="34" t="s">
        <v>101</v>
      </c>
    </row>
    <row r="68" spans="3:4" ht="9.9499999999999993" customHeight="1" x14ac:dyDescent="0.25">
      <c r="C68" s="35"/>
      <c r="D68" s="36"/>
    </row>
    <row r="69" spans="3:4" ht="30" customHeight="1" x14ac:dyDescent="0.25">
      <c r="C69" s="33" t="s">
        <v>102</v>
      </c>
      <c r="D69" s="37"/>
    </row>
    <row r="70" spans="3:4" ht="30" customHeight="1" x14ac:dyDescent="0.25">
      <c r="C70" s="25" t="s">
        <v>103</v>
      </c>
      <c r="D70" s="34" t="s">
        <v>104</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a three-letter ISO currency code, e.g. EUR." promptTitle="Reporting currency" prompt="ISO code, e.g. EUR. Every amount is converted into it with the FX table below." sqref="E7" xr:uid="{00000000-0002-0000-0100-000001000000}">
      <formula1>AND(ISTEXT(ReportingCcy),LEN(ReportingCcy)=3)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CR, EQ: issuer or index. CO: commodity. Trades with the same reference are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ResultsStatusText(SACCR_RunInputs,NettingSets!$C:$Q,Trades!$C:$AA,Params!$C:$J)</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9"/>
  <sheetViews>
    <sheetView showGridLines="0" zoomScale="90" zoomScaleNormal="90" workbookViewId="0">
      <pane xSplit="3" topLeftCell="D1" activePane="topRight" state="frozen"/>
      <selection pane="topRight" activeCell="D17" sqref="D17"/>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70</v>
      </c>
      <c r="C2" s="31"/>
      <c r="D2" s="32"/>
      <c r="E2" s="68"/>
      <c r="F2" s="68"/>
      <c r="G2" s="68"/>
      <c r="H2" s="68"/>
      <c r="I2" s="68"/>
      <c r="J2" s="68"/>
      <c r="K2" s="68"/>
      <c r="L2" s="68"/>
      <c r="M2" s="32"/>
      <c r="N2" s="32"/>
      <c r="O2" s="32"/>
      <c r="P2" s="32"/>
      <c r="Q2" s="68"/>
      <c r="R2" s="68"/>
      <c r="S2" s="68"/>
      <c r="T2" s="68"/>
      <c r="U2" s="68"/>
      <c r="V2" s="68"/>
      <c r="W2" s="68"/>
      <c r="X2" s="68"/>
      <c r="Y2" s="68"/>
      <c r="Z2" s="68"/>
      <c r="AA2" s="68"/>
      <c r="AB2" s="68"/>
    </row>
    <row r="3" ht="21" x14ac:dyDescent="0.25">
      <c r="C3" s="1"/>
    </row>
    <row r="4" ht="30" customHeight="1" x14ac:dyDescent="0.25">
      <c r="C4" s="2" t="s">
        <v>508</v>
      </c>
    </row>
    <row r="5" ht="20.100000000000001" customHeight="1" x14ac:dyDescent="0.25">
      <c r="C5" s="128" t="s">
        <v>895</v>
      </c>
      <c r="D5" s="131">
        <v>1.0000000000000001E-5</v>
      </c>
    </row>
    <row r="6" ht="20.100000000000001" customHeight="1" x14ac:dyDescent="0.25">
      <c r="C6" s="48" t="s">
        <v>509</v>
      </c>
    </row>
    <row r="7" ht="30" customHeight="1" x14ac:dyDescent="0.25">
      <c r="C7" s="54" t="s">
        <v>510</v>
      </c>
      <c r="D7" s="54" t="s">
        <v>884</v>
      </c>
      <c r="E7" s="55" t="s">
        <v>885</v>
      </c>
      <c r="F7" s="55" t="s">
        <v>886</v>
      </c>
      <c r="G7" s="55" t="s">
        <v>887</v>
      </c>
      <c r="H7" s="55" t="s">
        <v>888</v>
      </c>
      <c r="I7" s="55" t="s">
        <v>889</v>
      </c>
      <c r="J7" s="55" t="s">
        <v>890</v>
      </c>
      <c r="K7" s="55" t="s">
        <v>891</v>
      </c>
      <c r="L7" s="55" t="s">
        <v>892</v>
      </c>
      <c r="M7" s="55" t="s">
        <v>893</v>
      </c>
      <c r="N7" s="55" t="s">
        <v>514</v>
      </c>
      <c r="O7" s="55" t="s">
        <v>515</v>
      </c>
      <c r="P7" s="54" t="s">
        <v>894</v>
      </c>
    </row>
    <row r="8" ht="20.100000000000001" customHeight="1" x14ac:dyDescent="0.25">
      <c r="C8" s="128" t="s">
        <v>516</v>
      </c>
      <c r="D8" s="24" t="s">
        <v>859</v>
      </c>
      <c r="E8" s="129">
        <v>0</v>
      </c>
      <c r="F8" s="129">
        <v>10</v>
      </c>
      <c r="L8" s="125">
        <f>(EXP(-0.05*MAX($E8,0))-EXP(-0.05*$F8))/0.05</f>
        <v>7.8693868057473315</v>
      </c>
      <c r="M8" s="125" cm="1">
        <f t="array" ref="M8">SACCR_SupervisoryDuration($E8,$F8)</f>
        <v>7.8693868057473315</v>
      </c>
      <c r="N8" s="126">
        <f>IFERROR(ABS(M8-L8),"")</f>
        <v>0.0</v>
      </c>
      <c r="O8" s="127" t="str">
        <f>IF(ISNUMBER(N8),IF(N8&lt;=Tests_Tolerance*MAX(1,ABS(L8)),"PASS","FAIL"),"FAIL")</f>
        <v>PASS</v>
      </c>
      <c r="P8" s="130" t="s">
        <v>860</v>
      </c>
    </row>
    <row r="9" ht="20.100000000000001" customHeight="1" x14ac:dyDescent="0.25">
      <c r="C9" s="128" t="s">
        <v>518</v>
      </c>
      <c r="D9" s="24" t="s">
        <v>859</v>
      </c>
      <c r="E9" s="129">
        <v>1</v>
      </c>
      <c r="F9" s="129">
        <v>11</v>
      </c>
      <c r="L9" s="125">
        <f>(EXP(-0.05*MAX($E9,0))-EXP(-0.05*$F9))/0.05</f>
        <v>7.485592282404547</v>
      </c>
      <c r="M9" s="125" cm="1">
        <f t="array" ref="M9">SACCR_SupervisoryDuration($E9,$F9)</f>
        <v>7.485592282404547</v>
      </c>
      <c r="N9" s="126">
        <f>IFERROR(ABS(M9-L9),"")</f>
        <v>0.0</v>
      </c>
      <c r="O9" s="127" t="str">
        <f>IF(ISNUMBER(N9),IF(N9&lt;=Tests_Tolerance*MAX(1,ABS(L9)),"PASS","FAIL"),"FAIL")</f>
        <v>PASS</v>
      </c>
      <c r="P9" s="130" t="s">
        <v>860</v>
      </c>
    </row>
    <row r="10" ht="20.100000000000001" customHeight="1" x14ac:dyDescent="0.25">
      <c r="C10" s="128" t="s">
        <v>520</v>
      </c>
      <c r="D10" s="24" t="s">
        <v>861</v>
      </c>
      <c r="E10" s="129">
        <v>0</v>
      </c>
      <c r="F10" s="129">
        <v>0.01</v>
      </c>
      <c r="G10" s="129">
        <f>10/250</f>
        <v>0.04</v>
      </c>
      <c r="L10" s="125">
        <f>MAX((EXP(-0.05*MAX($E10,0))-EXP(-0.05*$F10))/0.05,$G10)</f>
        <v>0.04</v>
      </c>
      <c r="M10" s="125" cm="1">
        <f t="array" ref="M10">SACCR_SupervisoryDuration($E10,$F10,$G10)</f>
        <v>0.04</v>
      </c>
      <c r="N10" s="126">
        <f>IFERROR(ABS(M10-L10),"")</f>
        <v>0.0</v>
      </c>
      <c r="O10" s="127" t="str">
        <f>IF(ISNUMBER(N10),IF(N10&lt;=Tests_Tolerance*MAX(1,ABS(L10)),"PASS","FAIL"),"FAIL")</f>
        <v>PASS</v>
      </c>
      <c r="P10" s="130" t="s">
        <v>860</v>
      </c>
    </row>
    <row r="11" ht="20.100000000000001" customHeight="1" x14ac:dyDescent="0.25">
      <c r="C11" s="128" t="s">
        <v>522</v>
      </c>
      <c r="D11" s="24" t="s">
        <v>862</v>
      </c>
      <c r="E11" s="129">
        <v>0.75</v>
      </c>
      <c r="L11" s="125">
        <f>SQRT(MIN(MAX($E11,10/250),1))</f>
        <v>0.8660254037844386</v>
      </c>
      <c r="M11" s="125" cm="1">
        <f t="array" ref="M11">SACCR_MaturityFactor($E11)</f>
        <v>0.8660254037844386</v>
      </c>
      <c r="N11" s="126">
        <f>IFERROR(ABS(M11-L11),"")</f>
        <v>0.0</v>
      </c>
      <c r="O11" s="127" t="str">
        <f>IF(ISNUMBER(N11),IF(N11&lt;=Tests_Tolerance*MAX(1,ABS(L11)),"PASS","FAIL"),"FAIL")</f>
        <v>PASS</v>
      </c>
      <c r="P11" s="130" t="s">
        <v>863</v>
      </c>
    </row>
    <row r="12" ht="20.100000000000001" customHeight="1" x14ac:dyDescent="0.25">
      <c r="C12" s="128" t="s">
        <v>524</v>
      </c>
      <c r="D12" s="24" t="s">
        <v>862</v>
      </c>
      <c r="E12" s="129">
        <f>3/365</f>
        <v>0.00821917808219178</v>
      </c>
      <c r="L12" s="125">
        <f>SQRT(MIN(MAX($E12,10/250),1))</f>
        <v>0.2</v>
      </c>
      <c r="M12" s="125" cm="1">
        <f t="array" ref="M12">SACCR_MaturityFactor($E12)</f>
        <v>0.2</v>
      </c>
      <c r="N12" s="126">
        <f>IFERROR(ABS(M12-L12),"")</f>
        <v>0.0</v>
      </c>
      <c r="O12" s="127" t="str">
        <f>IF(ISNUMBER(N12),IF(N12&lt;=Tests_Tolerance*MAX(1,ABS(L12)),"PASS","FAIL"),"FAIL")</f>
        <v>PASS</v>
      </c>
      <c r="P12" s="130" t="s">
        <v>863</v>
      </c>
    </row>
    <row r="13" ht="20.100000000000001" customHeight="1" x14ac:dyDescent="0.25">
      <c r="C13" s="128" t="s">
        <v>526</v>
      </c>
      <c r="D13" s="24" t="s">
        <v>864</v>
      </c>
      <c r="E13" s="129">
        <v>0</v>
      </c>
      <c r="F13" s="129" t="b">
        <v>1</v>
      </c>
      <c r="G13" s="129">
        <v>10</v>
      </c>
      <c r="L13" s="125">
        <f>IF($F13,1.5*SQRT($G13/250),SQRT(MIN(MAX($E13,10/250),1)))</f>
        <v>0.30000000000000004</v>
      </c>
      <c r="M13" s="125" cm="1">
        <f t="array" ref="M13">SACCR_MaturityFactor($E13,$F13,$G13)</f>
        <v>0.30000000000000004</v>
      </c>
      <c r="N13" s="126">
        <f>IFERROR(ABS(M13-L13),"")</f>
        <v>0.0</v>
      </c>
      <c r="O13" s="127" t="str">
        <f>IF(ISNUMBER(N13),IF(N13&lt;=Tests_Tolerance*MAX(1,ABS(L13)),"PASS","FAIL"),"FAIL")</f>
        <v>PASS</v>
      </c>
      <c r="P13" s="130" t="s">
        <v>865</v>
      </c>
    </row>
    <row r="14" ht="20.100000000000001" customHeight="1" x14ac:dyDescent="0.25">
      <c r="C14" s="128" t="s">
        <v>528</v>
      </c>
      <c r="D14" s="24" t="s">
        <v>866</v>
      </c>
      <c r="E14" s="129">
        <v>0.06</v>
      </c>
      <c r="F14" s="129">
        <v>0.05</v>
      </c>
      <c r="G14" s="129">
        <v>1</v>
      </c>
      <c r="H14" s="129">
        <v>0.5</v>
      </c>
      <c r="I14" s="129" t="b">
        <v>0</v>
      </c>
      <c r="J14" s="129" t="b">
        <v>1</v>
      </c>
      <c r="L14" s="125">
        <f>IF($I14,_xlfn.NORM.S.DIST((LN(($E14+$K14)/($F14+$K14))+$H14^2*$G14/2)/($H14*SQRT($G14)),TRUE),-_xlfn.NORM.S.DIST(-(LN(($E14+$K14)/($F14+$K14))+$H14^2*$G14/2)/($H14*SQRT($G14)),TRUE))*IF($J14,1,-1)</f>
        <v>-0.2693952177105327</v>
      </c>
      <c r="M14" s="125" cm="1">
        <f t="array" ref="M14">SACCR_OptionDelta($E14,$F14,$G14,$H14,$I14,$J14)</f>
        <v>-0.2693952177105327</v>
      </c>
      <c r="N14" s="126">
        <f>IFERROR(ABS(M14-L14),"")</f>
        <v>0.0</v>
      </c>
      <c r="O14" s="127" t="str">
        <f>IF(ISNUMBER(N14),IF(N14&lt;=Tests_Tolerance*MAX(1,ABS(L14)),"PASS","FAIL"),"FAIL")</f>
        <v>PASS</v>
      </c>
      <c r="P14" s="130" t="s">
        <v>867</v>
      </c>
    </row>
    <row r="15" ht="20.100000000000001" customHeight="1" x14ac:dyDescent="0.25">
      <c r="C15" s="128" t="s">
        <v>530</v>
      </c>
      <c r="D15" s="24" t="s">
        <v>866</v>
      </c>
      <c r="E15" s="129">
        <v>100</v>
      </c>
      <c r="F15" s="129">
        <v>110</v>
      </c>
      <c r="G15" s="129">
        <v>0.5</v>
      </c>
      <c r="H15" s="129">
        <v>0.32</v>
      </c>
      <c r="I15" s="129" t="b">
        <v>1</v>
      </c>
      <c r="J15" s="129" t="b">
        <v>0</v>
      </c>
      <c r="L15" s="125">
        <f>IF($I15,_xlfn.NORM.S.DIST((LN(($E15+$K15)/($F15+$K15))+$H15^2*$G15/2)/($H15*SQRT($G15)),TRUE),-_xlfn.NORM.S.DIST(-(LN(($E15+$K15)/($F15+$K15))+$H15^2*$G15/2)/($H15*SQRT($G15)),TRUE))*IF($J15,1,-1)</f>
        <v>-0.37901134582780294</v>
      </c>
      <c r="M15" s="125" cm="1">
        <f t="array" ref="M15">SACCR_OptionDelta($E15,$F15,$G15,$H15,$I15,$J15)</f>
        <v>-0.37901134582780294</v>
      </c>
      <c r="N15" s="126">
        <f>IFERROR(ABS(M15-L15),"")</f>
        <v>0.0</v>
      </c>
      <c r="O15" s="127" t="str">
        <f>IF(ISNUMBER(N15),IF(N15&lt;=Tests_Tolerance*MAX(1,ABS(L15)),"PASS","FAIL"),"FAIL")</f>
        <v>PASS</v>
      </c>
      <c r="P15" s="130" t="s">
        <v>867</v>
      </c>
    </row>
    <row r="16" ht="20.100000000000001" customHeight="1" x14ac:dyDescent="0.25">
      <c r="C16" s="128" t="s">
        <v>532</v>
      </c>
      <c r="D16" s="24" t="s">
        <v>868</v>
      </c>
      <c r="E16" s="129">
        <v>-0.002</v>
      </c>
      <c r="F16" s="129">
        <v>0.001</v>
      </c>
      <c r="G16" s="129">
        <v>2</v>
      </c>
      <c r="H16" s="129">
        <v>0.5</v>
      </c>
      <c r="I16" s="129" t="b">
        <v>1</v>
      </c>
      <c r="J16" s="129" t="b">
        <v>1</v>
      </c>
      <c r="K16" s="129">
        <v>0.01</v>
      </c>
      <c r="L16" s="125">
        <f>IF($I16,_xlfn.NORM.S.DIST((LN(($E16+$K16)/($F16+$K16))+$H16^2*$G16/2)/($H16*SQRT($G16)),TRUE),-_xlfn.NORM.S.DIST(-(LN(($E16+$K16)/($F16+$K16))+$H16^2*$G16/2)/($H16*SQRT($G16)),TRUE))*IF($J16,1,-1)</f>
        <v>0.46143935794124913</v>
      </c>
      <c r="M16" s="125" cm="1">
        <f t="array" ref="M16">SACCR_OptionDelta($E16,$F16,$G16,$H16,$I16,$J16,$K16)</f>
        <v>0.46143935794124913</v>
      </c>
      <c r="N16" s="126">
        <f>IFERROR(ABS(M16-L16),"")</f>
        <v>0.0</v>
      </c>
      <c r="O16" s="127" t="str">
        <f>IF(ISNUMBER(N16),IF(N16&lt;=Tests_Tolerance*MAX(1,ABS(L16)),"PASS","FAIL"),"FAIL")</f>
        <v>PASS</v>
      </c>
      <c r="P16" s="130" t="s">
        <v>869</v>
      </c>
    </row>
    <row r="17" ht="20.100000000000001" customHeight="1" x14ac:dyDescent="0.25">
      <c r="C17" s="128" t="s">
        <v>534</v>
      </c>
      <c r="D17" s="24" t="s">
        <v>870</v>
      </c>
      <c r="E17" s="129">
        <v>0.03</v>
      </c>
      <c r="F17" s="129">
        <v>0.06</v>
      </c>
      <c r="G17" s="129" t="b">
        <v>1</v>
      </c>
      <c r="L17" s="125">
        <f>15/((1+14*$E17)*(1+14*$F17))*IF($G17,1,-1)</f>
        <v>5.740967544396817</v>
      </c>
      <c r="M17" s="125" cm="1">
        <f t="array" ref="M17">SACCR_CDODelta($E17,$F17,$G17)</f>
        <v>5.740967544396816</v>
      </c>
      <c r="N17" s="126">
        <f>IFERROR(ABS(M17-L17),"")</f>
        <v>8.881784197001252e-16</v>
      </c>
      <c r="O17" s="127" t="str">
        <f>IF(ISNUMBER(N17),IF(N17&lt;=Tests_Tolerance*MAX(1,ABS(L17)),"PASS","FAIL"),"FAIL")</f>
        <v>PASS</v>
      </c>
      <c r="P17" s="130" t="s">
        <v>871</v>
      </c>
    </row>
    <row r="18" ht="20.100000000000001" customHeight="1" x14ac:dyDescent="0.25">
      <c r="C18" s="128" t="s">
        <v>536</v>
      </c>
      <c r="D18" s="24" t="s">
        <v>872</v>
      </c>
      <c r="E18" s="129">
        <v>0</v>
      </c>
      <c r="F18" s="129">
        <v>-36253.8493844036</v>
      </c>
      <c r="G18" s="129">
        <v>78693.8680574733</v>
      </c>
      <c r="L18" s="125">
        <f>SQRT(MAX($E18^2+$F18^2+$G18^2+1.4*$E18*$F18+1.4*$F18*$G18+0.6*$E18*$G18,0))</f>
        <v>59269.963463710395</v>
      </c>
      <c r="M18" s="125" cm="1">
        <f t="array" ref="M18">SACCR_IREffectiveNotional($E18,$F18,$G18)</f>
        <v>59269.963463710395</v>
      </c>
      <c r="N18" s="126">
        <f>IFERROR(ABS(M18-L18),"")</f>
        <v>0.0</v>
      </c>
      <c r="O18" s="127" t="str">
        <f>IF(ISNUMBER(N18),IF(N18&lt;=Tests_Tolerance*MAX(1,ABS(L18)),"PASS","FAIL"),"FAIL")</f>
        <v>PASS</v>
      </c>
      <c r="P18" s="130" t="s">
        <v>873</v>
      </c>
    </row>
    <row r="19" ht="20.100000000000001" customHeight="1" x14ac:dyDescent="0.25">
      <c r="C19" s="128" t="s">
        <v>538</v>
      </c>
      <c r="D19" s="24" t="s">
        <v>874</v>
      </c>
      <c r="E19" s="129">
        <v>105.861937916956</v>
      </c>
      <c r="F19" s="129">
        <v>-279.916321663744</v>
      </c>
      <c r="G19" s="129">
        <v>168.111404865732</v>
      </c>
      <c r="H19" s="129">
        <v>0.5</v>
      </c>
      <c r="I19" s="129">
        <v>0.5</v>
      </c>
      <c r="J19" s="129">
        <v>0.8</v>
      </c>
      <c r="L19" s="125">
        <f>SQRT(SUMPRODUCT($E19:$G19,$H19:$J19)^2+SUMPRODUCT((1-$H19:$J19^2)*$E19:$G19^2))</f>
        <v>282.12883185966604</v>
      </c>
      <c r="M19" s="125" cm="1">
        <f t="array" ref="M19">SACCR_FactorAggregation($E19:$G19,$H19:$J19)</f>
        <v>282.12883185966604</v>
      </c>
      <c r="N19" s="126">
        <f>IFERROR(ABS(M19-L19),"")</f>
        <v>0.0</v>
      </c>
      <c r="O19" s="127" t="str">
        <f>IF(ISNUMBER(N19),IF(N19&lt;=Tests_Tolerance*MAX(1,ABS(L19)),"PASS","FAIL"),"FAIL")</f>
        <v>PASS</v>
      </c>
      <c r="P19" s="130" t="s">
        <v>875</v>
      </c>
    </row>
    <row r="20" ht="20.100000000000001" customHeight="1" x14ac:dyDescent="0.25">
      <c r="C20" s="128" t="s">
        <v>540</v>
      </c>
      <c r="D20" s="24" t="s">
        <v>876</v>
      </c>
      <c r="E20" s="129">
        <v>-20</v>
      </c>
      <c r="F20" s="129">
        <v>282</v>
      </c>
      <c r="L20" s="125">
        <f>IF($F20&lt;=0,1,MIN(1,0.05+0.95*EXP($E20/(2*0.95*$F20))))</f>
        <v>0.9651926811871945</v>
      </c>
      <c r="M20" s="125" cm="1">
        <f t="array" ref="M20">SACCR_Multiplier($E20,$F20)</f>
        <v>0.9651926811871945</v>
      </c>
      <c r="N20" s="126">
        <f>IFERROR(ABS(M20-L20),"")</f>
        <v>0.0</v>
      </c>
      <c r="O20" s="127" t="str">
        <f>IF(ISNUMBER(N20),IF(N20&lt;=Tests_Tolerance*MAX(1,ABS(L20)),"PASS","FAIL"),"FAIL")</f>
        <v>PASS</v>
      </c>
      <c r="P20" s="130" t="s">
        <v>877</v>
      </c>
    </row>
    <row r="21" ht="20.100000000000001" customHeight="1" x14ac:dyDescent="0.25">
      <c r="C21" s="128" t="s">
        <v>542</v>
      </c>
      <c r="D21" s="24" t="s">
        <v>876</v>
      </c>
      <c r="E21" s="129">
        <v>10</v>
      </c>
      <c r="F21" s="129">
        <v>282</v>
      </c>
      <c r="L21" s="125">
        <f>IF($F21&lt;=0,1,MIN(1,0.05+0.95*EXP($E21/(2*0.95*$F21))))</f>
        <v>1</v>
      </c>
      <c r="M21" s="125" cm="1">
        <f t="array" ref="M21">SACCR_Multiplier($E21,$F21)</f>
        <v>1.0</v>
      </c>
      <c r="N21" s="126">
        <f>IFERROR(ABS(M21-L21),"")</f>
        <v>0.0</v>
      </c>
      <c r="O21" s="127" t="str">
        <f>IF(ISNUMBER(N21),IF(N21&lt;=Tests_Tolerance*MAX(1,ABS(L21)),"PASS","FAIL"),"FAIL")</f>
        <v>PASS</v>
      </c>
      <c r="P21" s="130" t="s">
        <v>877</v>
      </c>
    </row>
    <row r="22" ht="20.100000000000001" customHeight="1" x14ac:dyDescent="0.25">
      <c r="C22" s="128" t="s">
        <v>544</v>
      </c>
      <c r="D22" s="24" t="s">
        <v>878</v>
      </c>
      <c r="E22" s="129">
        <v>5</v>
      </c>
      <c r="F22" s="129">
        <v>10</v>
      </c>
      <c r="G22" s="129" t="b">
        <v>1</v>
      </c>
      <c r="H22" s="129">
        <v>0</v>
      </c>
      <c r="I22" s="129">
        <v>10</v>
      </c>
      <c r="J22" s="129">
        <v>2</v>
      </c>
      <c r="L22" s="125">
        <f>IF($G22,MAX($E22-$F22,$H22+$I22-$J22,0),MAX($E22-$F22,0))</f>
        <v>8</v>
      </c>
      <c r="M22" s="125" cm="1">
        <f t="array" ref="M22">SACCR_ReplacementCost($E22,$F22,$G22,$H22,$I22,$J22)</f>
        <v>8.0</v>
      </c>
      <c r="N22" s="126">
        <f>IFERROR(ABS(M22-L22),"")</f>
        <v>0.0</v>
      </c>
      <c r="O22" s="127" t="str">
        <f>IF(ISNUMBER(N22),IF(N22&lt;=Tests_Tolerance*MAX(1,ABS(L22)),"PASS","FAIL"),"FAIL")</f>
        <v>PASS</v>
      </c>
      <c r="P22" s="130" t="s">
        <v>879</v>
      </c>
    </row>
    <row r="23" ht="20.100000000000001" customHeight="1" x14ac:dyDescent="0.25">
      <c r="C23" s="128" t="s">
        <v>546</v>
      </c>
      <c r="D23" s="24" t="s">
        <v>880</v>
      </c>
      <c r="E23" s="129">
        <v>1.96</v>
      </c>
      <c r="L23" s="125">
        <f>_xlfn.NORM.S.DIST($E23,TRUE)</f>
        <v>0.9750021048517795</v>
      </c>
      <c r="M23" s="125" cm="1">
        <f t="array" ref="M23">SACCR_NormCDF($E23)</f>
        <v>0.9750021048517795</v>
      </c>
      <c r="N23" s="126">
        <f>IFERROR(ABS(M23-L23),"")</f>
        <v>0.0</v>
      </c>
      <c r="O23" s="127" t="str">
        <f>IF(ISNUMBER(N23),IF(N23&lt;=Tests_Tolerance*MAX(1,ABS(L23)),"PASS","FAIL"),"FAIL")</f>
        <v>PASS</v>
      </c>
      <c r="P23" s="130" t="s">
        <v>881</v>
      </c>
    </row>
    <row r="24" ht="20.100000000000001" customHeight="1" x14ac:dyDescent="0.25">
      <c r="C24" s="128" t="s">
        <v>548</v>
      </c>
      <c r="D24" s="24" t="s">
        <v>880</v>
      </c>
      <c r="E24" s="129">
        <v>-8</v>
      </c>
      <c r="L24" s="125">
        <f>_xlfn.NORM.S.DIST($E24,TRUE)</f>
        <v>6.220960574271819e-16</v>
      </c>
      <c r="M24" s="125" cm="1">
        <f t="array" ref="M24">SACCR_NormCDF($E24)</f>
        <v>6.220960520142784e-16</v>
      </c>
      <c r="N24" s="126">
        <f>IFERROR(ABS(M24-L24),"")</f>
        <v>5.4129035033506995e-24</v>
      </c>
      <c r="O24" s="127" t="str">
        <f>IF(ISNUMBER(N24),IF(N24&lt;=Tests_Tolerance*MAX(1,ABS(L24)),"PASS","FAIL"),"FAIL")</f>
        <v>PASS</v>
      </c>
      <c r="P24" s="130" t="s">
        <v>881</v>
      </c>
    </row>
    <row r="25" ht="20.100000000000001" customHeight="1" x14ac:dyDescent="0.25">
      <c r="C25" s="128" t="s">
        <v>550</v>
      </c>
      <c r="D25" s="24" t="s">
        <v>882</v>
      </c>
      <c r="E25" s="129">
        <v>-0.002</v>
      </c>
      <c r="F25" s="129">
        <v>0.001</v>
      </c>
      <c r="G25" s="129" t="b">
        <v>1</v>
      </c>
      <c r="L25" s="125">
        <f>IF($G25,MAX(0.001-MIN($E25,$F25),0),MAX(-(1+0.1)*MIN($E25,$F25),0))</f>
        <v>0.003</v>
      </c>
      <c r="M25" s="125" cm="1">
        <f t="array" ref="M25">SACCR_LambdaCRR($E25,$F25,$G25)</f>
        <v>0.003</v>
      </c>
      <c r="N25" s="126">
        <f>IFERROR(ABS(M25-L25),"")</f>
        <v>0.0</v>
      </c>
      <c r="O25" s="127" t="str">
        <f>IF(ISNUMBER(N25),IF(N25&lt;=Tests_Tolerance*MAX(1,ABS(L25)),"PASS","FAIL"),"FAIL")</f>
        <v>PASS</v>
      </c>
      <c r="P25" s="130" t="s">
        <v>883</v>
      </c>
    </row>
    <row r="26" ht="20.100000000000001" customHeight="1" x14ac:dyDescent="0.25">
      <c r="C26" s="128" t="s">
        <v>552</v>
      </c>
      <c r="D26" s="24" t="s">
        <v>882</v>
      </c>
      <c r="E26" s="129">
        <v>0.02</v>
      </c>
      <c r="F26" s="129">
        <v>0.03</v>
      </c>
      <c r="G26" s="129" t="b">
        <v>1</v>
      </c>
      <c r="L26" s="125">
        <f>IF($G26,MAX(0.001-MIN($E26,$F26),0),MAX(-(1+0.1)*MIN($E26,$F26),0))</f>
        <v>0</v>
      </c>
      <c r="M26" s="125" cm="1">
        <f t="array" ref="M26">SACCR_LambdaCRR($E26,$F26,$G26)</f>
        <v>0.0</v>
      </c>
      <c r="N26" s="126">
        <f>IFERROR(ABS(M26-L26),"")</f>
        <v>0.0</v>
      </c>
      <c r="O26" s="127" t="str">
        <f>IF(ISNUMBER(N26),IF(N26&lt;=Tests_Tolerance*MAX(1,ABS(L26)),"PASS","FAIL"),"FAIL")</f>
        <v>PASS</v>
      </c>
      <c r="P26" s="130" t="s">
        <v>883</v>
      </c>
    </row>
    <row r="27" ht="20.100000000000001" customHeight="1" x14ac:dyDescent="0.25">
      <c r="C27" s="128" t="s">
        <v>554</v>
      </c>
      <c r="D27" s="24" t="s">
        <v>882</v>
      </c>
      <c r="E27" s="129">
        <v>0.0005</v>
      </c>
      <c r="F27" s="129">
        <v>0.01</v>
      </c>
      <c r="G27" s="129" t="b">
        <v>1</v>
      </c>
      <c r="L27" s="125">
        <f>IF($G27,MAX(0.001-MIN($E27,$F27),0),MAX(-(1+0.1)*MIN($E27,$F27),0))</f>
        <v>0.0005</v>
      </c>
      <c r="M27" s="125" cm="1">
        <f t="array" ref="M27">SACCR_LambdaCRR($E27,$F27,$G27)</f>
        <v>0.0005</v>
      </c>
      <c r="N27" s="126">
        <f>IFERROR(ABS(M27-L27),"")</f>
        <v>0.0</v>
      </c>
      <c r="O27" s="127" t="str">
        <f>IF(ISNUMBER(N27),IF(N27&lt;=Tests_Tolerance*MAX(1,ABS(L27)),"PASS","FAIL"),"FAIL")</f>
        <v>PASS</v>
      </c>
      <c r="P27" s="130" t="s">
        <v>883</v>
      </c>
    </row>
    <row r="28" ht="20.100000000000001" customHeight="1" x14ac:dyDescent="0.25">
      <c r="C28" s="128" t="s">
        <v>556</v>
      </c>
      <c r="D28" s="24" t="s">
        <v>882</v>
      </c>
      <c r="E28" s="129">
        <v>-5</v>
      </c>
      <c r="F28" s="129">
        <v>-4</v>
      </c>
      <c r="G28" s="129" t="b">
        <v>0</v>
      </c>
      <c r="L28" s="125">
        <f>IF($G28,MAX(0.001-MIN($E28,$F28),0),MAX(-(1+0.1)*MIN($E28,$F28),0))</f>
        <v>5.5</v>
      </c>
      <c r="M28" s="125" cm="1">
        <f t="array" ref="M28">SACCR_LambdaCRR($E28,$F28,$G28)</f>
        <v>5.5</v>
      </c>
      <c r="N28" s="126">
        <f>IFERROR(ABS(M28-L28),"")</f>
        <v>0.0</v>
      </c>
      <c r="O28" s="127" t="str">
        <f>IF(ISNUMBER(N28),IF(N28&lt;=Tests_Tolerance*MAX(1,ABS(L28)),"PASS","FAIL"),"FAIL")</f>
        <v>PASS</v>
      </c>
      <c r="P28" s="130" t="s">
        <v>883</v>
      </c>
    </row>
    <row r="29" ht="20.100000000000001" customHeight="1" x14ac:dyDescent="0.25">
      <c r="C29" s="128" t="s">
        <v>558</v>
      </c>
      <c r="D29" s="24" t="s">
        <v>882</v>
      </c>
      <c r="E29" s="129">
        <v>40</v>
      </c>
      <c r="F29" s="129">
        <v>35</v>
      </c>
      <c r="G29" s="129" t="b">
        <v>0</v>
      </c>
      <c r="L29" s="125">
        <f>IF($G29,MAX(0.001-MIN($E29,$F29),0),MAX(-(1+0.1)*MIN($E29,$F29),0))</f>
        <v>0</v>
      </c>
      <c r="M29" s="125" cm="1">
        <f t="array" ref="M29">SACCR_LambdaCRR($E29,$F29,$G29)</f>
        <v>0.0</v>
      </c>
      <c r="N29" s="126">
        <f>IFERROR(ABS(M29-L29),"")</f>
        <v>0.0</v>
      </c>
      <c r="O29" s="127" t="str">
        <f>IF(ISNUMBER(N29),IF(N29&lt;=Tests_Tolerance*MAX(1,ABS(L29)),"PASS","FAIL"),"FAIL")</f>
        <v>PASS</v>
      </c>
      <c r="P29" s="130" t="s">
        <v>883</v>
      </c>
    </row>
  </sheetData>
  <dataValidations count="1">
    <dataValidation type="decimal" operator="between" allowBlank="0" showInputMessage="1" showErrorMessage="1" errorTitle="Invalid tolerance" error="Enter a percentage above 0% and at most 1%." promptTitle="Tolerance" prompt="Relative tolerance of every unit test, applied to max(1, |Expected|). Default 0.001%." sqref="D5">
      <formula1>0.0000000000000001</formula1>
      <formula2>0.01</formula2>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