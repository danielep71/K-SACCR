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TestCatalogue" sheetId="10" r:id="rId10"/>
    <sheet name="FormulaTest" sheetId="11" r:id="rId11"/>
    <sheet name="Basel_vs_CRR" sheetId="12" r:id="rId12"/>
  </sheets>
  <definedNames>
    <definedName name="_xlnm._FilterDatabase" localSheetId="11" hidden="1">Basel_vs_CRR!$C$5:$K$30</definedName>
    <definedName name="_xlnm._FilterDatabase" localSheetId="3" hidden="1">Trades!$C$4:$AB$69</definedName>
    <definedName name="Alpha">Params!$E$8</definedName>
    <definedName name="AsOfDate">Params!$E$6</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u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<sst xmlns="http://schemas.openxmlformats.org/spreadsheetml/2006/main" uniqueCount="916">
  <si>
    <t>K-SACCR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</si>
  <si>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</si>
  <si>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</si>
  <si>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</si>
  <si>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</si>
  <si>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</si>
  <si>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</si>
  <si>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</si>
  <si>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</si>
  <si>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</si>
  <si>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</si>
  <si>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</si>
  <si>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</si>
  <si>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</si>
  <si>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</si>
  <si>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</si>
  <si>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</si>
  <si>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</si>
  <si>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</si>
  <si>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</si>
  <si>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</si>
  <si>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</si>
  <si>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</si>
  <si>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</si>
  <si>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</si>
  <si>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</si>
  <si>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</si>
  <si>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</si>
  <si>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</si>
  <si>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</si>
  <si>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</si>
  <si>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</si>
  <si>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</si>
  <si>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</si>
  <si>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</si>
  <si>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</si>
  <si>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</si>
  <si>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</si>
  <si>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</si>
  <si>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</si>
  <si>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</si>
  <si>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</si>
  <si>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</si>
  <si>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</si>
  <si>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</si>
  <si>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</si>
  <si>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</si>
  <si>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</si>
  <si>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</si>
  <si>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</si>
  <si>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</si>
  <si>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</si>
  <si>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</si>
  <si>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</si>
  <si>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</si>
  <si>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</si>
  <si>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</si>
  <si>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</si>
  <si>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</si>
  <si>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</si>
  <si>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</si>
  <si>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</si>
  <si>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</si>
  <si>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</si>
  <si>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</si>
  <si>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</si>
  <si>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</si>
  <si>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</si>
  <si>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</si>
  <si>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</si>
  <si>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</si>
  <si>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</si>
  <si>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</si>
  <si>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</si>
  <si>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</si>
  <si>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</si>
  <si>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</si>
  <si>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</si>
  <si>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</si>
  <si>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</si>
  <si>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</si>
  <si>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</si>
  <si>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</si>
  <si>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</si>
  <si>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</si>
  <si>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</si>
  <si>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</si>
  <si>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</si>
  <si>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</si>
  <si>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</si>
  <si>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</si>
  <si>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</si>
  <si>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</si>
  <si>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</si>
  <si>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</si>
  <si>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</si>
  <si>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</si>
  <si>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</si>
  <si>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</si>
  <si>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</si>
  <si>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</si>
  <si>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</si>
  <si>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</si>
  <si>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</si>
  <si>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</si>
  <si>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</si>
  <si>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</si>
  <si>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</si>
  <si>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</si>
  <si>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</si>
  <si>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</si>
  <si>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</si>
  <si>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</si>
  <si>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</si>
  <si>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</si>
  <si>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</si>
  <si>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</si>
  <si>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</si>
  <si>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</si>
  <si>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</si>
  <si>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</si>
  <si>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</si>
  <si>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</si>
  <si>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</si>
  <si>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</si>
  <si>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</si>
  <si>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</si>
  <si>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</si>
  <si>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</si>
  <si>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</si>
  <si>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</si>
  <si>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</si>
  <si>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</si>
  <si>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</si>
  <si>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</si>
  <si>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</si>
  <si>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</si>
  <si>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</si>
  <si>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</si>
  <si>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</si>
  <si>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</si>
  <si>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</si>
  <si>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</si>
  <si>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</si>
  <si>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</si>
  <si>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</si>
  <si>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</si>
  <si>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</si>
  <si>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</si>
  <si>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</si>
  <si>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</si>
  <si>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</si>
  <si>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</si>
  <si>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</si>
  <si>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</si>
  <si>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</si>
  <si>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</si>
  <si>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</si>
  <si>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</si>
  <si>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</si>
  <si>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</si>
  <si>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</si>
  <si>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</si>
  <si>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</si>
  <si>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</si>
  <si>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</si>
  <si>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</si>
  <si>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</si>
  <si>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</si>
  <si>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</si>
  <si>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</si>
  <si>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</si>
  <si>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</si>
  <si>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</si>
  <si>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</si>
  <si>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</si>
  <si>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</si>
  <si>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</si>
  <si>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</si>
  <si>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</si>
  <si>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</si>
  <si>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</si>
  <si>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</si>
  <si>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</si>
  <si>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</si>
  <si>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</si>
  <si>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</si>
  <si>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</si>
  <si>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</si>
  <si>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</si>
  <si>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</si>
  <si>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</si>
  <si>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</si>
  <si>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</si>
  <si>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</si>
  <si>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</si>
  <si>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</si>
  <si>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</si>
  <si>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</si>
  <si>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</si>
  <si>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</si>
  <si>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</si>
  <si>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</si>
  <si>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</si>
  <si>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</si>
  <si>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</si>
  <si>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</si>
  <si>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</si>
  <si>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</si>
  <si>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</si>
  <si>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</si>
  <si>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</si>
  <si>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</si>
  <si>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</si>
  <si>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</si>
  <si>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</si>
  <si>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</si>
  <si>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</si>
  <si>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</si>
  <si>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</si>
  <si>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</si>
  <si>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</si>
  <si>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</si>
  <si>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</si>
  <si>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</si>
  <si>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</si>
  <si>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</si>
  <si>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</si>
  <si>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</si>
  <si>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</si>
  <si>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</si>
  <si>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</si>
  <si>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</si>
  <si>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</si>
  <si>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</si>
  <si>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</si>
  <si>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</si>
  <si>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</si>
  <si>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</si>
  <si>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</si>
  <si>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</si>
  <si>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</si>
  <si>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</si>
  <si>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</si>
  <si>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</si>
  <si>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</si>
  <si>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</si>
  <si>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</si>
  <si>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</si>
  <si>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</si>
  <si>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</si>
  <si>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</si>
  <si>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</si>
  <si>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</si>
  <si>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</si>
  <si>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</si>
  <si>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</si>
  <si>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</si>
  <si>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</si>
  <si>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</si>
  <si>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</si>
  <si>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</si>
  <si>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</si>
  <si>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</si>
  <si>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</si>
  <si>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</si>
  <si>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</si>
  <si>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</si>
  <si>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</si>
  <si>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</si>
  <si>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</si>
  <si>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</si>
  <si>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</si>
  <si>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</si>
  <si>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</si>
  <si>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</si>
  <si>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</si>
  <si>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</si>
  <si>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</si>
  <si>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</si>
  <si>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</si>
  <si>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</si>
  <si>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</si>
  <si>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</si>
  <si>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</si>
  <si>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</si>
  <si>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</si>
  <si>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</si>
  <si>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</si>
  <si>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</si>
  <si>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</si>
  <si>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</si>
  <si>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</si>
  <si>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</si>
  <si>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</si>
  <si>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</si>
  <si>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</si>
  <si>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</si>
  <si>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</si>
  <si>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</si>
  <si>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</si>
  <si>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</si>
  <si>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</si>
  <si>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</si>
  <si>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</si>
  <si>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</si>
  <si>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</si>
  <si>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</si>
  <si>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</si>
  <si>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</si>
  <si>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</si>
  <si>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</si>
  <si>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</si>
  <si>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</si>
  <si>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</si>
  <si>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</si>
  <si>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</si>
  <si>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</si>
  <si>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</si>
  <si>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</si>
  <si>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</si>
  <si>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</si>
  <si>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</si>
  <si>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</si>
  <si>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</si>
  <si>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</si>
  <si>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</si>
  <si>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</si>
  <si>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</si>
  <si>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</si>
  <si>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</si>
  <si>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</si>
  <si>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</si>
  <si>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</si>
  <si>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</si>
  <si>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</si>
  <si>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</si>
  <si>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</si>
  <si>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</si>
  <si>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</si>
  <si>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</si>
  <si>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</si>
  <si>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</si>
  <si>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</si>
  <si>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</si>
  <si>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</si>
  <si>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</si>
  <si>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</si>
  <si>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</si>
  <si>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</si>
  <si>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</si>
  <si>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</si>
  <si>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</si>
  <si>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</si>
  <si>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</si>
  <si>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</si>
  <si>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</si>
  <si>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</si>
  <si>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</si>
  <si>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</si>
  <si>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</si>
  <si>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</si>
  <si>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</si>
  <si>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</si>
  <si>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</si>
  <si>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</si>
  <si>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</si>
  <si>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</si>
  <si>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</si>
  <si>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</si>
  <si>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</si>
  <si>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</si>
  <si>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</si>
  <si>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</si>
  <si>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</si>
  <si>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</si>
  <si>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</si>
  <si>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</si>
  <si>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</si>
  <si>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</si>
  <si>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</si>
  <si>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</si>
  <si>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</si>
  <si>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</si>
  <si>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</si>
  <si>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</si>
  <si>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</si>
  <si>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</si>
  <si>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</si>
  <si>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</si>
  <si>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</si>
  <si>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</si>
  <si>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</si>
  <si>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</si>
  <si>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</si>
  <si>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</si>
  <si>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</si>
  <si>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</si>
  <si>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</si>
  <si>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</si>
  <si>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</si>
  <si>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</si>
  <si>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</si>
  <si>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</si>
  <si>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</si>
  <si>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</si>
  <si>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</si>
  <si>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</si>
  <si>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</si>
  <si>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</si>
  <si>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</si>
  <si>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</si>
  <si>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</si>
  <si>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</si>
  <si>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</si>
  <si>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</si>
  <si>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</si>
  <si>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</si>
  <si>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</si>
  <si>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</si>
  <si>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</si>
  <si>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</si>
  <si>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</si>
  <si>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</si>
  <si>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</si>
  <si>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</si>
  <si>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</si>
  <si>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</si>
  <si>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</si>
  <si>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</si>
  <si>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</si>
  <si>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</si>
  <si>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</si>
  <si>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</si>
  <si>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</si>
  <si>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</si>
  <si>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</si>
  <si>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</si>
  <si>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</si>
  <si>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</si>
  <si>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</si>
  <si>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</si>
  <si>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</si>
  <si>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</si>
  <si>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</si>
  <si>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</si>
  <si>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</si>
  <si>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</si>
  <si>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</si>
  <si>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</si>
  <si>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</si>
  <si>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</si>
  <si>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</si>
  <si>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</si>
  <si>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</si>
  <si>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</si>
  <si>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</si>
  <si>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</si>
  <si>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</si>
  <si>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</si>
  <si>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</si>
  <si>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</si>
  <si>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</si>
  <si>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</si>
  <si>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</si>
  <si>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</si>
  <si>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</si>
  <si>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</si>
  <si>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</si>
  <si>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</si>
  <si>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</si>
  <si>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</si>
  <si>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</si>
  <si>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</si>
  <si>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</si>
  <si>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</si>
  <si>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</si>
  <si>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</si>
  <si>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</si>
  <si>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</si>
  <si>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</si>
  <si>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</si>
  <si>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</si>
  <si>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</si>
  <si>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</si>
  <si>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</si>
  <si>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</si>
  <si>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</si>
  <si>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</si>
  <si>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</si>
  <si>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</si>
  <si>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</si>
  <si>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</si>
  <si>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</si>
  <si>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</si>
  <si>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</si>
  <si>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</si>
  <si>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</si>
  <si>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</si>
  <si>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</si>
  <si>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</si>
  <si>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</si>
  <si>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</si>
  <si>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</si>
  <si>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</si>
  <si>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</si>
  <si>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</si>
  <si>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</si>
  <si>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</si>
  <si>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</si>
  <si>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</si>
  <si>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</si>
  <si>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</si>
  <si>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</si>
  <si>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</si>
  <si>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</si>
  <si>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</si>
  <si>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</si>
  <si>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</si>
  <si>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</si>
  <si>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</si>
  <si>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</si>
  <si>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</si>
  <si>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</si>
  <si>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</si>
  <si>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</si>
  <si>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</si>
  <si>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</si>
  <si>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</si>
  <si>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</si>
  <si>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</si>
  <si>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</si>
  <si>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</si>
  <si>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</si>
  <si>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</si>
  <si>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</si>
  <si>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</si>
  <si>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</si>
  <si>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</si>
  <si>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</si>
  <si>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</si>
  <si>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</si>
  <si>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</si>
  <si>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</si>
  <si>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</si>
  <si>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</si>
  <si>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</si>
  <si>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</si>
  <si>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</si>
  <si>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</si>
  <si>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</si>
  <si>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</si>
  <si>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</si>
  <si>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</si>
  <si>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</si>
  <si>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</si>
  <si>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</si>
  <si>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</si>
  <si>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</si>
  <si>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</si>
  <si>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</si>
  <si>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</si>
  <si>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</si>
  <si>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</si>
  <si>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</si>
  <si>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</si>
  <si>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</si>
  <si>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</si>
  <si>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</si>
  <si>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</si>
  <si>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</si>
  <si>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</si>
  <si>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</si>
  <si>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</si>
  <si>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</si>
  <si>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</si>
  <si>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</si>
  <si>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</si>
  <si>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</si>
  <si>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</si>
  <si>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</si>
  <si>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</si>
  <si>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</si>
  <si>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</si>
  <si>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</si>
  <si>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</si>
  <si>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</si>
  <si>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</si>
  <si>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</si>
  <si>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</si>
  <si>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</si>
  <si>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</si>
  <si>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</si>
  <si>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</si>
  <si>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</si>
  <si>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</si>
  <si>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</si>
  <si>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</si>
  <si>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</si>
  <si>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</si>
  <si>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</si>
  <si>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</si>
  <si>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</si>
  <si>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</si>
  <si>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</si>
  <si>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</si>
  <si>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</si>
  <si>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</si>
  <si>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</si>
  <si>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</si>
  <si>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</si>
  <si>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</si>
  <si>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</si>
  <si>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</si>
  <si>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</si>
  <si>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</si>
  <si>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</si>
  <si>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</si>
  <si>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</si>
  <si>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</si>
  <si>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</si>
  <si>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</si>
  <si>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</si>
  <si>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</si>
  <si>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</si>
  <si>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</si>
  <si>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</si>
  <si>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</si>
  <si>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</si>
  <si>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</si>
  <si>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</si>
  <si>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</si>
  <si>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</si>
  <si>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</si>
  <si>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</si>
  <si>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</si>
  <si>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</si>
  <si>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</si>
  <si>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</si>
  <si>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</si>
  <si>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</si>
  <si>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</si>
  <si>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</si>
  <si>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</si>
  <si>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</si>
  <si>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</si>
  <si>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</si>
  <si>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</si>
  <si>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</si>
  <si>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</si>
  <si>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</si>
  <si>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</si>
  <si>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</si>
  <si>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</si>
  <si>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</si>
  <si>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</si>
  <si>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</si>
  <si>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</si>
  <si>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</si>
  <si>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</si>
  <si>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</si>
  <si>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</si>
  <si>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</si>
  <si>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</si>
  <si>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</si>
  <si>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</si>
  <si>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</si>
  <si>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</si>
  <si>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</si>
  <si>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</si>
  <si>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</si>
  <si>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</si>
  <si>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</si>
  <si>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</si>
  <si>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</si>
  <si>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</si>
  <si>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</si>
  <si>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</si>
  <si>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</si>
  <si>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</si>
  <si>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</si>
  <si>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</si>
  <si>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</si>
  <si>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</si>
  <si>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</si>
  <si>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</si>
  <si>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</si>
  <si>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</si>
  <si>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</si>
  <si>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</si>
  <si>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</si>
  <si>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</si>
  <si>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</si>
  <si>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</si>
  <si>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</si>
  <si>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</si>
  <si>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</si>
  <si>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</si>
  <si>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</si>
  <si>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</si>
  <si>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</si>
  <si>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</si>
  <si>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</si>
  <si>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</si>
  <si>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</si>
  <si>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</si>
  <si>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</si>
  <si>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</si>
  <si>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</si>
  <si>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</si>
  <si>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</si>
  <si>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</si>
  <si>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</si>
  <si>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</si>
  <si>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</si>
  <si>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</si>
  <si>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</si>
  <si>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</si>
  <si>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</si>
  <si>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</si>
  <si>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</si>
  <si>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</si>
  <si>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</si>
  <si>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</si>
  <si>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</si>
  <si>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</si>
  <si>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</si>
  <si>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</si>
  <si>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</si>
  <si>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</si>
  <si>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</si>
  <si>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</si>
  <si>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</si>
  <si>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</si>
  <si>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</si>
  <si>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</si>
  <si>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</si>
  <si>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</si>
  <si>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</si>
  <si>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</si>
  <si>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</si>
  <si>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</si>
  <si>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</si>
  <si>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</si>
  <si>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</si>
  <si>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</si>
  <si>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</si>
  <si>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</si>
  <si>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</si>
  <si>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</si>
  <si>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</si>
  <si>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</si>
  <si>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</si>
  <si>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</si>
  <si>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</si>
  <si>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</si>
  <si>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</si>
  <si>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</si>
  <si>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</si>
  <si>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</si>
  <si>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</si>
  <si>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</si>
  <si>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</si>
  <si>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</si>
  <si>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</si>
  <si>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</si>
  <si>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</si>
  <si>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</si>
  <si>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</si>
  <si>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</si>
  <si>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</si>
  <si>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</si>
  <si>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</si>
  <si>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</si>
  <si>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</si>
  <si>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</si>
  <si>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</si>
  <si>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</si>
  <si>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</si>
  <si>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</si>
  <si>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</si>
  <si>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</si>
  <si>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</si>
  <si>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</si>
  <si>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</si>
  <si>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</si>
  <si>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</si>
  <si>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</si>
  <si>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</si>
  <si>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</si>
  <si>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</si>
  <si>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</si>
  <si>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</si>
  <si>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</si>
  <si>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</si>
  <si>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</si>
  <si>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</si>
  <si>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</si>
  <si>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</si>
  <si>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</si>
  <si>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</si>
  <si>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</si>
  <si>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</si>
  <si>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</si>
  <si>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</si>
  <si>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</si>
  <si>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</si>
  <si>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</si>
  <si>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</si>
  <si>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</si>
  <si>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</si>
  <si>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</si>
  <si>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</si>
  <si>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</si>
  <si>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</si>
  <si>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</si>
  <si>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</si>
  <si>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</si>
  <si>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</si>
  <si>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</si>
  <si>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</si>
  <si>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</si>
  <si>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</si>
  <si>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</si>
  <si>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</si>
  <si>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</si>
  <si>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</si>
  <si>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</si>
  <si>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</si>
  <si>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</si>
  <si>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</si>
  <si>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</si>
  <si>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</si>
  <si>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</si>
  <si>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</si>
  <si>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</si>
  <si>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</si>
  <si>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</si>
  <si>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</si>
  <si>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</si>
  <si>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</si>
  <si>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</si>
  <si>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</si>
  <si>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</si>
  <si>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</si>
  <si>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</si>
  <si>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</si>
  <si>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</si>
  <si>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</si>
  <si>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</si>
  <si>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</si>
  <si>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</si>
  <si>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</si>
  <si>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</si>
  <si>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</si>
  <si>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</si>
  <si>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</si>
  <si>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</si>
  <si>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</si>
  <si>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</si>
  <si>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</si>
  <si>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</si>
  <si>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</si>
  <si>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</si>
  <si>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</si>
  <si>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</si>
  <si>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</si>
  <si>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</si>
  <si>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</si>
  <si>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</si>
  <si>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</si>
  <si>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</si>
  <si>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</si>
  <si>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</si>
  <si>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</si>
  <si>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</si>
  <si>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</si>
  <si>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</si>
  <si>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</si>
  <si>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</si>
  <si>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</si>
  <si>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</si>
  <si>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</si>
  <si>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</si>
  <si>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</si>
  <si>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</si>
  <si>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</si>
  <si>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</si>
  <si>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</si>
  <si>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</si>
  <si>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</si>
  <si>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</si>
  <si>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</si>
  <si>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</si>
  <si>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</si>
  <si>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</si>
  <si>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</si>
  <si>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</si>
  <si>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</si>
  <si>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</si>
  <si>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</si>
  <si>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"Validate inputs" only runs the checks;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</si>
  <si>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</si>
  <si>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 xml:space="preserve">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</si>
  <si>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</si>
  <si>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</si>
  <si>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</si>
  <si>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</si>
  <si>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</si>
  <si>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</si>
  <si>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</si>
  <si>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</si>
  <si>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</si>
  <si>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</si>
  <si>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</si>
  <si>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SACCR_Formulas (public SACCR_* functions), CORE_Config (layout constants), CORE_Util (helpers). No external references: no Scripting.Dictionary, no WorksheetFunction. Supported on Windows Excel 64-bit; 32-bit is kept compiling but not certified; Mac and Excel for the web are not supported.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</si>
</sst>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2">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4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4"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0" fontId="8" fillId="0" borderId="21" xfId="0" applyFont="1" applyBorder="1" applyAlignment="1">
      <alignment vertical="center" wrapText="1"/>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0"/>
  <sheetViews>
    <sheetView tabSelected="1"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outlineLevel="1">
      <c r="C6" s="134" t="s">
        <v>3</v>
      </c>
      <c r="D6" s="138" t="s">
        <v>4</v>
      </c>
    </row>
    <row r="7" spans="2:19" ht="30" customHeight="1" x14ac:dyDescent="0.25" outlineLevel="1">
      <c r="C7" s="135" t="s">
        <v>5</v>
      </c>
      <c r="D7" s="139" t="s">
        <v>6</v>
      </c>
    </row>
    <row r="8" spans="2:19" ht="34" customHeight="1" x14ac:dyDescent="0.25" outlineLevel="1">
      <c r="C8" s="135" t="s">
        <v>7</v>
      </c>
      <c r="D8" s="139" t="s">
        <v>899</v>
      </c>
    </row>
    <row r="9" spans="2:19" ht="34" customHeight="1" x14ac:dyDescent="0.25" outlineLevel="1">
      <c r="C9" s="135" t="s">
        <v>9</v>
      </c>
      <c r="D9" s="139" t="s">
        <v>900</v>
      </c>
    </row>
    <row r="10" spans="2:19" ht="30" customHeight="1" x14ac:dyDescent="0.25" outlineLevel="1">
      <c r="C10" s="135" t="s">
        <v>11</v>
      </c>
      <c r="D10" s="139" t="s">
        <v>901</v>
      </c>
    </row>
    <row r="11" spans="2:19" ht="30" customHeight="1" x14ac:dyDescent="0.25" outlineLevel="1">
      <c r="C11" s="135" t="s">
        <v>13</v>
      </c>
      <c r="D11" s="139" t="s">
        <v>14</v>
      </c>
    </row>
    <row r="12" spans="2:19" ht="30" customHeight="1" x14ac:dyDescent="0.25" outlineLevel="1">
      <c r="C12" s="136" t="s">
        <v>15</v>
      </c>
      <c r="D12" s="140" t="s">
        <v>16</v>
      </c>
    </row>
    <row r="13" spans="2:19" ht="9.9499999999999993" customHeight="1" x14ac:dyDescent="0.25">
      <c r="C13" s="35"/>
      <c r="D13" s="36"/>
    </row>
    <row r="14" spans="2:19" ht="30" customHeight="1" x14ac:dyDescent="0.25">
      <c r="C14" s="33" t="s">
        <v>17</v>
      </c>
      <c r="D14" s="37"/>
    </row>
    <row r="15" spans="2:19" ht="30" customHeight="1" x14ac:dyDescent="0.25" outlineLevel="1">
      <c r="C15" s="134" t="s">
        <v>18</v>
      </c>
      <c r="D15" s="138" t="s">
        <v>19</v>
      </c>
    </row>
    <row r="16" spans="2:19" ht="30" customHeight="1" x14ac:dyDescent="0.25" outlineLevel="1">
      <c r="C16" s="135" t="s">
        <v>20</v>
      </c>
      <c r="D16" s="139" t="s">
        <v>21</v>
      </c>
    </row>
    <row r="17" spans="3:4" ht="24" x14ac:dyDescent="0.25" outlineLevel="1">
      <c r="C17" s="135" t="s">
        <v>22</v>
      </c>
      <c r="D17" s="139" t="s">
        <v>801</v>
      </c>
    </row>
    <row r="18" spans="3:4" ht="34" customHeight="1" x14ac:dyDescent="0.25" outlineLevel="1">
      <c r="C18" s="135" t="s">
        <v>23</v>
      </c>
      <c r="D18" s="139" t="s">
        <v>902</v>
      </c>
    </row>
    <row r="19" spans="3:4" ht="30" customHeight="1" x14ac:dyDescent="0.25" outlineLevel="1">
      <c r="C19" s="135" t="s">
        <v>25</v>
      </c>
      <c r="D19" s="139" t="s">
        <v>26</v>
      </c>
    </row>
    <row r="20" spans="3:4" ht="30" customHeight="1" x14ac:dyDescent="0.25" outlineLevel="1">
      <c r="C20" s="135" t="s">
        <v>27</v>
      </c>
      <c r="D20" s="139" t="s">
        <v>28</v>
      </c>
    </row>
    <row r="21" spans="3:4" ht="30" customHeight="1" x14ac:dyDescent="0.25" outlineLevel="1">
      <c r="C21" s="136" t="s">
        <v>29</v>
      </c>
      <c r="D21" s="140" t="s">
        <v>30</v>
      </c>
    </row>
    <row r="22" spans="3:4" ht="9.9499999999999993" customHeight="1" x14ac:dyDescent="0.25">
      <c r="C22" s="35"/>
      <c r="D22" s="36"/>
    </row>
    <row r="23" spans="3:4" ht="30" customHeight="1" x14ac:dyDescent="0.25">
      <c r="C23" s="33" t="s">
        <v>31</v>
      </c>
      <c r="D23" s="133" t="str">
        <f>HYPERLINK("https://github.com/danielep71/VBA-SACCR-Toolkit/blob/main/docs/assets/SACCR_EAD_reference.svg","One-page reference card: all formulas and parameters (opens on GitHub)")</f>
        <v>One-page reference card: all formulas and parameters (opens on GitHub)</v>
      </c>
    </row>
    <row r="24" spans="3:4" ht="30" customHeight="1" x14ac:dyDescent="0.25" outlineLevel="1">
      <c r="C24" s="134" t="s">
        <v>32</v>
      </c>
      <c r="D24" s="138" t="s">
        <v>815</v>
      </c>
    </row>
    <row r="25" spans="3:4" ht="30" customHeight="1" x14ac:dyDescent="0.25" outlineLevel="1">
      <c r="C25" s="135" t="s">
        <v>33</v>
      </c>
      <c r="D25" s="139" t="s">
        <v>903</v>
      </c>
    </row>
    <row r="26" spans="3:4" ht="30" customHeight="1" x14ac:dyDescent="0.25" outlineLevel="1">
      <c r="C26" s="135" t="s">
        <v>35</v>
      </c>
      <c r="D26" s="139" t="s">
        <v>36</v>
      </c>
    </row>
    <row r="27" spans="3:4" ht="30" customHeight="1" x14ac:dyDescent="0.25" outlineLevel="1">
      <c r="C27" s="135" t="s">
        <v>37</v>
      </c>
      <c r="D27" s="139" t="s">
        <v>38</v>
      </c>
    </row>
    <row r="28" spans="3:4" ht="30" customHeight="1" x14ac:dyDescent="0.25" outlineLevel="1">
      <c r="C28" s="135" t="s">
        <v>39</v>
      </c>
      <c r="D28" s="139" t="s">
        <v>40</v>
      </c>
    </row>
    <row r="29" spans="3:4" ht="46" customHeight="1" x14ac:dyDescent="0.25" outlineLevel="1">
      <c r="C29" s="135" t="s">
        <v>41</v>
      </c>
      <c r="D29" s="139" t="s">
        <v>904</v>
      </c>
    </row>
    <row r="30" spans="3:4" ht="34" customHeight="1" x14ac:dyDescent="0.25" outlineLevel="1">
      <c r="C30" s="135" t="s">
        <v>42</v>
      </c>
      <c r="D30" s="139" t="s">
        <v>905</v>
      </c>
    </row>
    <row r="31" spans="3:4" ht="30" customHeight="1" x14ac:dyDescent="0.25" outlineLevel="1">
      <c r="C31" s="135" t="s">
        <v>43</v>
      </c>
      <c r="D31" s="139" t="s">
        <v>44</v>
      </c>
    </row>
    <row r="32" spans="3:4" ht="30" customHeight="1" x14ac:dyDescent="0.25" outlineLevel="1">
      <c r="C32" s="135" t="s">
        <v>45</v>
      </c>
      <c r="D32" s="139" t="s">
        <v>46</v>
      </c>
    </row>
    <row r="33" spans="3:4" ht="30" customHeight="1" x14ac:dyDescent="0.25" outlineLevel="1">
      <c r="C33" s="135" t="s">
        <v>47</v>
      </c>
      <c r="D33" s="139" t="s">
        <v>48</v>
      </c>
    </row>
    <row r="34" spans="3:4" ht="30" customHeight="1" x14ac:dyDescent="0.25" outlineLevel="1">
      <c r="C34" s="136" t="s">
        <v>49</v>
      </c>
      <c r="D34" s="140" t="s">
        <v>906</v>
      </c>
    </row>
    <row r="35" spans="3:4" ht="9.9499999999999993" customHeight="1" x14ac:dyDescent="0.25">
      <c r="C35" s="35"/>
      <c r="D35" s="36"/>
    </row>
    <row r="36" spans="3:4" ht="30" customHeight="1" x14ac:dyDescent="0.25">
      <c r="C36" s="33" t="s">
        <v>51</v>
      </c>
      <c r="D36" s="37"/>
    </row>
    <row r="37" spans="3:4" ht="30" customHeight="1" x14ac:dyDescent="0.25" outlineLevel="1">
      <c r="C37" s="134" t="s">
        <v>52</v>
      </c>
      <c r="D37" s="138" t="s">
        <v>53</v>
      </c>
    </row>
    <row r="38" spans="3:4" ht="30" customHeight="1" x14ac:dyDescent="0.25" outlineLevel="1">
      <c r="C38" s="135" t="s">
        <v>54</v>
      </c>
      <c r="D38" s="139" t="s">
        <v>55</v>
      </c>
    </row>
    <row r="39" spans="3:4" ht="30" customHeight="1" x14ac:dyDescent="0.25" outlineLevel="1">
      <c r="C39" s="135" t="s">
        <v>56</v>
      </c>
      <c r="D39" s="139" t="s">
        <v>57</v>
      </c>
    </row>
    <row r="40" spans="3:4" ht="30" customHeight="1" x14ac:dyDescent="0.25" outlineLevel="1">
      <c r="C40" s="135" t="s">
        <v>58</v>
      </c>
      <c r="D40" s="139" t="s">
        <v>907</v>
      </c>
    </row>
    <row r="41" spans="3:4" ht="30" customHeight="1" x14ac:dyDescent="0.25" outlineLevel="1">
      <c r="C41" s="135" t="s">
        <v>60</v>
      </c>
      <c r="D41" s="139" t="s">
        <v>61</v>
      </c>
    </row>
    <row r="42" spans="3:4" ht="30" customHeight="1" x14ac:dyDescent="0.25" outlineLevel="1">
      <c r="C42" s="135" t="s">
        <v>62</v>
      </c>
      <c r="D42" s="139" t="s">
        <v>63</v>
      </c>
    </row>
    <row r="43" spans="3:4" ht="30" customHeight="1" x14ac:dyDescent="0.25" outlineLevel="1">
      <c r="C43" s="135" t="s">
        <v>64</v>
      </c>
      <c r="D43" s="139" t="s">
        <v>65</v>
      </c>
    </row>
    <row r="44" spans="3:4" ht="30" customHeight="1" x14ac:dyDescent="0.25" outlineLevel="1">
      <c r="C44" s="135" t="s">
        <v>66</v>
      </c>
      <c r="D44" s="139" t="s">
        <v>67</v>
      </c>
    </row>
    <row r="45" spans="3:4" ht="30" customHeight="1" x14ac:dyDescent="0.25" outlineLevel="1">
      <c r="C45" s="135" t="s">
        <v>68</v>
      </c>
      <c r="D45" s="139" t="s">
        <v>69</v>
      </c>
    </row>
    <row r="46" spans="3:4" ht="30" customHeight="1" x14ac:dyDescent="0.25" outlineLevel="1">
      <c r="C46" s="135" t="s">
        <v>896</v>
      </c>
      <c r="D46" s="139" t="s">
        <v>71</v>
      </c>
    </row>
    <row r="47" spans="3:4" ht="30" customHeight="1" x14ac:dyDescent="0.25" outlineLevel="1">
      <c r="C47" s="136" t="s">
        <v>72</v>
      </c>
      <c r="D47" s="140" t="s">
        <v>73</v>
      </c>
    </row>
    <row r="48" spans="3:4" ht="9.9499999999999993" customHeight="1" x14ac:dyDescent="0.25">
      <c r="C48" s="35"/>
      <c r="D48" s="36"/>
    </row>
    <row r="49" spans="3:4" ht="30" customHeight="1" x14ac:dyDescent="0.25">
      <c r="C49" s="33" t="s">
        <v>74</v>
      </c>
      <c r="D49" s="37"/>
    </row>
    <row r="50" spans="3:4" ht="30" customHeight="1" x14ac:dyDescent="0.25" outlineLevel="1">
      <c r="C50" s="134" t="s">
        <v>908</v>
      </c>
      <c r="D50" s="138" t="s">
        <v>76</v>
      </c>
    </row>
    <row r="51" spans="3:4" ht="30" customHeight="1" x14ac:dyDescent="0.25" outlineLevel="1">
      <c r="C51" s="135" t="s">
        <v>909</v>
      </c>
      <c r="D51" s="139" t="s">
        <v>39</v>
      </c>
    </row>
    <row r="52" spans="3:4" ht="30" customHeight="1" x14ac:dyDescent="0.25" outlineLevel="1">
      <c r="C52" s="135" t="s">
        <v>78</v>
      </c>
      <c r="D52" s="139" t="s">
        <v>79</v>
      </c>
    </row>
    <row r="53" spans="3:4" ht="30" customHeight="1" x14ac:dyDescent="0.25" outlineLevel="1">
      <c r="C53" s="135" t="s">
        <v>80</v>
      </c>
      <c r="D53" s="139" t="s">
        <v>81</v>
      </c>
    </row>
    <row r="54" spans="3:4" ht="30" customHeight="1" x14ac:dyDescent="0.25" outlineLevel="1">
      <c r="C54" s="135" t="s">
        <v>82</v>
      </c>
      <c r="D54" s="139" t="s">
        <v>83</v>
      </c>
    </row>
    <row r="55" spans="3:4" ht="30" customHeight="1" x14ac:dyDescent="0.25" outlineLevel="1">
      <c r="C55" s="135" t="s">
        <v>910</v>
      </c>
      <c r="D55" s="139" t="s">
        <v>85</v>
      </c>
    </row>
    <row r="56" spans="3:4" ht="30" customHeight="1" x14ac:dyDescent="0.25" outlineLevel="1">
      <c r="C56" s="135" t="s">
        <v>86</v>
      </c>
      <c r="D56" s="139" t="s">
        <v>87</v>
      </c>
    </row>
    <row r="57" spans="3:4" ht="30" customHeight="1" x14ac:dyDescent="0.25" outlineLevel="1">
      <c r="C57" s="135" t="s">
        <v>911</v>
      </c>
      <c r="D57" s="139" t="s">
        <v>89</v>
      </c>
    </row>
    <row r="58" spans="3:4" ht="30" customHeight="1" x14ac:dyDescent="0.25" outlineLevel="1">
      <c r="C58" s="135" t="s">
        <v>90</v>
      </c>
      <c r="D58" s="139" t="s">
        <v>91</v>
      </c>
    </row>
    <row r="59" spans="3:4" ht="30" customHeight="1" x14ac:dyDescent="0.25" outlineLevel="1">
      <c r="C59" s="136" t="s">
        <v>92</v>
      </c>
      <c r="D59" s="140" t="s">
        <v>93</v>
      </c>
    </row>
    <row r="60" spans="3:4" ht="9.9499999999999993" customHeight="1" x14ac:dyDescent="0.25">
      <c r="C60" s="35"/>
      <c r="D60" s="36"/>
    </row>
    <row r="61" spans="3:4" ht="30" customHeight="1" x14ac:dyDescent="0.25">
      <c r="C61" s="33" t="s">
        <v>94</v>
      </c>
      <c r="D61" s="37"/>
    </row>
    <row r="62" spans="3:4" ht="46" customHeight="1" x14ac:dyDescent="0.25" outlineLevel="1">
      <c r="C62" s="134" t="s">
        <v>95</v>
      </c>
      <c r="D62" s="138" t="s">
        <v>912</v>
      </c>
    </row>
    <row r="63" spans="3:4" ht="30" customHeight="1" x14ac:dyDescent="0.25" outlineLevel="1">
      <c r="C63" s="135" t="s">
        <v>805</v>
      </c>
      <c r="D63" s="139" t="s">
        <v>804</v>
      </c>
    </row>
    <row r="64" spans="3:4" ht="30" customHeight="1" x14ac:dyDescent="0.25" outlineLevel="1">
      <c r="C64" s="135" t="s">
        <v>96</v>
      </c>
      <c r="D64" s="139" t="s">
        <v>817</v>
      </c>
    </row>
    <row r="65" spans="3:4" ht="30" customHeight="1" x14ac:dyDescent="0.25" outlineLevel="1">
      <c r="C65" s="135" t="s">
        <v>97</v>
      </c>
      <c r="D65" s="139" t="s">
        <v>913</v>
      </c>
    </row>
    <row r="66" spans="3:4" ht="30" customHeight="1" x14ac:dyDescent="0.25" outlineLevel="1">
      <c r="C66" s="135" t="s">
        <v>98</v>
      </c>
      <c r="D66" s="139" t="s">
        <v>99</v>
      </c>
    </row>
    <row r="67" spans="3:4" ht="34" customHeight="1" x14ac:dyDescent="0.25" outlineLevel="1">
      <c r="C67" s="136" t="s">
        <v>100</v>
      </c>
      <c r="D67" s="140" t="s">
        <v>914</v>
      </c>
    </row>
    <row r="68" spans="3:4" ht="9.9499999999999993" customHeight="1" x14ac:dyDescent="0.25">
      <c r="C68" s="35"/>
      <c r="D68" s="36"/>
    </row>
    <row r="69" spans="3:4" ht="30" customHeight="1" x14ac:dyDescent="0.25">
      <c r="C69" s="33" t="s">
        <v>102</v>
      </c>
      <c r="D69" s="37"/>
    </row>
    <row r="70" spans="3:4" ht="34" customHeight="1" x14ac:dyDescent="0.25" outlineLevel="1">
      <c r="C70" s="137" t="s">
        <v>103</v>
      </c>
      <c r="D70" s="141" t="s">
        <v>915</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