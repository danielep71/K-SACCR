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<sst xmlns="http://schemas.openxmlformats.org/spreadsheetml/2006/main" uniqueCount="898">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</sst>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514</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26">
        <f>IFERROR(ABS(M7-L7),"")</f>
        <v>0.0</v>
      </c>
      <c r="O7" s="127" t="str">
        <f>IF(ISNUMBER(N7),IF(N7&lt;=FormulaTest_Tolerance*MAX(1,ABS(L7)),"PASS","FAIL"),"FAIL")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26">
        <f>IFERROR(ABS(M8-L8),"")</f>
        <v>0.0</v>
      </c>
      <c r="O8" s="127" t="str">
        <f>IF(ISNUMBER(N8),IF(N8&lt;=FormulaTest_Tolerance*MAX(1,ABS(L8)),"PASS","FAIL"),"FAIL")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26">
        <f>IFERROR(ABS(M9-L9),"")</f>
        <v>0.0</v>
      </c>
      <c r="O9" s="127" t="str">
        <f>IF(ISNUMBER(N9),IF(N9&lt;=FormulaTest_Tolerance*MAX(1,ABS(L9)),"PASS","FAIL"),"FAIL")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26">
        <f>IFERROR(ABS(M10-L10),"")</f>
        <v>0.0</v>
      </c>
      <c r="O10" s="127" t="str">
        <f>IF(ISNUMBER(N10),IF(N10&lt;=FormulaTest_Tolerance*MAX(1,ABS(L10)),"PASS","FAIL"),"FAIL")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26">
        <f>IFERROR(ABS(M11-L11),"")</f>
        <v>0.0</v>
      </c>
      <c r="O11" s="127" t="str">
        <f>IF(ISNUMBER(N11),IF(N11&lt;=FormulaTest_Tolerance*MAX(1,ABS(L11)),"PASS","FAIL"),"FAIL")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26">
        <f>IFERROR(ABS(M12-L12),"")</f>
        <v>0.0</v>
      </c>
      <c r="O12" s="127" t="str">
        <f>IF(ISNUMBER(N12),IF(N12&lt;=FormulaTest_Tolerance*MAX(1,ABS(L12)),"PASS","FAIL"),"FAIL")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26">
        <f>IFERROR(ABS(M13-L13),"")</f>
        <v>0.0</v>
      </c>
      <c r="O13" s="127" t="str">
        <f>IF(ISNUMBER(N13),IF(N13&lt;=FormulaTest_Tolerance*MAX(1,ABS(L13)),"PASS","FAIL"),"FAIL")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26">
        <f>IFERROR(ABS(M14-L14),"")</f>
        <v>0.0</v>
      </c>
      <c r="O14" s="127" t="str">
        <f>IF(ISNUMBER(N14),IF(N14&lt;=FormulaTest_Tolerance*MAX(1,ABS(L14)),"PASS","FAIL"),"FAIL")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26">
        <f>IFERROR(ABS(M15-L15),"")</f>
        <v>0.0</v>
      </c>
      <c r="O15" s="127" t="str">
        <f>IF(ISNUMBER(N15),IF(N15&lt;=FormulaTest_Tolerance*MAX(1,ABS(L15)),"PASS","FAIL"),"FAIL")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26">
        <f>IFERROR(ABS(M16-L16),"")</f>
        <v>8.881784197001252e-16</v>
      </c>
      <c r="O16" s="127" t="str">
        <f>IF(ISNUMBER(N16),IF(N16&lt;=FormulaTest_Tolerance*MAX(1,ABS(L16)),"PASS","FAIL"),"FAIL")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26">
        <f>IFERROR(ABS(M17-L17),"")</f>
        <v>0.0</v>
      </c>
      <c r="O17" s="127" t="str">
        <f>IF(ISNUMBER(N17),IF(N17&lt;=FormulaTest_Tolerance*MAX(1,ABS(L17)),"PASS","FAIL"),"FAIL")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26">
        <f>IFERROR(ABS(M18-L18),"")</f>
        <v>0.0</v>
      </c>
      <c r="O18" s="127" t="str">
        <f>IF(ISNUMBER(N18),IF(N18&lt;=FormulaTest_Tolerance*MAX(1,ABS(L18)),"PASS","FAIL"),"FAIL")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26">
        <f>IFERROR(ABS(M19-L19),"")</f>
        <v>0.0</v>
      </c>
      <c r="O19" s="127" t="str">
        <f>IF(ISNUMBER(N19),IF(N19&lt;=FormulaTest_Tolerance*MAX(1,ABS(L19)),"PASS","FAIL"),"FAIL")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26">
        <f>IFERROR(ABS(M20-L20),"")</f>
        <v>0.0</v>
      </c>
      <c r="O20" s="127" t="str">
        <f>IF(ISNUMBER(N20),IF(N20&lt;=FormulaTest_Tolerance*MAX(1,ABS(L20)),"PASS","FAIL"),"FAIL")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26">
        <f>IFERROR(ABS(M21-L21),"")</f>
        <v>0.0</v>
      </c>
      <c r="O21" s="127" t="str">
        <f>IF(ISNUMBER(N21),IF(N21&lt;=FormulaTest_Tolerance*MAX(1,ABS(L21)),"PASS","FAIL"),"FAIL")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26">
        <f>IFERROR(ABS(M22-L22),"")</f>
        <v>0.0</v>
      </c>
      <c r="O22" s="127" t="str">
        <f>IF(ISNUMBER(N22),IF(N22&lt;=FormulaTest_Tolerance*MAX(1,ABS(L22)),"PASS","FAIL"),"FAIL")</f>
        <v>PASS</v>
      </c>
      <c r="P22" s="130" t="s">
        <v>881</v>
      </c>
    </row>
    <row r="23" ht="20.100000000000001" customHeight="1" x14ac:dyDescent="0.25">
      <c r="C23" s="128" t="s">
        <v>548</v>
      </c>
      <c r="D23" s="24" t="s">
        <v>880</v>
      </c>
      <c r="E23" s="129">
        <v>-8</v>
      </c>
      <c r="L23" s="125">
        <f>_xlfn.NORM.S.DIST($E23,TRUE)</f>
        <v>6.220960574271819e-16</v>
      </c>
      <c r="M23" s="125" cm="1">
        <f t="array" ref="M23">SACCR_NormCDF($E23)</f>
        <v>6.220960520142784e-16</v>
      </c>
      <c r="N23" s="126">
        <f>IFERROR(ABS(M23-L23),"")</f>
        <v>5.4129035033506995e-24</v>
      </c>
      <c r="O23" s="127" t="str">
        <f>IF(ISNUMBER(N23),IF(N23&lt;=FormulaTest_Tolerance*MAX(1,ABS(L23)),"PASS","FAIL"),"FAIL")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26">
        <f>IFERROR(ABS(M24-L24),"")</f>
        <v>0.0</v>
      </c>
      <c r="O24" s="127" t="str">
        <f>IF(ISNUMBER(N24),IF(N24&lt;=FormulaTest_Tolerance*MAX(1,ABS(L24)),"PASS","FAIL"),"FAIL")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26">
        <f>IFERROR(ABS(M25-L25),"")</f>
        <v>0.0</v>
      </c>
      <c r="O25" s="127" t="str">
        <f>IF(ISNUMBER(N25),IF(N25&lt;=FormulaTest_Tolerance*MAX(1,ABS(L25)),"PASS","FAIL"),"FAIL")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26">
        <f>IFERROR(ABS(M26-L26),"")</f>
        <v>0.0</v>
      </c>
      <c r="O26" s="127" t="str">
        <f>IF(ISNUMBER(N26),IF(N26&lt;=FormulaTest_Tolerance*MAX(1,ABS(L26)),"PASS","FAIL"),"FAIL")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26">
        <f>IFERROR(ABS(M27-L27),"")</f>
        <v>0.0</v>
      </c>
      <c r="O27" s="127" t="str">
        <f>IF(ISNUMBER(N27),IF(N27&lt;=FormulaTest_Tolerance*MAX(1,ABS(L27)),"PASS","FAIL"),"FAIL")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26">
        <f>IFERROR(ABS(M28-L28),"")</f>
        <v>0.0</v>
      </c>
      <c r="O28" s="127" t="str">
        <f>IF(ISNUMBER(N28),IF(N28&lt;=FormulaTest_Tolerance*MAX(1,ABS(L28)),"PASS","FAIL"),"FAIL")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pplied to max(1, |Expected|). Default 0.001%. Below about 0.00000000000001%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