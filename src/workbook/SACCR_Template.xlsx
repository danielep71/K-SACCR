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drawings/drawing5.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Basel_vs_CRR!$C$5:$K$33</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<sst xmlns="http://schemas.openxmlformats.org/spreadsheetml/2006/main" count="7951" uniqueCount="954">
  <si>
    <t>K-SACCR</t>
  </si>
  <si>
    <t>Standardised approach for counterparty credit risk under EU CRR (Art. 274-280f), the default, and Basel CRE52, chosen per netting set.</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</si>
  <si>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</si>
  <si>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</si>
  <si>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</si>
  <si>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</si>
  <si>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</si>
  <si>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</si>
  <si>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</si>
  <si>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</si>
  <si>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</si>
  <si>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</si>
  <si>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</si>
  <si>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</si>
  <si>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</si>
  <si>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</si>
  <si>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</si>
  <si>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</si>
  <si>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</si>
  <si>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</si>
  <si>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</si>
  <si>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</si>
  <si>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</si>
  <si>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</si>
  <si>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</si>
  <si>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</si>
  <si>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</si>
  <si>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</si>
  <si>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</si>
  <si>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</si>
  <si>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</si>
  <si>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</si>
  <si>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</si>
  <si>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</si>
  <si>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</si>
  <si>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</si>
  <si>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</si>
  <si>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</si>
  <si>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</si>
  <si>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</si>
  <si>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</si>
  <si>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</si>
  <si>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</si>
  <si>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</si>
  <si>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</si>
  <si>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</si>
  <si>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</si>
  <si>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</si>
  <si>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</si>
  <si>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</si>
  <si>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</si>
  <si>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</si>
  <si>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</si>
  <si>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</si>
  <si>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</si>
  <si>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</si>
  <si>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</si>
  <si>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</si>
  <si>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</si>
  <si>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</si>
  <si>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</si>
  <si>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</si>
  <si>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</si>
  <si>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</si>
  <si>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</si>
  <si>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</si>
  <si>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</si>
  <si>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</si>
  <si>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</si>
  <si>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</si>
  <si>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</si>
  <si>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</si>
  <si>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</si>
  <si>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</si>
  <si>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</si>
  <si>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</si>
  <si>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</si>
  <si>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</si>
  <si>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</si>
  <si>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</si>
  <si>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</si>
  <si>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</si>
  <si>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</si>
  <si>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</si>
  <si>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</si>
  <si>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</si>
  <si>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</si>
  <si>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</si>
  <si>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</si>
  <si>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</si>
  <si>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</si>
  <si>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</si>
  <si>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</si>
  <si>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</si>
  <si>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</si>
  <si>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</si>
  <si>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</si>
  <si>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</si>
  <si>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</si>
  <si>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</si>
  <si>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</si>
  <si>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</si>
  <si>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</si>
  <si>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</si>
  <si>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</si>
  <si>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</si>
  <si>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</si>
  <si>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</si>
  <si>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</si>
  <si>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</si>
  <si>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</si>
  <si>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</si>
  <si>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</si>
  <si>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</si>
  <si>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</si>
  <si>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</si>
  <si>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</si>
  <si>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</si>
  <si>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</si>
  <si>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</si>
  <si>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</si>
  <si>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</si>
  <si>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</si>
  <si>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</si>
  <si>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</si>
  <si>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</si>
  <si>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</si>
  <si>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</si>
  <si>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</si>
  <si>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</si>
  <si>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</si>
  <si>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</si>
  <si>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</si>
  <si>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</si>
  <si>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</si>
  <si>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</si>
  <si>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</si>
  <si>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</si>
  <si>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</si>
  <si>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</si>
  <si>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</si>
  <si>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</si>
  <si>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</si>
  <si>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</si>
  <si>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</si>
  <si>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</si>
  <si>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</si>
  <si>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</si>
  <si>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</si>
  <si>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</si>
  <si>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</si>
  <si>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</si>
  <si>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</si>
  <si>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</si>
  <si>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</si>
  <si>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</si>
  <si>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</si>
  <si>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</si>
  <si>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</si>
  <si>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</si>
  <si>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</si>
  <si>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</si>
  <si>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</si>
  <si>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</si>
  <si>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</si>
  <si>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</si>
  <si>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</si>
  <si>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</si>
  <si>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</si>
  <si>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</si>
  <si>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</si>
  <si>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</si>
  <si>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</si>
  <si>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</si>
  <si>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</si>
  <si>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</si>
  <si>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</si>
  <si>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</si>
  <si>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</si>
  <si>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</si>
  <si>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</si>
  <si>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</si>
  <si>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</si>
  <si>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</si>
  <si>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</si>
  <si>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</si>
  <si>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</si>
  <si>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</si>
  <si>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</si>
  <si>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</si>
  <si>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</si>
  <si>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</si>
  <si>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</si>
  <si>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</si>
  <si>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</si>
  <si>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</si>
  <si>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</si>
  <si>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</si>
  <si>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</si>
  <si>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</si>
  <si>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</si>
  <si>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</si>
  <si>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</si>
  <si>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</si>
  <si>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</si>
  <si>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</si>
  <si>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</si>
  <si>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</si>
  <si>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</si>
  <si>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</si>
  <si>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</si>
  <si>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</si>
  <si>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</si>
  <si>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</si>
  <si>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</si>
  <si>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</si>
  <si>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</si>
  <si>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</si>
  <si>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</si>
  <si>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</si>
  <si>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</si>
  <si>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</si>
  <si>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</si>
  <si>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</si>
  <si>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</si>
  <si>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</si>
  <si>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</si>
  <si>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</si>
  <si>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</si>
  <si>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</si>
  <si>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</si>
  <si>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</si>
  <si>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</si>
  <si>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</si>
  <si>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</si>
  <si>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</si>
  <si>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</si>
  <si>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</si>
  <si>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</si>
  <si>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</si>
  <si>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</si>
  <si>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</si>
  <si>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</si>
  <si>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</si>
  <si>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</si>
  <si>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</si>
  <si>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</si>
  <si>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</si>
  <si>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</si>
  <si>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</si>
  <si>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</si>
  <si>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</si>
  <si>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</si>
  <si>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</si>
  <si>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</si>
  <si>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</si>
  <si>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</si>
  <si>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</si>
  <si>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</si>
  <si>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</si>
  <si>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</si>
  <si>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</si>
  <si>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</si>
  <si>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</si>
  <si>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</si>
  <si>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</si>
  <si>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</si>
  <si>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</si>
  <si>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</si>
  <si>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</si>
  <si>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</si>
  <si>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</si>
  <si>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</si>
  <si>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</si>
  <si>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</si>
  <si>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</si>
  <si>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</si>
  <si>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</si>
  <si>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</si>
  <si>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</si>
  <si>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</si>
  <si>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</si>
  <si>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</si>
  <si>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</si>
  <si>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</si>
  <si>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</si>
  <si>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</si>
  <si>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</si>
  <si>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</si>
  <si>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</si>
  <si>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</si>
  <si>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</si>
  <si>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</si>
  <si>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</si>
  <si>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</si>
  <si>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</si>
  <si>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</si>
  <si>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</si>
  <si>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</si>
  <si>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</si>
  <si>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</si>
  <si>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</si>
  <si>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</si>
  <si>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</si>
  <si>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</si>
  <si>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</si>
  <si>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</si>
  <si>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</si>
  <si>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</si>
  <si>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</si>
  <si>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</si>
  <si>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</si>
  <si>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</si>
  <si>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</si>
  <si>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</si>
  <si>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</si>
  <si>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</si>
  <si>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</si>
  <si>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</si>
  <si>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</si>
  <si>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</si>
  <si>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</si>
  <si>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</si>
  <si>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</si>
  <si>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</si>
  <si>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</si>
  <si>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</si>
  <si>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</si>
  <si>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</si>
  <si>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</si>
  <si>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</si>
  <si>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</si>
  <si>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</si>
  <si>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</si>
  <si>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</si>
  <si>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</si>
  <si>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</si>
  <si>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</si>
  <si>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</si>
  <si>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</si>
  <si>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</si>
  <si>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</si>
  <si>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</si>
  <si>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</si>
  <si>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</si>
  <si>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</si>
  <si>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</si>
  <si>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</si>
  <si>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</si>
  <si>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</si>
  <si>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</si>
  <si>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</si>
  <si>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</si>
  <si>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</si>
  <si>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</si>
  <si>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</si>
  <si>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</si>
  <si>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</si>
  <si>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</si>
  <si>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</si>
  <si>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</si>
  <si>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</si>
  <si>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</si>
  <si>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</si>
  <si>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</si>
  <si>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</si>
  <si>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</si>
  <si>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</si>
  <si>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</si>
  <si>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</si>
  <si>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</si>
  <si>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</si>
  <si>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</si>
  <si>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</si>
  <si>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</si>
  <si>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</si>
  <si>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</si>
  <si>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</si>
  <si>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</si>
  <si>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</si>
  <si>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</si>
  <si>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</si>
  <si>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</si>
  <si>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</si>
  <si>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</si>
  <si>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</si>
  <si>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</si>
  <si>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</si>
  <si>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</si>
  <si>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</si>
  <si>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</si>
  <si>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</si>
  <si>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</si>
  <si>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</si>
  <si>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</si>
  <si>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</si>
  <si>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</si>
  <si>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</si>
  <si>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</si>
  <si>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</si>
  <si>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</si>
  <si>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</si>
  <si>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</si>
  <si>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</si>
  <si>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</si>
  <si>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</si>
  <si>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</si>
  <si>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</si>
  <si>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</si>
  <si>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</si>
  <si>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</si>
  <si>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</si>
  <si>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</si>
  <si>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</si>
  <si>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</si>
  <si>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</si>
  <si>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</si>
  <si>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</si>
  <si>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</si>
  <si>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</si>
  <si>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</si>
  <si>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</si>
  <si>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</si>
  <si>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</si>
  <si>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</si>
  <si>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</si>
  <si>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</si>
  <si>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</si>
  <si>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</si>
  <si>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</si>
  <si>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</si>
  <si>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</si>
  <si>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</si>
  <si>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</si>
  <si>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</si>
  <si>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</si>
  <si>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</si>
  <si>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</si>
  <si>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</si>
  <si>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</si>
  <si>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</si>
  <si>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</si>
  <si>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</si>
  <si>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</si>
  <si>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</si>
  <si>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</si>
  <si>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</si>
  <si>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</si>
  <si>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</si>
  <si>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</si>
  <si>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</si>
  <si>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</si>
  <si>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</si>
  <si>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</si>
  <si>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</si>
  <si>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</si>
  <si>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</si>
  <si>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</si>
  <si>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</si>
  <si>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</si>
  <si>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</si>
  <si>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</si>
  <si>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</si>
  <si>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</si>
  <si>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</si>
  <si>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</si>
  <si>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</si>
  <si>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</si>
  <si>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</si>
  <si>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</si>
  <si>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</si>
  <si>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</si>
  <si>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</si>
  <si>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</si>
  <si>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</si>
  <si>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</si>
  <si>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</si>
  <si>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</si>
  <si>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</si>
  <si>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</si>
  <si>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</si>
  <si>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</si>
  <si>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</si>
  <si>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</si>
  <si>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</si>
  <si>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</si>
  <si>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</si>
  <si>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</si>
  <si>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</si>
  <si>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</si>
  <si>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</si>
  <si>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</si>
  <si>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</si>
  <si>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</si>
  <si>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</si>
  <si>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</si>
  <si>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</si>
  <si>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</si>
  <si>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</si>
  <si>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</si>
  <si>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</si>
  <si>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</si>
  <si>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</si>
  <si>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</si>
  <si>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</si>
  <si>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</si>
  <si>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</si>
  <si>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</si>
  <si>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</si>
  <si>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</si>
  <si>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</si>
  <si>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</si>
  <si>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</si>
  <si>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</si>
  <si>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</si>
  <si>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</si>
  <si>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</si>
  <si>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</si>
  <si>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</si>
  <si>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</si>
  <si>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</si>
  <si>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</si>
  <si>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</si>
  <si>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</si>
  <si>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</si>
  <si>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</si>
  <si>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</si>
  <si>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</si>
  <si>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</si>
  <si>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</si>
  <si>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</si>
  <si>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</si>
  <si>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</si>
  <si>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</si>
  <si>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</si>
  <si>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</si>
  <si>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</si>
  <si>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</si>
  <si>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</si>
  <si>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</si>
  <si>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</si>
  <si>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</si>
  <si>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</si>
  <si>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</si>
  <si>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</si>
  <si>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</si>
  <si>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</si>
  <si>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</si>
  <si>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</si>
  <si>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</si>
  <si>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</si>
  <si>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</si>
  <si>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</si>
  <si>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</si>
  <si>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</si>
  <si>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</si>
  <si>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</si>
  <si>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</si>
  <si>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</si>
  <si>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</si>
  <si>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</si>
  <si>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</si>
  <si>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</si>
  <si>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</si>
  <si>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</si>
  <si>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</si>
  <si>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</si>
  <si>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</si>
  <si>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</si>
  <si>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</si>
  <si>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</si>
  <si>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</si>
  <si>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</si>
  <si>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</si>
  <si>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</si>
  <si>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</si>
  <si>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</si>
  <si>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</si>
  <si>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</si>
  <si>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</si>
  <si>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separate unreviewed calculation</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</si>
  <si>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</si>
  <si>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</si>
  <si>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</si>
  <si>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</si>
  <si>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</si>
  <si>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</si>
  <si>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</si>
  <si>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</si>
  <si>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</si>
  <si>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</si>
  <si>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</si>
  <si>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</si>
  <si>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</si>
  <si>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</si>
  <si>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</si>
  <si>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checked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</si>
  <si>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</si>
  <si>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</si>
  <si>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</si>
  <si>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</si>
  <si>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</si>
  <si>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</si>
  <si>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</si>
  <si>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</si>
  <si>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</si>
  <si>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</si>
  <si>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</si>
  <si>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</si>
  <si>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</si>
  <si>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</si>
  <si>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</si>
  <si>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</si>
  <si>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</si>
  <si>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</si>
  <si>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</si>
  <si>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</si>
  <si>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</si>
  <si>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</si>
  <si>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</si>
  <si>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</si>
  <si>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</si>
  <si>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</si>
  <si>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</si>
  <si>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</si>
  <si>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</si>
  <si>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</si>
  <si>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</si>
  <si>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</si>
  <si>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</si>
  <si>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separate unreviewed calculation, not published - a regression anchor, not validation.</t>
  </si>
  <si>
    <t>Engineering scenarios after EBA Q&amp;A 2022_6354 (rejected) reproduce its pattern only; the decisive rule is the final Q&amp;A 2023_6962. The EBA swaption figures of T19 (~483 / ~761) are cited, not taken from a checked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</si>
  <si>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</si>
  <si>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</si>
  <si>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</si>
  <si>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</si>
  <si>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</si>
  <si>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</si>
  <si>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</si>
  <si>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</si>
  <si>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 (text, not numerical validation)</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</si>
  <si>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</si>
  <si>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</si>
  <si>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</si>
  <si>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</si>
  <si>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</si>
  <si>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</si>
  <si>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</si>
  <si>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</si>
  <si>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</si>
  <si>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</si>
  <si>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</si>
  <si>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</si>
  <si>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</si>
  <si>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</si>
  <si>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</si>
  <si>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</si>
  <si>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</si>
  <si>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</si>
  <si>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</si>
  <si>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</si>
  <si>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</si>
  <si>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</si>
  <si>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</si>
  <si>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</si>
  <si>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</si>
  <si>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</si>
  <si>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</si>
  <si>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</si>
  <si>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</si>
  <si>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</si>
  <si>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</si>
  <si>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</si>
  <si>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</si>
  <si>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</si>
  <si>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</si>
  <si>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</si>
  <si>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</si>
  <si>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</si>
  <si>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</si>
  <si>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</si>
  <si>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</si>
  <si>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</si>
  <si>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</si>
  <si>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</si>
  <si>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</si>
  <si>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</si>
  <si>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</si>
  <si>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</si>
  <si>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</si>
  <si>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</si>
  <si>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</si>
  <si>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</si>
  <si>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</si>
  <si>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</si>
  <si>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</si>
  <si>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</si>
  <si>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</si>
  <si>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</si>
  <si>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IR options where P or K is zero or negative: shift price and strike by lambda, the presumed lowest extent to which rates in that currency can become negative, the same for all IR options in the currency; supervisors may recommend it per currency, banks may use lower values [CRE52.40 FAQ2]. No shift is defined for other options.</t>
  </si>
  <si>
    <t>Delegated Reg. 2021/931 Art. 5 (am. 2025/855), per option: IR lambda = max(0.10% - min(P,K); 0); commodity lambda = max(-(1 + 0.1) x min(P,K); 0).</t>
  </si>
  <si>
    <t>Delta differs when P or K is near or below zero</t>
  </si>
  <si>
    <t>CRR IR and commodity options: the RTS lambda is computed; a different value entered is ignored with a warning. BCBS IR options: lambda is entered per trade; using one value per currency is the user's and is not checked. Other options, both regimes: an entered lambda is accepted as a technical shift, not a CRE52 or CRR rule. Rejected if P + lambda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</si>
  <si>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</si>
  <si>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</si>
  <si>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</si>
  <si>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</si>
  <si>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</si>
  <si>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</si>
  <si>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</si>
  <si>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</si>
  <si>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</si>
  <si>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</si>
  <si>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 / 6.0% [Art. 280c(5), Table 3]; unrated issuer: internal rating mapped to a step, or 0.54% (1.6% where Art. 128 applies) [Art. 280c(5)(a)]. Multi-name: an index listed on a recognised exchange takes 0.38% or 1.06% by the credit quality of most constituents [Table 4]; any other multi-name position the notional-weighted average of its constituents' factors [Art. 280c(5)(b)].</t>
  </si>
  <si>
    <t>Same values, different mapping</t>
  </si>
  <si>
    <t>Unrated names; unlisted multi-name positions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</si>
  <si>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</si>
  <si>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</si>
  <si>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</si>
  <si>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</si>
  <si>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</si>
  <si>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</si>
  <si>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</si>
  <si>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</si>
  <si>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</si>
  <si>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Separate hedging sets for (a) the volatility of a risk driver or the correlation between two, and (b) the difference between two risk drivers of one category, or two legs in one currency; a basis set only for an identical pair of positively correlated drivers, otherwise an ordinary set on one driver [Art. 277a(2)]; coefficients 5 / 0.5 [Art. 280].</t>
  </si>
  <si>
    <t>Nature Basis or Volatility with a hedging-set label: one set per label, coefficient 0.5 or 5. Whether a trade qualifies is the user's: under CRR, an identical pair of positively correlated drivers for a basis set, otherwise Nature Standard on one driver.</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</si>
  <si>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</si>
  <si>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</si>
  <si>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</si>
  <si>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</si>
  <si>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</si>
  <si>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</si>
  <si>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</si>
  <si>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to CRE52.1: the EAD may be zero only for sold options outside netting and margin agreements (premia paid upfront); for sold credit protection outside netting and margin agreements the EAD may be capped at unpaid premia, and such trades may be taken out of their netting set to apply the cap.</t>
  </si>
  <si>
    <t>Art. 274(5): zero for a netting set made only of sold options, with a market value always negative, all premia received upfront and no margin agreement. Art. 274(7): a credit derivative long the underlying (sold protection) capped at the unpaid premium when it is its own netting set without a margin agreement.</t>
  </si>
  <si>
    <t>Similar; conditions differ</t>
  </si>
  <si>
    <t>None, since neither reduction is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</si>
  <si>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</si>
  <si>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</si>
  <si>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</si>
  <si>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</si>
  <si>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</si>
  <si>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t>
  </si>
  <si>
    <t>VERIFIED (CRR)</t>
  </si>
  <si>
    <t>Several margin agreements in one netting set</t>
  </si>
  <si>
    <t>Sub-netting sets per margin agreement [CRE52.74]. Its FAQ, for margined and unmargined trades or several VM agreements in one netting set: one RC for the whole set with the margined formula (V and C of all trades, TH and MTA summed across agreements), the multiplier on the same V and C, and an aggregate add-on summed over sub-netting sets: all unmargined trades in one, margined trades grouped by MPOR.</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</si>
  <si>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</si>
  <si>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</si>
  <si>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</si>
  <si>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</si>
  <si>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</si>
  <si>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</si>
  <si>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</si>
  <si>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</si>
  <si>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</si>
  <si>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</si>
  <si>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</si>
  <si>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</si>
  <si>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</si>
  <si>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</si>
  <si>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</si>
  <si>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</si>
  <si>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</si>
  <si>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</si>
  <si>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</si>
  <si>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</si>
  <si>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</si>
  <si>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</si>
  <si>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</si>
  <si>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IG_INDEX and SG_INDEX. Unrated: enter CQS3, CQS5 where Art. 128 applies, or the mapped step [Art. 280c(5)(a)]. A listed index is IG_INDEX or SG_INDEX by its constituents (the user's). Other multi-name positions: the engine takes no free factor; a weighted factor that is not a table value cannot be entered without editing the factor table, which makes the run WHAT-IF.</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</si>
  <si>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</si>
  <si>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</si>
  <si>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</si>
  <si>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so the EAD is not lower than with the reduction (it can be equal). Permitted, both being optional.</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</si>
  <si>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</si>
  <si>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</si>
  <si>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</si>
  <si>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</si>
  <si>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</si>
  <si>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both regimes cap with NICA only;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</si>
  <si>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covered by the input-validation tests run before release, not by this catalogue;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</si>
  <si>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</si>
  <si>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both caps use NICA (posted-VM scenario ~41m in both regimes).</t>
  </si>
  <si>
    <t>Implemented: the cap uses C = NICA in both regimes. Results keeps the margined C, RC, add-ons, multiplier and PFE in their ordinary columns and shows the cap basis in its own columns (EAD cap, C, RC and multiplier on the cap basis, unmargined add-on); EAD is the lower of the two, with Cap applied = Y when the cap binds.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</si>
  <si>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</si>
  <si>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</si>
  <si>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</si>
  <si>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</si>
  <si>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</si>
  <si>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</si>
  <si>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 disputes)</t>
  </si>
  <si>
    <t>Client: 5 BD under CRR, 10 BD under BCBS (conservative reading). Disputes with N &gt; 1: CRR minimum 2F + N - 1, BCBS 2(F + N - 1)</t>
  </si>
  <si>
    <t>MPOR floors are Params values. CM: 5 BD in both regimes [CRE54.12; Art. 279c(1)]. CLIENT: 5 BD under CRR; 10 BD under BCBS, a conservative interpretation adopted because CRE54.12, which the CRE54.2 footnote applies, names only the clearing member [CRE54.8(2), CRE54.14-.17]. Disputes double F + N - 1 in both regimes, at or above the CRR minimum. Large or illiquid: 20 + N - 1, also where the trade-count floor could be waived. Role CCP is rejected; multi-level client structures are not supported.</t>
  </si>
  <si>
    <t>Not implemented: declare MIXED under Margin agreements; the netting set is rejected.</t>
  </si>
  <si>
    <t>Art. 275(3) (RC) and Art. 278(2) (PFE as sum of unmargined PFEs).</t>
  </si>
  <si>
    <t>Not implemented: declare SHARED under Margin agreements; the netting set is rejected.</t>
  </si>
  <si>
    <t>ReadMe</t>
  </si>
  <si>
    <t xml:space="preserve">One row per legally enforceable netting set. Collateral after haircuts, in reporting currency; VM / NICA positive = held, negative = posted.
Client clearing role: N, CM (the bank is the clearing member) or CLIENT; CCP declares a netting set facing a CCP, which the engine rejects.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</si>
  <si>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</si>
  <si>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</si>
  <si>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</si>
  <si>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</si>
  <si>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</si>
  <si>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</si>
  <si>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</si>
  <si>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</si>
  <si>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</si>
  <si>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</si>
  <si>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</si>
  <si>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</si>
  <si>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</si>
  <si>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</si>
  <si>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</si>
  <si>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</si>
  <si>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</si>
  <si>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</si>
  <si>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</si>
  <si>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</si>
  <si>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</si>
  <si>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</si>
  <si>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</si>
  <si>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</si>
  <si>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</si>
  <si>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</si>
  <si>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</si>
  <si>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</si>
  <si>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</si>
  <si>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</si>
  <si>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</si>
  <si>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</si>
  <si>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</si>
  <si>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</si>
  <si>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</si>
  <si>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</si>
  <si>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</si>
  <si>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</si>
  <si>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</si>
  <si>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</si>
  <si>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</si>
  <si>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</si>
  <si>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</si>
  <si>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</si>
  <si>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</si>
  <si>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</si>
  <si>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</si>
  <si>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</si>
  <si>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</si>
  <si>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</si>
  <si>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</si>
  <si>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</si>
  <si>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</si>
  <si>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</si>
  <si>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</si>
  <si>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</si>
  <si>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</si>
  <si>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</si>
  <si>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</si>
  <si>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</si>
  <si>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</si>
  <si>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</si>
  <si>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</si>
  <si>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</si>
  <si>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</si>
  <si>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</si>
  <si>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</si>
  <si>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</si>
  <si>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</si>
  <si>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</si>
  <si>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(a netting set with role CCP is rejected),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</si>
  <si>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</si>
  <si>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</si>
  <si>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</si>
  <si>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</si>
  <si>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</si>
  <si>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</si>
  <si>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</si>
  <si>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</si>
  <si>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</si>
  <si>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</si>
  <si>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</si>
  <si>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</si>
  <si>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</si>
  <si>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</si>
  <si>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</si>
  <si>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</si>
  <si>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</si>
  <si>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</si>
  <si>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</si>
  <si>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</si>
  <si>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</si>
  <si>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</si>
  <si>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</si>
  <si>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</si>
  <si>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</si>
  <si>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</si>
  <si>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</si>
  <si>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</si>
  <si>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</si>
  <si>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</si>
  <si>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</si>
  <si>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</si>
  <si>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</si>
  <si>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</si>
  <si>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</si>
  <si>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</si>
  <si>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</si>
  <si>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</si>
  <si>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</si>
  <si>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</si>
  <si>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</si>
  <si>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</si>
  <si>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</si>
  <si>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</si>
  <si>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</si>
  <si>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</si>
  <si>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</si>
  <si>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</si>
  <si>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</si>
  <si>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</si>
  <si>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</si>
  <si>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</si>
  <si>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separate unreviewed calculation</t>
  </si>
  <si>
    <t>Illustrative - separate unreviewed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</si>
  <si>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</si>
  <si>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</si>
  <si>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</si>
  <si>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</si>
  <si>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</si>
  <si>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</si>
  <si>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</si>
  <si>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IR bucket boundaries also tested before release</t>
  </si>
  <si>
    <t>Reference card</t>
  </si>
  <si>
    <t>Same coefficients, different conditions</t>
  </si>
  <si>
    <t>Membership of basis sets can differ</t>
  </si>
  <si>
    <t>T11 (remargining); InputValidation netting-set-clearing-*; illustrative-clearing-*-listed</t>
  </si>
  <si>
    <t>Equity and commodity adjusted notional</t>
  </si>
  <si>
    <t>Price of one unit x number of units [CRE52.36]; for volatility transactions, the volatility or variance replaces the price and the contractual notional the units [CRE52.36 FAQ1].</t>
  </si>
  <si>
    <t>Price of one unit x number of units; where the contract is expressed as a notional amount, that amount [Art. 279b(1)(c)].</t>
  </si>
  <si>
    <t>Different (notional contracts)</t>
  </si>
  <si>
    <t>Contracts stated as a notional amount</t>
  </si>
  <si>
    <t>One notional per row, entered by the user: under CRR the contractual notional where the contract states one, otherwise price x units.</t>
  </si>
  <si>
    <t>Variable notionals and leverage</t>
  </si>
  <si>
    <t>IR and credit: time-weighted average notional over the remaining life; notionals that are formulas of market values at current market values; leveraged swaps at the equivalent unleveraged notional [CRE52.37(1)-(3)]. Not for notionals that vary with prices (FX, equity, commodity).</t>
  </si>
  <si>
    <t>All categories: deterministic notionals or units averaged, weighted by time; stochastic ones fixed at current market values; multiplied cash flows or underlyings adjusted [Art. 279b(2)(a), (c)].</t>
  </si>
  <si>
    <t>Different (scope)</t>
  </si>
  <si>
    <t>Amortising, accreting, leveraged or price-dependent notionals</t>
  </si>
  <si>
    <t>No schedule is read: enter the average or adjusted notional of each regime.</t>
  </si>
  <si>
    <t>Multiple exchanges of notional</t>
  </si>
  <si>
    <t>Notional x number of exchanges of principal in the contract [CRE52.37(4)].</t>
  </si>
  <si>
    <t>Notional x number of remaining payments [Art. 279b(2)(b)].</t>
  </si>
  <si>
    <t>Different</t>
  </si>
  <si>
    <t>Counted: exchanges in the contract (BCBS), remaining payments (CRR)</t>
  </si>
  <si>
    <t>Enter the multiplied notional; the count is the user's, per regime.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</si>
</sst>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1">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xf numFmtId="0" fontId="14" fillId="0" borderId="0" xfId="0" applyFont="1" applyAlignment="1">
      <alignment vertical="center" wrapText="1"/>
    </xf>
  </cellXfs>
  <cellStyles count="1">
    <cellStyle name="Normal" xfId="0" builtinId="0"/>
  </cellStyles>
  <dxfs count="20">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color rgb="FF375623"/>
      </font>
    </dxf>
    <dxf>
      <font>
        <b/>
        <color rgb="FF9C0006"/>
      </font>
    </dxf>
    <dxf>
      <font>
        <b val="0"/>
        <color theme="1"/>
      </font>
    </dxf>
    <dxf>
      <font>
        <b/>
        <color rgb="FFC00000"/>
      </font>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dr:from>
      <xdr:col>2</xdr:col>
      <xdr:colOff>0</xdr:colOff>
      <xdr:row>76</xdr:row>
      <xdr:rowOff>95250</xdr:rowOff>
    </xdr:from>
    <xdr:ext cx="15621000" cy="12534900"/>
    <xdr:pic>
      <xdr:nvPicPr>
        <xdr:cNvPr id="2" name="Reference card" descr="K-SACCR one-page reference card: SA-CCR formulas and supervisory parameters under Basel CRE52 and the EU CRR"/>
        <xdr:cNvPicPr>
          <a:picLocks noChangeAspect="1"/>
        </xdr:cNvPicPr>
      </xdr:nvPicPr>
      <xdr:blipFill>
        <a:blip r:embed="rId1"/>
        <a:stretch>
          <a:fillRect/>
        </a:stretch>
      </xdr:blipFill>
      <xdr:spPr>
        <a:xfrm>
          <a:off x="0" y="0"/>
          <a:ext cx="15621000" cy="12534900"/>
        </a:xfrm>
        <a:prstGeom prst="rect">
          <a:avLst/>
        </a:prstGeom>
      </xdr:spPr>
    </xdr:pic>
    <xdr:clientData fLocksWithSheet="1"/>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6"/>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50"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45.950000000000003" customHeight="1"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HYPERLINK("#README!C114","One-page reference card: all formulas and parameters (below, on this sheet)")</f>
        <v>One-page reference card: all formulas and parameters (below, on this sheet)</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45.950000000000003" customHeight="1" outlineLevel="1" x14ac:dyDescent="0.25">
      <c r="C74" s="107" t="s">
        <v>91</v>
      </c>
      <c r="D74" s="111" t="s">
        <v>872</v>
      </c>
    </row>
    <row r="75" spans="3:4" ht="9.9499999999999993" customHeight="1" x14ac:dyDescent="0.25">
      <c r="C75" s="33"/>
      <c r="D75" s="34"/>
    </row>
    <row r="76" spans="3:4" ht="30" customHeight="1" x14ac:dyDescent="0.25">
      <c r="C76" s="31" t="s">
        <v>932</v>
      </c>
      <c r="D76" s="35"/>
    </row>
  </sheetData>
  <pageMargins left="0.4" right="0.4" top="0.5" bottom="0.5" header="0.3" footer="0.3"/>
  <pageSetup paperSize="9"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42" customHeight="1" x14ac:dyDescent="0.25">
      <c r="C3" s="13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mergeCells count="1">
    <mergeCell ref="C3:Q3"/>
  </mergeCells>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CLIENT or CCP." promptTitle="Client clearing role" prompt="N = not client clearing. CM = the bank is the clearing member (5-day MPOR floor). CLIENT = the bank is the client: 5 days under CRR, 10 under BCBS (CRE54). CCP = the netting set faces a CCP: not supported, rejected." sqref="F7:F206" xr:uid="{00000000-0002-0000-0200-000002000000}">
      <formula1>"N,CM,CLIENT,CCP"</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conditionalFormatting sqref="C7:AD100000">
    <cfRule type="expression" dxfId="19" priority="2">
      <formula>OR(LEFT($AD7,7)="INVALID",LEFT($AD7,10)="INCOMPLETE")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8.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104"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104"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116"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141" customHeight="1" x14ac:dyDescent="0.25">
      <c r="C21" s="82">
        <v>16</v>
      </c>
      <c r="D21" s="83" t="s">
        <v>720</v>
      </c>
      <c r="E21" s="84" t="s">
        <v>721</v>
      </c>
      <c r="F21" s="84" t="s">
        <v>722</v>
      </c>
      <c r="G21" s="85" t="s">
        <v>791</v>
      </c>
      <c r="H21" s="84" t="s">
        <v>792</v>
      </c>
      <c r="I21" s="84" t="s">
        <v>793</v>
      </c>
      <c r="J21" s="86" t="s">
        <v>935</v>
      </c>
      <c r="K21" s="87" t="s">
        <v>648</v>
      </c>
    </row>
    <row r="22" spans="3:11" ht="92" customHeight="1" x14ac:dyDescent="0.25">
      <c r="C22" s="82">
        <v>17</v>
      </c>
      <c r="D22" s="83" t="s">
        <v>723</v>
      </c>
      <c r="E22" s="84" t="s">
        <v>724</v>
      </c>
      <c r="F22" s="84" t="s">
        <v>725</v>
      </c>
      <c r="G22" s="85" t="s">
        <v>933</v>
      </c>
      <c r="H22" s="84" t="s">
        <v>934</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8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92"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5" customHeight="1" x14ac:dyDescent="0.25">
      <c r="C31" s="82">
        <v>26</v>
      </c>
      <c r="D31" s="83" t="s">
        <v>936</v>
      </c>
      <c r="E31" s="84" t="s">
        <v>937</v>
      </c>
      <c r="F31" s="84" t="s">
        <v>938</v>
      </c>
      <c r="G31" s="88" t="s">
        <v>939</v>
      </c>
      <c r="H31" s="84" t="s">
        <v>940</v>
      </c>
      <c r="I31" s="84" t="s">
        <v>941</v>
      </c>
      <c r="J31" s="86" t="s">
        <v>647</v>
      </c>
      <c r="K31" s="87" t="s">
        <v>648</v>
      </c>
    </row>
    <row r="32" spans="3:11" ht="67" customHeight="1" x14ac:dyDescent="0.25">
      <c r="C32" s="82">
        <v>27</v>
      </c>
      <c r="D32" s="83" t="s">
        <v>942</v>
      </c>
      <c r="E32" s="84" t="s">
        <v>943</v>
      </c>
      <c r="F32" s="84" t="s">
        <v>944</v>
      </c>
      <c r="G32" s="88" t="s">
        <v>945</v>
      </c>
      <c r="H32" s="84" t="s">
        <v>946</v>
      </c>
      <c r="I32" s="84" t="s">
        <v>947</v>
      </c>
      <c r="J32" s="86" t="s">
        <v>647</v>
      </c>
      <c r="K32" s="87" t="s">
        <v>648</v>
      </c>
    </row>
    <row r="33" spans="3:11" ht="50" customHeight="1" x14ac:dyDescent="0.25">
      <c r="C33" s="82">
        <v>28</v>
      </c>
      <c r="D33" s="83" t="s">
        <v>948</v>
      </c>
      <c r="E33" s="84" t="s">
        <v>949</v>
      </c>
      <c r="F33" s="84" t="s">
        <v>950</v>
      </c>
      <c r="G33" s="88" t="s">
        <v>951</v>
      </c>
      <c r="H33" s="84" t="s">
        <v>952</v>
      </c>
      <c r="I33" s="84" t="s">
        <v>953</v>
      </c>
      <c r="J33" s="86" t="s">
        <v>647</v>
      </c>
      <c r="K33" s="87" t="s">
        <v>648</v>
      </c>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3" xr:uid="{00000000-0009-0000-0000-00000B000000}"/>
  <conditionalFormatting sqref="G6:G200">
    <cfRule type="expression" dxfId="15" priority="1">
      <formula>LEFT(TRIM(G6),4)="Same"</formula>
    </cfRule>
    <cfRule type="expression" dxfId="16" priority="2">
      <formula>AND(LEN(TRIM(G6))&gt;0,LEFT(TRIM(G6),4)&lt;&gt;"Same")</formula>
    </cfRule>
  </conditionalFormatting>
  <conditionalFormatting sqref="K6:K200">
    <cfRule type="expression" dxfId="17" priority="3">
      <formula>LEFT(TRIM(K6),8)="VERIFIED"</formula>
    </cfRule>
    <cfRule type="expression" dxfId="18" priority="4">
      <formula>AND(LEN(TRIM(K6))&gt;0,LEFT(TRIM(K6),8)&lt;&gt;"VERIFIED")</formula>
    </cfRule>
  </conditionalFormatting>
  <pageMargins left="0.4" right="0.4" top="0.5" bottom="0.5" header="0.3" footer="0.3"/>
  <pageSetup paperSize="9" fitToHeight="0" orientation="landscape"/>
</worksheet>
</file>