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drawings/drawing6.xml" ContentType="application/vnd.openxmlformats-officedocument.drawing+xml"/>
  <Override PartName="/xl/ctrlProps/ctrlProp11.xml" ContentType="application/vnd.ms-excel.controlproperties+xml"/>
  <Override PartName="/xl/ctrlProps/ctrlProp12.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Basel_vs_CRR!$C$5:$K$33</definedName>
    <definedName name="_xlnm._FilterDatabase" localSheetId="3" hidden="1">Trades!$C$4:$AD$69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<sst xmlns="http://schemas.openxmlformats.org/spreadsheetml/2006/main" count="7955" uniqueCount="959">
  <si>
    <t>K-SACCR</t>
  </si>
  <si>
    <t>Standardised approach for counterparty credit risk under EU CRR (Art. 274-280f), the default, and Basel CRE52, chosen per netting set.</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</si>
  <si>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</si>
  <si>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</si>
  <si>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</si>
  <si>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</si>
  <si>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</si>
  <si>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</si>
  <si>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</si>
  <si>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</si>
  <si>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</si>
  <si>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</si>
  <si>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</si>
  <si>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</si>
  <si>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</si>
  <si>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</si>
  <si>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</si>
  <si>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</si>
  <si>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</si>
  <si>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</si>
  <si>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</si>
  <si>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</si>
  <si>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</si>
  <si>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</si>
  <si>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</si>
  <si>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</si>
  <si>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</si>
  <si>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</si>
  <si>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</si>
  <si>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</si>
  <si>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</si>
  <si>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</si>
  <si>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</si>
  <si>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</si>
  <si>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</si>
  <si>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</si>
  <si>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</si>
  <si>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</si>
  <si>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</si>
  <si>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</si>
  <si>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</si>
  <si>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</si>
  <si>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</si>
  <si>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</si>
  <si>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</si>
  <si>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</si>
  <si>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</si>
  <si>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</si>
  <si>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</si>
  <si>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</si>
  <si>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</si>
  <si>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</si>
  <si>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</si>
  <si>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</si>
  <si>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</si>
  <si>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</si>
  <si>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</si>
  <si>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</si>
  <si>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</si>
  <si>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</si>
  <si>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</si>
  <si>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</si>
  <si>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</si>
  <si>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</si>
  <si>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</si>
  <si>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</si>
  <si>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</si>
  <si>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</si>
  <si>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</si>
  <si>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</si>
  <si>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</si>
  <si>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</si>
  <si>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</si>
  <si>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</si>
  <si>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</si>
  <si>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</si>
  <si>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</si>
  <si>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</si>
  <si>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</si>
  <si>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</si>
  <si>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</si>
  <si>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</si>
  <si>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</si>
  <si>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</si>
  <si>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</si>
  <si>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</si>
  <si>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</si>
  <si>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</si>
  <si>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</si>
  <si>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</si>
  <si>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</si>
  <si>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</si>
  <si>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</si>
  <si>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</si>
  <si>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</si>
  <si>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</si>
  <si>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</si>
  <si>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</si>
  <si>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</si>
  <si>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</si>
  <si>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</si>
  <si>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</si>
  <si>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</si>
  <si>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</si>
  <si>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</si>
  <si>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</si>
  <si>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</si>
  <si>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</si>
  <si>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</si>
  <si>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</si>
  <si>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</si>
  <si>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</si>
  <si>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</si>
  <si>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</si>
  <si>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</si>
  <si>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</si>
  <si>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</si>
  <si>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</si>
  <si>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</si>
  <si>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</si>
  <si>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</si>
  <si>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</si>
  <si>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</si>
  <si>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</si>
  <si>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</si>
  <si>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</si>
  <si>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</si>
  <si>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</si>
  <si>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</si>
  <si>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</si>
  <si>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</si>
  <si>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</si>
  <si>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</si>
  <si>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</si>
  <si>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</si>
  <si>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</si>
  <si>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</si>
  <si>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</si>
  <si>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</si>
  <si>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</si>
  <si>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</si>
  <si>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</si>
  <si>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</si>
  <si>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</si>
  <si>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</si>
  <si>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</si>
  <si>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</si>
  <si>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</si>
  <si>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</si>
  <si>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</si>
  <si>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</si>
  <si>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</si>
  <si>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</si>
  <si>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</si>
  <si>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</si>
  <si>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</si>
  <si>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</si>
  <si>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</si>
  <si>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</si>
  <si>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</si>
  <si>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</si>
  <si>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</si>
  <si>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</si>
  <si>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</si>
  <si>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</si>
  <si>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</si>
  <si>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</si>
  <si>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</si>
  <si>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</si>
  <si>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</si>
  <si>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</si>
  <si>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</si>
  <si>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</si>
  <si>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</si>
  <si>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</si>
  <si>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</si>
  <si>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</si>
  <si>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</si>
  <si>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</si>
  <si>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</si>
  <si>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</si>
  <si>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</si>
  <si>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</si>
  <si>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</si>
  <si>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</si>
  <si>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</si>
  <si>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</si>
  <si>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</si>
  <si>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</si>
  <si>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</si>
  <si>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</si>
  <si>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</si>
  <si>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</si>
  <si>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</si>
  <si>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</si>
  <si>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</si>
  <si>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</si>
  <si>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</si>
  <si>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</si>
  <si>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</si>
  <si>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</si>
  <si>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</si>
  <si>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</si>
  <si>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</si>
  <si>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</si>
  <si>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</si>
  <si>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</si>
  <si>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</si>
  <si>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</si>
  <si>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</si>
  <si>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</si>
  <si>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</si>
  <si>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</si>
  <si>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</si>
  <si>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</si>
  <si>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</si>
  <si>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</si>
  <si>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</si>
  <si>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</si>
  <si>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</si>
  <si>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</si>
  <si>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</si>
  <si>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</si>
  <si>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</si>
  <si>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</si>
  <si>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</si>
  <si>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</si>
  <si>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</si>
  <si>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</si>
  <si>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</si>
  <si>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</si>
  <si>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</si>
  <si>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</si>
  <si>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</si>
  <si>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</si>
  <si>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</si>
  <si>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</si>
  <si>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</si>
  <si>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</si>
  <si>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</si>
  <si>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</si>
  <si>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</si>
  <si>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</si>
  <si>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</si>
  <si>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</si>
  <si>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</si>
  <si>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</si>
  <si>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</si>
  <si>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</si>
  <si>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</si>
  <si>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</si>
  <si>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</si>
  <si>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</si>
  <si>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</si>
  <si>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</si>
  <si>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</si>
  <si>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</si>
  <si>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</si>
  <si>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</si>
  <si>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</si>
  <si>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</si>
  <si>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</si>
  <si>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</si>
  <si>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</si>
  <si>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</si>
  <si>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</si>
  <si>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</si>
  <si>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</si>
  <si>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</si>
  <si>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</si>
  <si>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</si>
  <si>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</si>
  <si>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</si>
  <si>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</si>
  <si>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</si>
  <si>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</si>
  <si>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</si>
  <si>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</si>
  <si>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</si>
  <si>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</si>
  <si>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</si>
  <si>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</si>
  <si>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</si>
  <si>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</si>
  <si>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</si>
  <si>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</si>
  <si>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</si>
  <si>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</si>
  <si>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</si>
  <si>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</si>
  <si>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</si>
  <si>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</si>
  <si>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</si>
  <si>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</si>
  <si>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</si>
  <si>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</si>
  <si>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</si>
  <si>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</si>
  <si>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</si>
  <si>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</si>
  <si>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</si>
  <si>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</si>
  <si>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</si>
  <si>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</si>
  <si>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</si>
  <si>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</si>
  <si>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</si>
  <si>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</si>
  <si>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</si>
  <si>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</si>
  <si>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</si>
  <si>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</si>
  <si>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</si>
  <si>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</si>
  <si>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</si>
  <si>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</si>
  <si>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</si>
  <si>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</si>
  <si>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</si>
  <si>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</si>
  <si>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</si>
  <si>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</si>
  <si>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</si>
  <si>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</si>
  <si>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</si>
  <si>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</si>
  <si>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</si>
  <si>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</si>
  <si>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</si>
  <si>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</si>
  <si>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</si>
  <si>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</si>
  <si>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</si>
  <si>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</si>
  <si>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</si>
  <si>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</si>
  <si>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</si>
  <si>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</si>
  <si>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</si>
  <si>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</si>
  <si>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</si>
  <si>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</si>
  <si>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</si>
  <si>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</si>
  <si>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</si>
  <si>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</si>
  <si>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</si>
  <si>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</si>
  <si>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</si>
  <si>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</si>
  <si>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</si>
  <si>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</si>
  <si>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</si>
  <si>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</si>
  <si>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</si>
  <si>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</si>
  <si>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</si>
  <si>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</si>
  <si>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</si>
  <si>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</si>
  <si>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</si>
  <si>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</si>
  <si>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</si>
  <si>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</si>
  <si>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</si>
  <si>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</si>
  <si>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</si>
  <si>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</si>
  <si>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</si>
  <si>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</si>
  <si>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</si>
  <si>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</si>
  <si>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</si>
  <si>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</si>
  <si>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</si>
  <si>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</si>
  <si>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</si>
  <si>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</si>
  <si>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</si>
  <si>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</si>
  <si>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</si>
  <si>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</si>
  <si>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</si>
  <si>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</si>
  <si>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</si>
  <si>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</si>
  <si>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</si>
  <si>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</si>
  <si>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</si>
  <si>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</si>
  <si>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</si>
  <si>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</si>
  <si>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</si>
  <si>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</si>
  <si>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</si>
  <si>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</si>
  <si>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</si>
  <si>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</si>
  <si>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</si>
  <si>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</si>
  <si>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</si>
  <si>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</si>
  <si>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</si>
  <si>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</si>
  <si>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</si>
  <si>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</si>
  <si>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</si>
  <si>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</si>
  <si>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</si>
  <si>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</si>
  <si>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</si>
  <si>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</si>
  <si>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</si>
  <si>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</si>
  <si>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</si>
  <si>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</si>
  <si>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</si>
  <si>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</si>
  <si>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</si>
  <si>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</si>
  <si>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</si>
  <si>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</si>
  <si>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</si>
  <si>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</si>
  <si>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</si>
  <si>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</si>
  <si>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</si>
  <si>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</si>
  <si>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</si>
  <si>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</si>
  <si>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</si>
  <si>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</si>
  <si>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</si>
  <si>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</si>
  <si>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</si>
  <si>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</si>
  <si>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</si>
  <si>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</si>
  <si>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</si>
  <si>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</si>
  <si>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</si>
  <si>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</si>
  <si>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</si>
  <si>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</si>
  <si>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</si>
  <si>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</si>
  <si>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</si>
  <si>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</si>
  <si>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</si>
  <si>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</si>
  <si>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</si>
  <si>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</si>
  <si>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</si>
  <si>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</si>
  <si>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</si>
  <si>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</si>
  <si>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</si>
  <si>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</si>
  <si>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</si>
  <si>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</si>
  <si>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</si>
  <si>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</si>
  <si>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</si>
  <si>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</si>
  <si>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</si>
  <si>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</si>
  <si>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</si>
  <si>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</si>
  <si>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</si>
  <si>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</si>
  <si>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</si>
  <si>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</si>
  <si>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</si>
  <si>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</si>
  <si>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</si>
  <si>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</si>
  <si>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</si>
  <si>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</si>
  <si>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</si>
  <si>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</si>
  <si>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</si>
  <si>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</si>
  <si>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</si>
  <si>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</si>
  <si>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</si>
  <si>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</si>
  <si>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</si>
  <si>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</si>
  <si>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</si>
  <si>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</si>
  <si>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</si>
  <si>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</si>
  <si>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</si>
  <si>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</si>
  <si>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</si>
  <si>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</si>
  <si>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</si>
  <si>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</si>
  <si>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</si>
  <si>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</si>
  <si>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</si>
  <si>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</si>
  <si>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</si>
  <si>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</si>
  <si>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</si>
  <si>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</si>
  <si>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</si>
  <si>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</si>
  <si>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</si>
  <si>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</si>
  <si>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</si>
  <si>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</si>
  <si>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</si>
  <si>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</si>
  <si>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</si>
  <si>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</si>
  <si>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</si>
  <si>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</si>
  <si>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</si>
  <si>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</si>
  <si>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</si>
  <si>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</si>
  <si>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</si>
  <si>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</si>
  <si>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</si>
  <si>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</si>
  <si>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</si>
  <si>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</si>
  <si>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</si>
  <si>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</si>
  <si>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</si>
  <si>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</si>
  <si>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</si>
  <si>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</si>
  <si>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</si>
  <si>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</si>
  <si>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</si>
  <si>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</si>
  <si>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</si>
  <si>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</si>
  <si>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</si>
  <si>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</si>
  <si>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</si>
  <si>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</si>
  <si>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</si>
  <si>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</si>
  <si>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</si>
  <si>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</si>
  <si>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</si>
  <si>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</si>
  <si>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</si>
  <si>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</si>
  <si>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</si>
  <si>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</si>
  <si>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</si>
  <si>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</si>
  <si>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The 9-month leg is 274 days (0.7507y), as no date gives 0.75y at 365 days: EAD 5404.62, 1.38 below the published 5406, inside tolerance 2. An input difference, not engine rounding: at exactly 0.75y (case cre99-example-3, DaysPerYear 360) the EAD is 5405.62.</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</si>
  <si>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</si>
  <si>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</si>
  <si>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</si>
  <si>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</si>
  <si>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</si>
  <si>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</si>
  <si>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</si>
  <si>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</si>
  <si>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</si>
  <si>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</si>
  <si>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</si>
  <si>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</si>
  <si>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</si>
  <si>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</si>
  <si>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</si>
  <si>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</si>
  <si>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</si>
  <si>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</si>
  <si>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</si>
  <si>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</si>
  <si>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</si>
  <si>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</si>
  <si>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</si>
  <si>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separate unreviewed calculation</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</si>
  <si>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</si>
  <si>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</si>
  <si>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</si>
  <si>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</si>
  <si>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</si>
  <si>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</si>
  <si>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</si>
  <si>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</si>
  <si>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</si>
  <si>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</si>
  <si>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</si>
  <si>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</si>
  <si>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</si>
  <si>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</si>
  <si>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</si>
  <si>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checked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</si>
  <si>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</si>
  <si>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</si>
  <si>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</si>
  <si>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</si>
  <si>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</si>
  <si>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</si>
  <si>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</si>
  <si>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</si>
  <si>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</si>
  <si>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</si>
  <si>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</si>
  <si>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</si>
  <si>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</si>
  <si>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</si>
  <si>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</si>
  <si>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</si>
  <si>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</si>
  <si>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</si>
  <si>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</si>
  <si>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</si>
  <si>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</si>
  <si>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</si>
  <si>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</si>
  <si>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</si>
  <si>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</si>
  <si>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</si>
  <si>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</si>
  <si>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</si>
  <si>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</si>
  <si>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</si>
  <si>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</si>
  <si>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</si>
  <si>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</si>
  <si>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separate unreviewed calculation, not published - a regression anchor, not validation.</t>
  </si>
  <si>
    <t>Engineering scenarios after EBA Q&amp;A 2022_6354 (rejected) reproduce its pattern only; the decisive rule is the final Q&amp;A 2023_6962. The EBA swaption figures of T19 (~483 / ~761) are cited, not taken from a checked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</si>
  <si>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</si>
  <si>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</si>
  <si>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</si>
  <si>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</si>
  <si>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</si>
  <si>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</si>
  <si>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</si>
  <si>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</si>
  <si>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 (text, not numerical validation)</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</si>
  <si>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</si>
  <si>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</si>
  <si>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</si>
  <si>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</si>
  <si>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</si>
  <si>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</si>
  <si>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</si>
  <si>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</si>
  <si>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</si>
  <si>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</si>
  <si>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</si>
  <si>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</si>
  <si>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</si>
  <si>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</si>
  <si>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</si>
  <si>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</si>
  <si>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</si>
  <si>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</si>
  <si>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</si>
  <si>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</si>
  <si>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</si>
  <si>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</si>
  <si>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</si>
  <si>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</si>
  <si>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</si>
  <si>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</si>
  <si>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</si>
  <si>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</si>
  <si>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</si>
  <si>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</si>
  <si>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</si>
  <si>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</si>
  <si>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</si>
  <si>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</si>
  <si>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</si>
  <si>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</si>
  <si>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</si>
  <si>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</si>
  <si>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</si>
  <si>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</si>
  <si>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</si>
  <si>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</si>
  <si>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</si>
  <si>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</si>
  <si>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</si>
  <si>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</si>
  <si>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</si>
  <si>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</si>
  <si>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</si>
  <si>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</si>
  <si>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</si>
  <si>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</si>
  <si>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</si>
  <si>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</si>
  <si>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</si>
  <si>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</si>
  <si>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</si>
  <si>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</si>
  <si>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IR options where P or K is zero or negative: shift price and strike by lambda, the presumed lowest extent to which rates in that currency can become negative, the same for all IR options in the currency; supervisors may recommend it per currency, banks may use lower values [CRE52.40 FAQ2]. No shift is defined for other options.</t>
  </si>
  <si>
    <t>Delegated Reg. 2021/931 Art. 5 (am. 2025/855), per option: IR lambda = max(0.10% - min(P,K); 0); commodity lambda = max(-(1 + 0.1) x min(P,K); 0).</t>
  </si>
  <si>
    <t>Delta differs when P or K is near or below zero</t>
  </si>
  <si>
    <t>CRR IR and commodity options: the RTS lambda is computed; a different value entered is ignored with a warning. BCBS IR options: lambda is entered per trade; one value per currency is the user's to ensure and is not checked. Other options (under BCBS, commodity options too): an entered lambda is accepted as a technical shift, which is not proof of regulatory permission. Rejected if P + lambda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</si>
  <si>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</si>
  <si>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</si>
  <si>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</si>
  <si>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</si>
  <si>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</si>
  <si>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</si>
  <si>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</si>
  <si>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</si>
  <si>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</si>
  <si>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</si>
  <si>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 / 6.0% [Art. 280c(5), Table 3]; unrated issuer: internal rating mapped to a step, or 0.54% (1.6% where Art. 128 applies) [Art. 280c(5)(a)]. Multi-name: an index listed on a recognised exchange takes 0.38% or 1.06% by the credit quality of most constituents [Table 4]; any other multi-name position the notional-weighted average of its constituents' factors [Art. 280c(5)(b)].</t>
  </si>
  <si>
    <t>Same values, different mapping</t>
  </si>
  <si>
    <t>Unrated names; unlisted multi-name positions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</si>
  <si>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</si>
  <si>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</si>
  <si>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</si>
  <si>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</si>
  <si>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</si>
  <si>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</si>
  <si>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</si>
  <si>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</si>
  <si>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Basis: derivatives on the basis between two risk factors in a single currency, one hedging set per pair, SF x 0.5 (cross-currency floating legs are FX, not basis); volatility transactions: SF x 5 [CRE52.46-52.47].</t>
  </si>
  <si>
    <t>Separate hedging sets for (a) the volatility of a risk driver or the correlation between two, and (b) the difference between two risk drivers of one category, or two legs in one currency; a basis set only for an identical pair of positively correlated drivers, otherwise an ordinary set on one driver [Art. 277a(2)]; coefficients 5 / 0.5 [Art. 280].</t>
  </si>
  <si>
    <t>Nature Basis or Volatility with a hedging-set label: one set per label, coefficient 0.5 or 5. The engine relies on the label and does not prove eligibility: under CRR an identical pair of positively correlated drivers for a basis set, otherwise Nature Standard on one driver.</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</si>
  <si>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</si>
  <si>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</si>
  <si>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</si>
  <si>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</si>
  <si>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</si>
  <si>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</si>
  <si>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</si>
  <si>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to CRE52.1: the EAD may be zero only for sold options outside netting and margin agreements (premia paid upfront); for sold credit protection outside netting and margin agreements the EAD may be capped at unpaid premia, and such trades may be taken out of their netting set to apply the cap.</t>
  </si>
  <si>
    <t>Art. 274(5): zero for a netting set made only of sold options, with a market value always negative, all premia received upfront and no margin agreement. Art. 274(7): a credit derivative long the underlying (sold protection) capped at the unpaid premium when it is its own netting set without a margin agreement.</t>
  </si>
  <si>
    <t>Similar; conditions differ</t>
  </si>
  <si>
    <t>None, since neither reduction is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</si>
  <si>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</si>
  <si>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</si>
  <si>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</si>
  <si>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</si>
  <si>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</si>
  <si>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t>
  </si>
  <si>
    <t>VERIFIED (CRR)</t>
  </si>
  <si>
    <t>Several margin agreements in one netting set</t>
  </si>
  <si>
    <t>Sub-netting sets per margin agreement [CRE52.74]. Its FAQ, for margined and unmargined trades or several VM agreements in one netting set: one RC for the whole set with the margined formula (V and C of all trades, TH and MTA summed across agreements), the multiplier on the same V and C, and an aggregate add-on summed over sub-netting sets: all unmargined trades in one, margined trades grouped by MPOR.</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</si>
  <si>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</si>
  <si>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</si>
  <si>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</si>
  <si>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</si>
  <si>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</si>
  <si>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</si>
  <si>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</si>
  <si>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</si>
  <si>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</si>
  <si>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</si>
  <si>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</si>
  <si>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</si>
  <si>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</si>
  <si>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</si>
  <si>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</si>
  <si>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</si>
  <si>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</si>
  <si>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</si>
  <si>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</si>
  <si>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</si>
  <si>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</si>
  <si>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</si>
  <si>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</si>
  <si>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IG_INDEX and SG_INDEX. Unrated: CQS3, CQS5 where Art. 128 applies, or the mapped step, which the user must substantiate [Art. 280c(5)(a)]. A listed index: IG_INDEX or SG_INDEX by its constituents. Other multi-name positions: no constituent-weighted factor; a basket must not be relabelled as an index or rounded to a step, and a new factor-table row makes the run WHAT-IF.</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</si>
  <si>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</si>
  <si>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</si>
  <si>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</si>
  <si>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so the EAD is not lower than with the reduction (it can be equal). Permitted, both being optional.</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</si>
  <si>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</si>
  <si>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</si>
  <si>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</si>
  <si>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</si>
  <si>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</si>
  <si>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both regimes cap with NICA only;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</si>
  <si>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covered by the input-validation tests run before release, not by this catalogue;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</si>
  <si>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</si>
  <si>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both caps use NICA (posted-VM scenario ~41m in both regimes).</t>
  </si>
  <si>
    <t>Implemented: the cap uses C = NICA in both regimes. Results keeps the margined C, RC, add-ons, multiplier and PFE in their ordinary columns and shows the cap basis in its own columns (EAD cap, C, RC and multiplier on the cap basis, unmargined add-on); EAD is the lower of the two, with Cap applied = Y when the cap binds.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</si>
  <si>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</si>
  <si>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</si>
  <si>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</si>
  <si>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</si>
  <si>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</si>
  <si>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</si>
  <si>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 disputes)</t>
  </si>
  <si>
    <t>Client: 5 BD under CRR, 10 BD under BCBS (conservative reading). Disputes with N &gt; 1: CRR minimum 2F + N - 1, BCBS 2(F + N - 1)</t>
  </si>
  <si>
    <t xml:space="preserve">MPOR floors are Params values. CM: 5 BD in both regimes [CRE54.12; Art. 279c(1)]. CLIENT: 5 BD under CRR; 10 BD under BCBS, a conservative interpretation adopted because CRE54.12, which the CRE54.2 footnote applies, names only the clearing member [CRE54.8(2), CRE54.14-.17]. Disputes double F + N - 1 in both regimes, at or above the CRR minimum. Large or illiquid: 20 + N - 1, also where the trade-count floor could be waived. CCP (trade exposure to a CCP): 10 BD in both regimes, a fixed floor rather than a Params value [CRE54.8(2); Art. 304(3)(b)]; with VM retained by the CCP and collateral not protected, each trade's horizon is the lower of one year and its remaining maturity, at least 10 BD, where larger [CRE54.8(3); Art. 304(3)(d)]. MULTI (multi-level client structure) is rejected.</t>
  </si>
  <si>
    <t>Not implemented: declare MIXED under Margin agreements; the netting set is rejected.</t>
  </si>
  <si>
    <t>Art. 275(3) (RC) and Art. 278(2) (PFE as sum of unmargined PFEs).</t>
  </si>
  <si>
    <t>Not implemented: declare SHARED under Margin agreements; the netting set is rejected.</t>
  </si>
  <si>
    <t>ReadMe</t>
  </si>
  <si>
    <t xml:space="preserve">One row per legally enforceable netting set. Collateral after haircuts, in reporting currency; VM / NICA positive = held, negative = posted.
Client clearing role: N, CM (the bank is the clearing member), CLIENT, or CCP (the bank's trade exposure to a CCP, with QCCP in R and CCP retains VM in S, both blank for other roles); MULTI (multi-level client structure) is rejected.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</si>
  <si>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</si>
  <si>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</si>
  <si>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</si>
  <si>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</si>
  <si>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</si>
  <si>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</si>
  <si>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</si>
  <si>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</si>
  <si>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</si>
  <si>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</si>
  <si>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</si>
  <si>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</si>
  <si>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</si>
  <si>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</si>
  <si>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</si>
  <si>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</si>
  <si>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</si>
  <si>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</si>
  <si>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</si>
  <si>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</si>
  <si>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</si>
  <si>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</si>
  <si>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</si>
  <si>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</si>
  <si>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</si>
  <si>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</si>
  <si>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</si>
  <si>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</si>
  <si>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</si>
  <si>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</si>
  <si>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</si>
  <si>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</si>
  <si>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</si>
  <si>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</si>
  <si>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</si>
  <si>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</si>
  <si>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</si>
  <si>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</si>
  <si>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</si>
  <si>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</si>
  <si>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</si>
  <si>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</si>
  <si>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</si>
  <si>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</si>
  <si>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</si>
  <si>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</si>
  <si>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</si>
  <si>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</si>
  <si>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</si>
  <si>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</si>
  <si>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</si>
  <si>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</si>
  <si>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</si>
  <si>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</si>
  <si>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</si>
  <si>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</si>
  <si>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</si>
  <si>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</si>
  <si>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</si>
  <si>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</si>
  <si>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</si>
  <si>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</si>
  <si>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</si>
  <si>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</si>
  <si>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</si>
  <si>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</si>
  <si>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</si>
  <si>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</si>
  <si>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</si>
  <si>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</si>
  <si>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 xml:space="preserve">Simplified SA-CCR and OEM (CRR Art. 281-282), CCP default-fund contributions, multi-level client structures (role MULTI is rejected), SFTs, CVA and RWA (a trade exposure to a CCP, role CCP, is calculated; its risk weight is stated on Checks, not applied);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an EAD not lower than with them.</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</si>
  <si>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</si>
  <si>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</si>
  <si>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</si>
  <si>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</si>
  <si>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</si>
  <si>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</si>
  <si>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</si>
  <si>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</si>
  <si>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</si>
  <si>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</si>
  <si>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</si>
  <si>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</si>
  <si>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</si>
  <si>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</si>
  <si>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</si>
  <si>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</si>
  <si>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</si>
  <si>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</si>
  <si>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</si>
  <si>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</si>
  <si>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</si>
  <si>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</si>
  <si>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</si>
  <si>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</si>
  <si>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</si>
  <si>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</si>
  <si>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</si>
  <si>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</si>
  <si>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</si>
  <si>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</si>
  <si>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</si>
  <si>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</si>
  <si>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</si>
  <si>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</si>
  <si>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</si>
  <si>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</si>
  <si>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</si>
  <si>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</si>
  <si>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</si>
  <si>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</si>
  <si>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</si>
  <si>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</si>
  <si>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</si>
  <si>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</si>
  <si>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</si>
  <si>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</si>
  <si>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</si>
  <si>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</si>
  <si>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</si>
  <si>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</si>
  <si>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</si>
  <si>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</si>
  <si>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separate unreviewed calculation</t>
  </si>
  <si>
    <t>Illustrative - separate unreviewed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</si>
  <si>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</si>
  <si>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</si>
  <si>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</si>
  <si>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</si>
  <si>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</si>
  <si>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</si>
  <si>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</si>
  <si>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IR bucket boundaries also tested before release</t>
  </si>
  <si>
    <t>Reference card</t>
  </si>
  <si>
    <t>Same coefficients, different conditions</t>
  </si>
  <si>
    <t>Membership of basis sets can differ</t>
  </si>
  <si>
    <t>T11 (remargining); InputValidation netting-set-clearing-*; illustrative-clearing-*-listed</t>
  </si>
  <si>
    <t>Equity and commodity adjusted notional</t>
  </si>
  <si>
    <t>Price of one unit x number of units [CRE52.36]; for volatility transactions, the volatility or variance replaces the price and the contractual notional the units [CRE52.36 FAQ1].</t>
  </si>
  <si>
    <t>Price of one unit x number of units; where the contract is expressed as a notional amount, that amount [Art. 279b(1)(c)].</t>
  </si>
  <si>
    <t>Different (notional contracts)</t>
  </si>
  <si>
    <t>Contracts stated as a notional amount</t>
  </si>
  <si>
    <t>One notional per row, prepared by the user before entry: current price x units (BCBS), or under CRR the contractual notional where the contract is expressed as one. A historical notional is not interchangeable with current units.</t>
  </si>
  <si>
    <t>Variable notional or quantity</t>
  </si>
  <si>
    <t>Notionals that are formulas of market values at current market values; IR and credit: time-weighted average notional over the remaining life [CRE52.37(1)-(2)]. Not for notionals that vary with prices (FX, equity, commodity).</t>
  </si>
  <si>
    <t>All categories: deterministic notionals or units averaged, weighted by time; stochastic ones fixed by current market values in the formula [Art. 279b(2)(a)].</t>
  </si>
  <si>
    <t>Different (scope)</t>
  </si>
  <si>
    <t>Amortising, accreting or price-dependent notionals</t>
  </si>
  <si>
    <t>No schedule is read: the workbook does not derive amounts from the contract; enter the average or fixed notional of each regime.</t>
  </si>
  <si>
    <t>Multiple exchanges and leverage</t>
  </si>
  <si>
    <t>Leveraged swaps at the equivalent unleveraged notional; notional x number of exchanges of principal in the contract [CRE52.37(3)-(4)].</t>
  </si>
  <si>
    <t>Notional x number of remaining payments for multiple notional exchanges; multiplied cash flows or underlyings adjusted [Art. 279b(2)(b), (c)].</t>
  </si>
  <si>
    <t>Different</t>
  </si>
  <si>
    <t>Counted: exchanges in the contract (BCBS), remaining payments (CRR)</t>
  </si>
  <si>
    <t>Enter the adjusted notional per regime; count principal exchanges or payments as the rule says, not every coupon.</t>
  </si>
  <si>
    <t xml:space="preserve">Settlement type
(N/STM)</t>
  </si>
  <si>
    <t xml:space="preserve">Next reset date</t>
  </si>
  <si>
    <t xml:space="preserve">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 Settlement type STM (settled-to-market: the contract settles its exposure and resets its value to zero on set dates; daily variation margin alone is not STM) takes a Next reset date, after the reporting date and not after M: the maturity factor then uses the time to that date, floored at 10 BD [CRE52.37(5); Art. 279c(2)]. Blank or N: no reset date. STM in a margined netting set makes it INVALID.</t>
  </si>
  <si>
    <t xml:space="preserve">QCCP (Y/N)</t>
  </si>
  <si>
    <t xml:space="preserve">CCP retains VM, collateral not protected (Y/N)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</si>
</sst>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1">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xf numFmtId="0" fontId="14" fillId="0" borderId="0" xfId="0" applyFont="1" applyAlignment="1">
      <alignment vertical="center" wrapText="1"/>
    </xf>
  </cellXfs>
  <cellStyles count="1">
    <cellStyle name="Normal" xfId="0" builtinId="0"/>
  </cellStyles>
  <dxfs count="20">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color rgb="FF375623"/>
      </font>
    </dxf>
    <dxf>
      <font>
        <b/>
        <color rgb="FF9C0006"/>
      </font>
    </dxf>
    <dxf>
      <font>
        <b val="0"/>
        <color theme="1"/>
      </font>
    </dxf>
    <dxf>
      <font>
        <b/>
        <color rgb="FFC00000"/>
      </font>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ctrlProps/ctrlProp11.xml><?xml version="1.0" encoding="utf-8"?>
<formControlPr xmlns="http://schemas.microsoft.com/office/spreadsheetml/2009/9/main" objectType="Button" lockText="1"/>
</file>

<file path=xl/ctrlProps/ctrlProp12.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11</xdr:col>
          <xdr:colOff>838200</xdr:colOff>
          <xdr:row>1</xdr:row>
          <xdr:rowOff>38100</xdr:rowOff>
        </xdr:from>
        <xdr:to>
          <xdr:col>13</xdr:col>
          <xdr:colOff>133350</xdr:colOff>
          <xdr:row>1</xdr:row>
          <xdr:rowOff>285750</xdr:rowOff>
        </xdr:to>
        <xdr:sp macro="" textlink="">
          <xdr:nvSpPr>
            <xdr:cNvPr id="2052" name="Button 4" hidden="1">
              <a:extLst>
                <a:ext uri="{63B3BB69-23CF-44E3-9099-C40C66FF867C}">
                  <a14:compatExt spid="_x0000_s2052"/>
                </a:ext>
                <a:ext uri="{FF2B5EF4-FFF2-40B4-BE49-F238E27FC236}">
                  <a16:creationId xmlns:a16="http://schemas.microsoft.com/office/drawing/2014/main" id="{00000000-0008-0000-0300-000004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Export CSV template</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dr:from>
      <xdr:col>2</xdr:col>
      <xdr:colOff>0</xdr:colOff>
      <xdr:row>76</xdr:row>
      <xdr:rowOff>95250</xdr:rowOff>
    </xdr:from>
    <xdr:ext cx="15621000" cy="12534900"/>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5621000" cy="12534900"/>
        </a:xfrm>
        <a:prstGeom prst="rect">
          <a:avLst/>
        </a:prstGeom>
      </xdr:spPr>
    </xdr:pic>
    <xdr:clientData fLocksWithSheet="1"/>
  </xdr:oneCellAnchor>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10</xdr:col>
          <xdr:colOff>19050</xdr:colOff>
          <xdr:row>1</xdr:row>
          <xdr:rowOff>38100</xdr:rowOff>
        </xdr:from>
        <xdr:to>
          <xdr:col>11</xdr:col>
          <xdr:colOff>781050</xdr:colOff>
          <xdr:row>1</xdr:row>
          <xdr:rowOff>285750</xdr:rowOff>
        </xdr:to>
        <xdr:sp macro="" textlink="">
          <xdr:nvSpPr>
            <xdr:cNvPr id="6145" name="Button 1" hidden="1">
              <a:extLst>
                <a:ext uri="{63B3BB69-23CF-44E3-9099-C40C66FF867C}">
                  <a14:compatExt spid="_x0000_s6145"/>
                </a:ext>
                <a:ext uri="{FF2B5EF4-FFF2-40B4-BE49-F238E27FC236}">
                  <a16:creationId xmlns:a16="http://schemas.microsoft.com/office/drawing/2014/main" id="{00000000-0008-0000-0200-0000011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GB" sz="1100" b="0" i="0" u="none" strike="noStrike" baseline="0">
                  <a:solidFill>
                    <a:srgbClr val="000000"/>
                  </a:solidFill>
                  <a:latin typeface="Aptos"/>
                </a:rPr>
                <a:t>Export CSV template</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xml.rels><?xml version="1.0" encoding="UTF-8" standalone="yes"?>
<Relationships xmlns="http://schemas.openxmlformats.org/package/2006/relationships"><Relationship Id="rId3" Type="http://schemas.openxmlformats.org/officeDocument/2006/relationships/ctrlProp" Target="../ctrlProps/ctrlProp12.xml"/><Relationship Id="rId2" Type="http://schemas.openxmlformats.org/officeDocument/2006/relationships/vmlDrawing" Target="../drawings/vmlDrawing5.vml"/><Relationship Id="rId1" Type="http://schemas.openxmlformats.org/officeDocument/2006/relationships/drawing" Target="../drawings/drawing6.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 Id="rId6" Type="http://schemas.openxmlformats.org/officeDocument/2006/relationships/ctrlProp" Target="../ctrlProps/ctrlProp11.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6"/>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50"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45.950000000000003" customHeight="1"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60" customHeight="1" outlineLevel="1" x14ac:dyDescent="0.25">
      <c r="C19" s="105" t="s">
        <v>21</v>
      </c>
      <c r="D19" s="109" t="s">
        <v>956</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HYPERLINK("#README!C114","One-page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60"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45.950000000000003" customHeight="1" outlineLevel="1" x14ac:dyDescent="0.25">
      <c r="C74" s="107" t="s">
        <v>91</v>
      </c>
      <c r="D74" s="111" t="s">
        <v>872</v>
      </c>
    </row>
    <row r="75" spans="3:4" ht="9.9499999999999993" customHeight="1" x14ac:dyDescent="0.25">
      <c r="C75" s="33"/>
      <c r="D75" s="34"/>
    </row>
    <row r="76" spans="3:4" ht="30" customHeight="1" x14ac:dyDescent="0.25">
      <c r="C76" s="31" t="s">
        <v>932</v>
      </c>
      <c r="D76"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 min="18" max="18" width="10.625" style="34" customWidth="1"/>
    <col min="19" max="19" width="20.625" style="34" customWidth="1"/>
  </cols>
  <sheetData>
    <row r="1" spans="2:19" ht="24" customHeight="1" x14ac:dyDescent="0.25">
      <c r="B1" s="24" t="s">
        <v>0</v>
      </c>
      <c r="C1" s="25"/>
      <c r="D1" s="26"/>
      <c r="E1" s="26"/>
      <c r="F1" s="26"/>
      <c r="G1" s="26"/>
      <c r="H1" s="26"/>
      <c r="I1" s="26"/>
      <c r="J1" s="26"/>
      <c r="K1" s="26"/>
      <c r="L1" s="26"/>
      <c r="M1" s="26"/>
      <c r="N1" s="26"/>
      <c r="O1" s="26"/>
      <c r="P1" s="26"/>
      <c r="Q1" s="26"/>
      <c r="R1" s="26"/>
      <c r="S1" s="27"/>
    </row>
    <row r="2" spans="2:19" ht="26.1" customHeight="1" x14ac:dyDescent="0.25">
      <c r="B2" s="28" t="s">
        <v>232</v>
      </c>
      <c r="C2" s="29"/>
      <c r="D2" s="30"/>
      <c r="E2" s="30"/>
      <c r="F2" s="30"/>
      <c r="G2" s="30"/>
      <c r="H2" s="30"/>
      <c r="I2" s="30"/>
      <c r="J2" s="30"/>
      <c r="K2" s="30"/>
      <c r="L2" s="30"/>
      <c r="M2" s="30"/>
      <c r="N2" s="30"/>
      <c r="O2" s="30"/>
      <c r="P2" s="30"/>
      <c r="Q2" s="30"/>
      <c r="R2" s="30"/>
      <c r="S2" s="27"/>
    </row>
    <row r="3" spans="2:19" ht="42" customHeight="1" x14ac:dyDescent="0.25">
      <c r="C3" s="130" t="s">
        <v>798</v>
      </c>
      <c r="D3"/>
      <c r="E3"/>
      <c r="F3"/>
      <c r="G3"/>
      <c r="H3"/>
      <c r="I3"/>
      <c r="J3"/>
      <c r="K3"/>
      <c r="L3"/>
      <c r="M3"/>
      <c r="N3"/>
      <c r="O3"/>
      <c r="P3"/>
      <c r="Q3"/>
      <c r="R3"/>
      <c r="S3"/>
    </row>
    <row r="4" spans="2:19" ht="9.9499999999999993" customHeight="1" x14ac:dyDescent="0.25">
      <c r="C4" s="40"/>
      <c r="D4"/>
      <c r="E4"/>
      <c r="F4"/>
      <c r="G4"/>
      <c r="H4"/>
      <c r="I4"/>
      <c r="J4"/>
      <c r="K4"/>
      <c r="L4"/>
      <c r="M4"/>
      <c r="N4"/>
      <c r="O4"/>
      <c r="P4"/>
      <c r="Q4"/>
      <c r="R4"/>
      <c r="S4"/>
    </row>
    <row r="5" spans="2:19" ht="9.9499999999999993" customHeight="1" x14ac:dyDescent="0.25">
      <c r="C5"/>
      <c r="D5"/>
      <c r="E5"/>
      <c r="F5"/>
      <c r="G5"/>
      <c r="H5"/>
      <c r="I5"/>
      <c r="J5"/>
      <c r="K5"/>
      <c r="L5"/>
      <c r="M5"/>
      <c r="N5"/>
      <c r="O5"/>
      <c r="P5"/>
      <c r="Q5"/>
      <c r="R5"/>
      <c r="S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c r="R6" s="56" t="s">
        <v>957</v>
      </c>
      <c r="S6" s="56" t="s">
        <v>958</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c r="R7" s="41"/>
      <c r="S7" s="41"/>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c r="R8" s="41"/>
      <c r="S8" s="41"/>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c r="R9" s="41"/>
      <c r="S9" s="41"/>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c r="R10" s="41"/>
      <c r="S10" s="41"/>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c r="R11" s="41"/>
      <c r="S11" s="41"/>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c r="R12" s="41"/>
      <c r="S12" s="41"/>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c r="R13" s="41"/>
      <c r="S13" s="41"/>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c r="R14" s="41"/>
      <c r="S14" s="41"/>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c r="R15" s="41"/>
      <c r="S15" s="41"/>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c r="R16" s="41"/>
      <c r="S16" s="41"/>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c r="R17" s="41"/>
      <c r="S17" s="41"/>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c r="R18" s="41"/>
      <c r="S18" s="41"/>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c r="R19" s="41"/>
      <c r="S19" s="41"/>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c r="R20" s="41"/>
      <c r="S20" s="41"/>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c r="R21" s="41"/>
      <c r="S21" s="41"/>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c r="R22" s="41"/>
      <c r="S22" s="41"/>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c r="R23" s="41"/>
      <c r="S23" s="41"/>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c r="R24" s="41"/>
      <c r="S24" s="41"/>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c r="R25" s="41"/>
      <c r="S25" s="41"/>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c r="R26" s="41"/>
      <c r="S26" s="41"/>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c r="R27" s="41"/>
      <c r="S27" s="41"/>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c r="R28" s="41"/>
      <c r="S28" s="41"/>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c r="R29" s="41"/>
      <c r="S29" s="41"/>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c r="R30" s="41"/>
      <c r="S30" s="41"/>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c r="R31" s="41"/>
      <c r="S31" s="41"/>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c r="R32" s="41"/>
      <c r="S32" s="41"/>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c r="R33" s="41"/>
      <c r="S33" s="41"/>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c r="R34" s="41"/>
      <c r="S34" s="41"/>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c r="R35" s="41"/>
      <c r="S35" s="41"/>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c r="R36" s="41"/>
      <c r="S36" s="41"/>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c r="R37" s="41"/>
      <c r="S37" s="41"/>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c r="R38" s="41"/>
      <c r="S38" s="41"/>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c r="R39" s="41"/>
      <c r="S39" s="41"/>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c r="R40" s="41"/>
      <c r="S40" s="41"/>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c r="R41" s="41"/>
      <c r="S41" s="41"/>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c r="R42" s="41"/>
      <c r="S42" s="41"/>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c r="R43" s="41"/>
      <c r="S43" s="41"/>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c r="R44" s="41"/>
      <c r="S44" s="41"/>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c r="R45" s="41"/>
      <c r="S45" s="41"/>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c r="R46" s="41"/>
      <c r="S46" s="41"/>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c r="R47" s="41"/>
      <c r="S47" s="41"/>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c r="R48" s="41"/>
      <c r="S48" s="41"/>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c r="R49" s="41"/>
      <c r="S49" s="41"/>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c r="R50" s="41"/>
      <c r="S50" s="41"/>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c r="R51" s="41"/>
      <c r="S51" s="41"/>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c r="R52" s="41"/>
      <c r="S52" s="41"/>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c r="R53" s="41"/>
      <c r="S53" s="41"/>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c r="R54" s="41"/>
      <c r="S54" s="41"/>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c r="R55" s="41"/>
      <c r="S55" s="41"/>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c r="R56" s="41"/>
      <c r="S56" s="41"/>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c r="R57" s="41"/>
      <c r="S57" s="41"/>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c r="R58" s="41"/>
      <c r="S58" s="41"/>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c r="R59" s="41"/>
      <c r="S59" s="41"/>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c r="R60" s="41"/>
      <c r="S60" s="41"/>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c r="R61" s="41"/>
      <c r="S61" s="41"/>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c r="R62" s="41"/>
      <c r="S62" s="41"/>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c r="R63" s="41"/>
      <c r="S63" s="41"/>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c r="R64" s="41"/>
      <c r="S64" s="41"/>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c r="R65" s="41"/>
      <c r="S65" s="41"/>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c r="R66" s="41"/>
      <c r="S66" s="41"/>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c r="R67" s="41"/>
      <c r="S67" s="41"/>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c r="R68" s="41"/>
      <c r="S68" s="41"/>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c r="R69" s="41"/>
      <c r="S69" s="41"/>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c r="R70" s="41"/>
      <c r="S70" s="41"/>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c r="R71" s="41"/>
      <c r="S71" s="41"/>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c r="R72" s="41"/>
      <c r="S72" s="41"/>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c r="R73" s="41"/>
      <c r="S73" s="41"/>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c r="R74" s="41"/>
      <c r="S74" s="41"/>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c r="R75" s="41"/>
      <c r="S75" s="41"/>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c r="R76" s="41"/>
      <c r="S76" s="41"/>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c r="R77" s="41"/>
      <c r="S77" s="41"/>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c r="R78" s="41"/>
      <c r="S78" s="41"/>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c r="R79" s="41"/>
      <c r="S79" s="41"/>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c r="R80" s="41"/>
      <c r="S80" s="41"/>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c r="R81" s="41"/>
      <c r="S81" s="41"/>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c r="R82" s="41"/>
      <c r="S82" s="41"/>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c r="R83" s="41"/>
      <c r="S83" s="41"/>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c r="R84" s="41"/>
      <c r="S84" s="41"/>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c r="R85" s="41"/>
      <c r="S85" s="41"/>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c r="R86" s="41"/>
      <c r="S86" s="41"/>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c r="R87" s="41"/>
      <c r="S87" s="41"/>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c r="R88" s="41"/>
      <c r="S88" s="41"/>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c r="R89" s="41"/>
      <c r="S89" s="41"/>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c r="R90" s="41"/>
      <c r="S90" s="41"/>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c r="R91" s="41"/>
      <c r="S91" s="41"/>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c r="R92" s="41"/>
      <c r="S92" s="41"/>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c r="R93" s="41"/>
      <c r="S93" s="41"/>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c r="R94" s="41"/>
      <c r="S94" s="41"/>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c r="R95" s="41"/>
      <c r="S95" s="41"/>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c r="R96" s="41"/>
      <c r="S96" s="41"/>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c r="R97" s="41"/>
      <c r="S97" s="41"/>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c r="R98" s="41"/>
      <c r="S98" s="41"/>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c r="R99" s="41"/>
      <c r="S99" s="41"/>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c r="R100" s="41"/>
      <c r="S100" s="41"/>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c r="R101" s="41"/>
      <c r="S101" s="41"/>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c r="R102" s="41"/>
      <c r="S102" s="41"/>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c r="R103" s="41"/>
      <c r="S103" s="41"/>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c r="R104" s="41"/>
      <c r="S104" s="41"/>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c r="R105" s="41"/>
      <c r="S105" s="41"/>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c r="R106" s="41"/>
      <c r="S106" s="41"/>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c r="R107" s="41"/>
      <c r="S107" s="41"/>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c r="R108" s="41"/>
      <c r="S108" s="41"/>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c r="R109" s="41"/>
      <c r="S109" s="41"/>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c r="R110" s="41"/>
      <c r="S110" s="41"/>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c r="R111" s="41"/>
      <c r="S111" s="41"/>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c r="R112" s="41"/>
      <c r="S112" s="41"/>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c r="R113" s="41"/>
      <c r="S113" s="41"/>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c r="R114" s="41"/>
      <c r="S114" s="41"/>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c r="R115" s="41"/>
      <c r="S115" s="41"/>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c r="R116" s="41"/>
      <c r="S116" s="41"/>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c r="R117" s="41"/>
      <c r="S117" s="41"/>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c r="R118" s="41"/>
      <c r="S118" s="41"/>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c r="R119" s="41"/>
      <c r="S119" s="41"/>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c r="R120" s="41"/>
      <c r="S120" s="41"/>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c r="R121" s="41"/>
      <c r="S121" s="41"/>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c r="R122" s="41"/>
      <c r="S122" s="41"/>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c r="R123" s="41"/>
      <c r="S123" s="41"/>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c r="R124" s="41"/>
      <c r="S124" s="41"/>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c r="R125" s="41"/>
      <c r="S125" s="41"/>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c r="R126" s="41"/>
      <c r="S126" s="41"/>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c r="R127" s="41"/>
      <c r="S127" s="41"/>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c r="R128" s="41"/>
      <c r="S128" s="41"/>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c r="R129" s="41"/>
      <c r="S129" s="41"/>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c r="R130" s="41"/>
      <c r="S130" s="41"/>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c r="R131" s="41"/>
      <c r="S131" s="41"/>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c r="R132" s="41"/>
      <c r="S132" s="41"/>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c r="R133" s="41"/>
      <c r="S133" s="41"/>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c r="R134" s="41"/>
      <c r="S134" s="41"/>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c r="R135" s="41"/>
      <c r="S135" s="41"/>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c r="R136" s="41"/>
      <c r="S136" s="41"/>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c r="R137" s="41"/>
      <c r="S137" s="41"/>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c r="R138" s="41"/>
      <c r="S138" s="41"/>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c r="R139" s="41"/>
      <c r="S139" s="41"/>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c r="R140" s="41"/>
      <c r="S140" s="41"/>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c r="R141" s="41"/>
      <c r="S141" s="41"/>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c r="R142" s="41"/>
      <c r="S142" s="41"/>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c r="R143" s="41"/>
      <c r="S143" s="41"/>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c r="R144" s="41"/>
      <c r="S144" s="41"/>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c r="R145" s="41"/>
      <c r="S145" s="41"/>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c r="R146" s="41"/>
      <c r="S146" s="41"/>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c r="R147" s="41"/>
      <c r="S147" s="41"/>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c r="R148" s="41"/>
      <c r="S148" s="41"/>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c r="R149" s="41"/>
      <c r="S149" s="41"/>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c r="R150" s="41"/>
      <c r="S150" s="41"/>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c r="R151" s="41"/>
      <c r="S151" s="41"/>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c r="R152" s="41"/>
      <c r="S152" s="41"/>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c r="R153" s="41"/>
      <c r="S153" s="41"/>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c r="R154" s="41"/>
      <c r="S154" s="41"/>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c r="R155" s="41"/>
      <c r="S155" s="41"/>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c r="R156" s="41"/>
      <c r="S156" s="41"/>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c r="R157" s="41"/>
      <c r="S157" s="41"/>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c r="R158" s="41"/>
      <c r="S158" s="41"/>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c r="R159" s="41"/>
      <c r="S159" s="41"/>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c r="R160" s="41"/>
      <c r="S160" s="41"/>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c r="R161" s="41"/>
      <c r="S161" s="41"/>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c r="R162" s="41"/>
      <c r="S162" s="41"/>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c r="R163" s="41"/>
      <c r="S163" s="41"/>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c r="R164" s="41"/>
      <c r="S164" s="41"/>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c r="R165" s="41"/>
      <c r="S165" s="41"/>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c r="R166" s="41"/>
      <c r="S166" s="41"/>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c r="R167" s="41"/>
      <c r="S167" s="41"/>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c r="R168" s="41"/>
      <c r="S168" s="41"/>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c r="R169" s="41"/>
      <c r="S169" s="41"/>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c r="R170" s="41"/>
      <c r="S170" s="41"/>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c r="R171" s="41"/>
      <c r="S171" s="41"/>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c r="R172" s="41"/>
      <c r="S172" s="41"/>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c r="R173" s="41"/>
      <c r="S173" s="41"/>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c r="R174" s="41"/>
      <c r="S174" s="41"/>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c r="R175" s="41"/>
      <c r="S175" s="41"/>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c r="R176" s="41"/>
      <c r="S176" s="41"/>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c r="R177" s="41"/>
      <c r="S177" s="41"/>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c r="R178" s="41"/>
      <c r="S178" s="41"/>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c r="R179" s="41"/>
      <c r="S179" s="41"/>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c r="R180" s="41"/>
      <c r="S180" s="41"/>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c r="R181" s="41"/>
      <c r="S181" s="41"/>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c r="R182" s="41"/>
      <c r="S182" s="41"/>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c r="R183" s="41"/>
      <c r="S183" s="41"/>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c r="R184" s="41"/>
      <c r="S184" s="41"/>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c r="R185" s="41"/>
      <c r="S185" s="41"/>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c r="R186" s="41"/>
      <c r="S186" s="41"/>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c r="R187" s="41"/>
      <c r="S187" s="41"/>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c r="R188" s="41"/>
      <c r="S188" s="41"/>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c r="R189" s="41"/>
      <c r="S189" s="41"/>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c r="R190" s="41"/>
      <c r="S190" s="41"/>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c r="R191" s="41"/>
      <c r="S191" s="41"/>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c r="R192" s="41"/>
      <c r="S192" s="41"/>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c r="R193" s="41"/>
      <c r="S193" s="41"/>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c r="R194" s="41"/>
      <c r="S194" s="41"/>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c r="R195" s="41"/>
      <c r="S195" s="41"/>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c r="R196" s="41"/>
      <c r="S196" s="41"/>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c r="R197" s="41"/>
      <c r="S197" s="41"/>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c r="R198" s="41"/>
      <c r="S198" s="41"/>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c r="R199" s="41"/>
      <c r="S199" s="41"/>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c r="R200" s="41"/>
      <c r="S200" s="41"/>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c r="R201" s="41"/>
      <c r="S201" s="41"/>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c r="R202" s="41"/>
      <c r="S202" s="41"/>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c r="R203" s="41"/>
      <c r="S203" s="41"/>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c r="R204" s="41"/>
      <c r="S204" s="41"/>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c r="R205" s="41"/>
      <c r="S205" s="41"/>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c r="R206" s="41"/>
      <c r="S206" s="41"/>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mergeCells count="1">
    <mergeCell ref="C3:S3"/>
  </mergeCells>
  <conditionalFormatting sqref="C7:C206">
    <cfRule type="expression" dxfId="12" priority="1">
      <formula>AND(C7&lt;&gt;"",COUNTIF($C$7:$C$206,C7)&gt;1)</formula>
    </cfRule>
  </conditionalFormatting>
  <dataValidations count="16">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CLIENT, CCP or MULTI." promptTitle="Client clearing role" prompt="N = no client clearing. CM = clearing member facing its client (5-day floor). CLIENT = client facing its member: 5 days CRR, 10 BCBS. CCP = trade exposure to a CCP (10-day floor; fill R and S). MULTI = multi-level structure: rejected." sqref="F7:F206" xr:uid="{00000000-0002-0000-0200-000002000000}">
      <formula1>"N,CM,CLIENT,CCP,MULTI"</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 type="list" allowBlank="1" showInputMessage="1" showErrorMessage="1" errorTitle="Invalid choice" error="Choose Y or N, or leave blank for a role other than CCP." promptTitle="QCCP" prompt="CCP only: Y if the CCP qualifies under the netting set's regime (CRR: authorised or recognised under EMIR; BCBS: CRE50), N otherwise. Sets the risk weight stated on Checks, not the EAD. Blank for other roles." sqref="R7:R206" xr:uid="{00000000-0002-0000-0200-00000E000000}">
      <formula1>"Y,N"</formula1>
    </dataValidation>
    <dataValidation type="list" allowBlank="1" showInputMessage="1" showErrorMessage="1" errorTitle="Invalid choice" error="Choose Y or N, or leave blank for a role other than CCP." promptTitle="CCP retains VM" prompt="CCP only: Y if the CCP retains variation margin and the bank's collateral is not protected against its insolvency: each trade's horizon is then up to a year (CRE54.8(3); Art. 304(3)(d)). Needs Margined = Y." sqref="S7:S206" xr:uid="{00000000-0002-0000-0200-00000F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6145" r:id="rId3" name="Button 1">
              <controlPr defaultSize="0" print="0" autoFill="0" autoPict="0" macro="[0]!ExportNettingSetsCsvTemplate">
                <anchor moveWithCells="1" sizeWithCells="1">
                  <from>
                    <xdr:col>10</xdr:col>
                    <xdr:colOff>19050</xdr:colOff>
                    <xdr:row>1</xdr:row>
                    <xdr:rowOff>38100</xdr:rowOff>
                  </from>
                  <to>
                    <xdr:col>11</xdr:col>
                    <xdr:colOff>781050</xdr:colOff>
                    <xdr:row>1</xdr:row>
                    <xdr:rowOff>285750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D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12.75" style="47" customWidth="1"/>
    <col min="29" max="29" width="12.75" style="47" customWidth="1"/>
    <col min="30" max="30" width="50.75" style="34"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s="63"/>
      <c r="AD1" s="63"/>
    </row>
    <row r="2" spans="2:30"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c r="AC2" s="65"/>
      <c r="AD2" s="65"/>
    </row>
    <row r="3" spans="2:30" ht="30" customHeight="1" x14ac:dyDescent="0.25">
      <c r="C3" s="67"/>
      <c r="D3"/>
      <c r="E3" s="66"/>
      <c r="F3" s="66"/>
      <c r="G3" s="66"/>
      <c r="H3" s="66"/>
      <c r="I3" s="66"/>
      <c r="J3" s="66"/>
      <c r="K3" s="66"/>
      <c r="L3" s="66"/>
      <c r="M3"/>
      <c r="N3"/>
      <c r="O3"/>
      <c r="P3"/>
      <c r="Q3" s="66"/>
      <c r="R3" s="66"/>
      <c r="S3" s="66"/>
      <c r="T3" s="66"/>
      <c r="U3"/>
      <c r="V3"/>
      <c r="W3"/>
      <c r="X3"/>
      <c r="Y3"/>
      <c r="Z3" s="66"/>
      <c r="AA3" s="66"/>
      <c r="AB3" s="66"/>
      <c r="AC3" s="66"/>
      <c r="AD3"/>
    </row>
    <row r="4" spans="2:30"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52" t="s">
        <v>954</v>
      </c>
      <c r="AC4" s="52" t="s">
        <v>955</v>
      </c>
      <c r="AD4" s="68" t="s">
        <v>287</v>
      </c>
    </row>
    <row r="5" spans="2:30"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1"/>
      <c r="AC5" s="122"/>
      <c r="AD5" s="44" t="s">
        <v>293</v>
      </c>
    </row>
    <row r="6" spans="2:30"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1"/>
      <c r="AC6" s="69"/>
      <c r="AD6" s="44" t="s">
        <v>296</v>
      </c>
    </row>
    <row r="7" spans="2:30"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1"/>
      <c r="AC7" s="69"/>
      <c r="AD7" s="44" t="s">
        <v>300</v>
      </c>
    </row>
    <row r="8" spans="2:30"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1"/>
      <c r="AC8" s="69"/>
      <c r="AD8" s="44" t="s">
        <v>303</v>
      </c>
    </row>
    <row r="9" spans="2:30"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1"/>
      <c r="AC9" s="69"/>
      <c r="AD9" s="44" t="s">
        <v>306</v>
      </c>
    </row>
    <row r="10" spans="2:30"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1"/>
      <c r="AC10" s="69"/>
      <c r="AD10" s="44" t="s">
        <v>309</v>
      </c>
    </row>
    <row r="11" spans="2:30"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1"/>
      <c r="AC11" s="69"/>
      <c r="AD11" s="44" t="s">
        <v>914</v>
      </c>
    </row>
    <row r="12" spans="2:30"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1"/>
      <c r="AC12" s="69"/>
      <c r="AD12" s="44" t="s">
        <v>314</v>
      </c>
    </row>
    <row r="13" spans="2:30"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1"/>
      <c r="AC13" s="69"/>
      <c r="AD13" s="44" t="s">
        <v>317</v>
      </c>
    </row>
    <row r="14" spans="2:30"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1"/>
      <c r="AC14" s="69"/>
      <c r="AD14" s="44" t="s">
        <v>293</v>
      </c>
    </row>
    <row r="15" spans="2:30"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1"/>
      <c r="AC15" s="69"/>
      <c r="AD15" s="44" t="s">
        <v>296</v>
      </c>
    </row>
    <row r="16" spans="2:30"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1"/>
      <c r="AC16" s="69"/>
      <c r="AD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1"/>
      <c r="AC17" s="69"/>
      <c r="AD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1"/>
      <c r="AC18" s="69"/>
      <c r="AD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1"/>
      <c r="AC19" s="69"/>
      <c r="AD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1"/>
      <c r="AC20" s="69"/>
      <c r="AD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1"/>
      <c r="AC21" s="69"/>
      <c r="AD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1"/>
      <c r="AC22" s="69"/>
      <c r="AD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1"/>
      <c r="AC23" s="69"/>
      <c r="AD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1"/>
      <c r="AC24" s="69"/>
      <c r="AD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1"/>
      <c r="AC25" s="69"/>
      <c r="AD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1"/>
      <c r="AC26" s="69"/>
      <c r="AD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1"/>
      <c r="AC27" s="69"/>
      <c r="AD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1"/>
      <c r="AC28" s="69"/>
      <c r="AD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1"/>
      <c r="AC29" s="69"/>
      <c r="AD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1"/>
      <c r="AC30" s="69"/>
      <c r="AD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1"/>
      <c r="AC31" s="69"/>
      <c r="AD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1"/>
      <c r="AC32" s="69"/>
      <c r="AD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1"/>
      <c r="AC33" s="69"/>
      <c r="AD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1"/>
      <c r="AC34" s="69"/>
      <c r="AD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1"/>
      <c r="AC35" s="69"/>
      <c r="AD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1"/>
      <c r="AC36" s="69"/>
      <c r="AD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1"/>
      <c r="AC37" s="69"/>
      <c r="AD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1"/>
      <c r="AC38" s="69"/>
      <c r="AD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1"/>
      <c r="AC39" s="69"/>
      <c r="AD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1"/>
      <c r="AC40" s="69"/>
      <c r="AD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1"/>
      <c r="AC41" s="69"/>
      <c r="AD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1"/>
      <c r="AC42" s="69"/>
      <c r="AD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1"/>
      <c r="AC43" s="69"/>
      <c r="AD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1"/>
      <c r="AC44" s="69"/>
      <c r="AD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1"/>
      <c r="AC45" s="69"/>
      <c r="AD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1"/>
      <c r="AC46" s="69"/>
      <c r="AD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1"/>
      <c r="AC47" s="69"/>
      <c r="AD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1"/>
      <c r="AC48" s="69"/>
      <c r="AD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1"/>
      <c r="AC49" s="69"/>
      <c r="AD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1"/>
      <c r="AC50" s="69"/>
      <c r="AD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1"/>
      <c r="AC51" s="69"/>
      <c r="AD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1"/>
      <c r="AC52" s="69"/>
      <c r="AD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1"/>
      <c r="AC53" s="69"/>
      <c r="AD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1"/>
      <c r="AC54" s="69"/>
      <c r="AD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1"/>
      <c r="AC55" s="69"/>
      <c r="AD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1"/>
      <c r="AC56" s="69"/>
      <c r="AD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1"/>
      <c r="AC57" s="69"/>
      <c r="AD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1"/>
      <c r="AC58" s="69"/>
      <c r="AD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1"/>
      <c r="AC59" s="69"/>
      <c r="AD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1"/>
      <c r="AC60" s="69"/>
      <c r="AD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1"/>
      <c r="AC61" s="69"/>
      <c r="AD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1"/>
      <c r="AC62" s="69"/>
      <c r="AD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1"/>
      <c r="AC63" s="69"/>
      <c r="AD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1"/>
      <c r="AC64" s="69"/>
      <c r="AD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1"/>
      <c r="AC65" s="69"/>
      <c r="AD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1"/>
      <c r="AC66" s="69"/>
      <c r="AD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1"/>
      <c r="AC67" s="69"/>
      <c r="AD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1"/>
      <c r="AC68" s="69"/>
      <c r="AD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1"/>
      <c r="AC69" s="69"/>
      <c r="AD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1"/>
      <c r="AC70" s="69"/>
      <c r="AD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1"/>
      <c r="AC71" s="69"/>
      <c r="AD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1"/>
      <c r="AC72" s="69"/>
      <c r="AD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1"/>
      <c r="AC73" s="69"/>
      <c r="AD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1"/>
      <c r="AC74" s="69"/>
      <c r="AD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1"/>
      <c r="AC75" s="69"/>
      <c r="AD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1"/>
      <c r="AC76" s="69"/>
      <c r="AD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1"/>
      <c r="AC77" s="69"/>
      <c r="AD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1"/>
      <c r="AC78" s="69"/>
      <c r="AD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1"/>
      <c r="AC79" s="69"/>
      <c r="AD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1"/>
      <c r="AC80" s="69"/>
      <c r="AD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1"/>
      <c r="AC81" s="69"/>
      <c r="AD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1"/>
      <c r="AC82" s="69"/>
      <c r="AD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1"/>
      <c r="AC83" s="69"/>
      <c r="AD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1"/>
      <c r="AC84" s="69"/>
      <c r="AD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1"/>
      <c r="AC85" s="69"/>
      <c r="AD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1"/>
      <c r="AC86" s="69"/>
      <c r="AD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1"/>
      <c r="AC87" s="69"/>
      <c r="AD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1"/>
      <c r="AC88" s="69"/>
      <c r="AD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1"/>
      <c r="AC89" s="69"/>
      <c r="AD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1"/>
      <c r="AC90" s="69"/>
      <c r="AD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1"/>
      <c r="AC91" s="69"/>
      <c r="AD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1"/>
      <c r="AC92" s="69"/>
      <c r="AD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1"/>
      <c r="AC93" s="69"/>
      <c r="AD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1"/>
      <c r="AC94" s="69"/>
      <c r="AD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1"/>
      <c r="AC95" s="69"/>
      <c r="AD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1"/>
      <c r="AC96" s="69"/>
      <c r="AD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1"/>
      <c r="AC97" s="69"/>
      <c r="AD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1"/>
      <c r="AC98" s="69"/>
      <c r="AD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1"/>
      <c r="AC99" s="69"/>
      <c r="AD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1"/>
      <c r="AC100" s="69"/>
      <c r="AD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1"/>
      <c r="AC101" s="69"/>
      <c r="AD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1"/>
      <c r="AC102" s="69"/>
      <c r="AD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1"/>
      <c r="AC103" s="69"/>
      <c r="AD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1"/>
      <c r="AC104" s="69"/>
      <c r="AD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1"/>
      <c r="AC105" s="69"/>
      <c r="AD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1"/>
      <c r="AC106" s="69"/>
      <c r="AD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1"/>
      <c r="AC107" s="69"/>
      <c r="AD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1"/>
      <c r="AC108" s="69"/>
      <c r="AD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1"/>
      <c r="AC109" s="69"/>
      <c r="AD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1"/>
      <c r="AC110" s="69"/>
      <c r="AD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1"/>
      <c r="AC111" s="69"/>
      <c r="AD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1"/>
      <c r="AC112" s="69"/>
      <c r="AD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1"/>
      <c r="AC113" s="69"/>
      <c r="AD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1"/>
      <c r="AC114" s="69"/>
      <c r="AD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1"/>
      <c r="AC115" s="69"/>
      <c r="AD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1"/>
      <c r="AC116" s="69"/>
      <c r="AD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1"/>
      <c r="AC117" s="69"/>
      <c r="AD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1"/>
      <c r="AC118" s="69"/>
      <c r="AD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1"/>
      <c r="AC119" s="69"/>
      <c r="AD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1"/>
      <c r="AC120" s="69"/>
      <c r="AD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1"/>
      <c r="AC121" s="69"/>
      <c r="AD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1"/>
      <c r="AC122" s="69"/>
      <c r="AD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1"/>
      <c r="AC123" s="69"/>
      <c r="AD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1"/>
      <c r="AC124" s="69"/>
      <c r="AD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1"/>
      <c r="AC125" s="69"/>
      <c r="AD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1"/>
      <c r="AC126" s="69"/>
      <c r="AD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1"/>
      <c r="AC127" s="69"/>
      <c r="AD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1"/>
      <c r="AC128" s="69"/>
      <c r="AD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1"/>
      <c r="AC129" s="69"/>
      <c r="AD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1"/>
      <c r="AC130" s="69"/>
      <c r="AD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1"/>
      <c r="AC131" s="69"/>
      <c r="AD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1"/>
      <c r="AC132" s="69"/>
      <c r="AD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1"/>
      <c r="AC133" s="69"/>
      <c r="AD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1"/>
      <c r="AC134" s="69"/>
      <c r="AD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1"/>
      <c r="AC135" s="69"/>
      <c r="AD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1"/>
      <c r="AC136" s="69"/>
      <c r="AD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1"/>
      <c r="AC137" s="69"/>
      <c r="AD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1"/>
      <c r="AC138" s="69"/>
      <c r="AD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1"/>
      <c r="AC139" s="69"/>
      <c r="AD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1"/>
      <c r="AC140" s="69"/>
      <c r="AD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1"/>
      <c r="AC141" s="69"/>
      <c r="AD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1"/>
      <c r="AC142" s="69"/>
      <c r="AD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1"/>
      <c r="AC143" s="69"/>
      <c r="AD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1"/>
      <c r="AC144" s="69"/>
      <c r="AD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1"/>
      <c r="AC145" s="69"/>
      <c r="AD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1"/>
      <c r="AC146" s="69"/>
      <c r="AD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1"/>
      <c r="AC147" s="69"/>
      <c r="AD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1"/>
      <c r="AC148" s="69"/>
      <c r="AD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1"/>
      <c r="AC149" s="69"/>
      <c r="AD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1"/>
      <c r="AC150" s="69"/>
      <c r="AD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1"/>
      <c r="AC151" s="69"/>
      <c r="AD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1"/>
      <c r="AC152" s="69"/>
      <c r="AD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1"/>
      <c r="AC153" s="69"/>
      <c r="AD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1"/>
      <c r="AC154" s="69"/>
      <c r="AD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1"/>
      <c r="AC155" s="69"/>
      <c r="AD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1"/>
      <c r="AC156" s="69"/>
      <c r="AD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1"/>
      <c r="AC157" s="69"/>
      <c r="AD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1"/>
      <c r="AC158" s="69"/>
      <c r="AD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1"/>
      <c r="AC159" s="69"/>
      <c r="AD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1"/>
      <c r="AC160" s="69"/>
      <c r="AD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1"/>
      <c r="AC161" s="69"/>
      <c r="AD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1"/>
      <c r="AC162" s="69"/>
      <c r="AD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1"/>
      <c r="AC163" s="69"/>
      <c r="AD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1"/>
      <c r="AC164" s="69"/>
      <c r="AD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1"/>
      <c r="AC165" s="69"/>
      <c r="AD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1"/>
      <c r="AC166" s="69"/>
      <c r="AD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1"/>
      <c r="AC167" s="69"/>
      <c r="AD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1"/>
      <c r="AC168" s="69"/>
      <c r="AD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1"/>
      <c r="AC169" s="69"/>
      <c r="AD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1"/>
      <c r="AC170" s="69"/>
      <c r="AD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1"/>
      <c r="AC171" s="69"/>
      <c r="AD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1"/>
      <c r="AC172" s="69"/>
      <c r="AD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1"/>
      <c r="AC173" s="69"/>
      <c r="AD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1"/>
      <c r="AC174" s="69"/>
      <c r="AD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1"/>
      <c r="AC175" s="69"/>
      <c r="AD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1"/>
      <c r="AC176" s="69"/>
      <c r="AD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1"/>
      <c r="AC177" s="69"/>
      <c r="AD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1"/>
      <c r="AC178" s="69"/>
      <c r="AD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1"/>
      <c r="AC179" s="69"/>
      <c r="AD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1"/>
      <c r="AC180" s="69"/>
      <c r="AD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1"/>
      <c r="AC181" s="69"/>
      <c r="AD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1"/>
      <c r="AC182" s="69"/>
      <c r="AD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1"/>
      <c r="AC183" s="69"/>
      <c r="AD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1"/>
      <c r="AC184" s="69"/>
      <c r="AD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1"/>
      <c r="AC185" s="69"/>
      <c r="AD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1"/>
      <c r="AC186" s="69"/>
      <c r="AD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1"/>
      <c r="AC187" s="69"/>
      <c r="AD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1"/>
      <c r="AC188" s="69"/>
      <c r="AD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1"/>
      <c r="AC189" s="69"/>
      <c r="AD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1"/>
      <c r="AC190" s="69"/>
      <c r="AD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1"/>
      <c r="AC191" s="69"/>
      <c r="AD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1"/>
      <c r="AC192" s="69"/>
      <c r="AD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1"/>
      <c r="AC193" s="69"/>
      <c r="AD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1"/>
      <c r="AC194" s="69"/>
      <c r="AD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1"/>
      <c r="AC195" s="69"/>
      <c r="AD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1"/>
      <c r="AC196" s="69"/>
      <c r="AD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1"/>
      <c r="AC197" s="69"/>
      <c r="AD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1"/>
      <c r="AC198" s="69"/>
      <c r="AD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1"/>
      <c r="AC199" s="69"/>
      <c r="AD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1"/>
      <c r="AC200" s="69"/>
      <c r="AD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1"/>
      <c r="AC201" s="69"/>
      <c r="AD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1"/>
      <c r="AC202" s="69"/>
      <c r="AD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1"/>
      <c r="AC203" s="69"/>
      <c r="AD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1"/>
      <c r="AC204" s="69"/>
      <c r="AD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1"/>
      <c r="AC205" s="69"/>
      <c r="AD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1"/>
      <c r="AC206" s="69"/>
      <c r="AD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1"/>
      <c r="AC207" s="69"/>
      <c r="AD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1"/>
      <c r="AC208" s="69"/>
      <c r="AD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1"/>
      <c r="AC209" s="69"/>
      <c r="AD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1"/>
      <c r="AC210" s="69"/>
      <c r="AD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1"/>
      <c r="AC211" s="69"/>
      <c r="AD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1"/>
      <c r="AC212" s="69"/>
      <c r="AD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1"/>
      <c r="AC213" s="69"/>
      <c r="AD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1"/>
      <c r="AC214" s="69"/>
      <c r="AD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1"/>
      <c r="AC215" s="69"/>
      <c r="AD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1"/>
      <c r="AC216" s="69"/>
      <c r="AD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1"/>
      <c r="AC217" s="69"/>
      <c r="AD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1"/>
      <c r="AC218" s="69"/>
      <c r="AD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1"/>
      <c r="AC219" s="69"/>
      <c r="AD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1"/>
      <c r="AC220" s="69"/>
      <c r="AD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1"/>
      <c r="AC221" s="69"/>
      <c r="AD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1"/>
      <c r="AC222" s="69"/>
      <c r="AD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1"/>
      <c r="AC223" s="69"/>
      <c r="AD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1"/>
      <c r="AC224" s="69"/>
      <c r="AD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1"/>
      <c r="AC225" s="69"/>
      <c r="AD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1"/>
      <c r="AC226" s="69"/>
      <c r="AD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1"/>
      <c r="AC227" s="69"/>
      <c r="AD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1"/>
      <c r="AC228" s="69"/>
      <c r="AD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1"/>
      <c r="AC229" s="69"/>
      <c r="AD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1"/>
      <c r="AC230" s="69"/>
      <c r="AD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1"/>
      <c r="AC231" s="69"/>
      <c r="AD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1"/>
      <c r="AC232" s="69"/>
      <c r="AD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1"/>
      <c r="AC233" s="69"/>
      <c r="AD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1"/>
      <c r="AC234" s="69"/>
      <c r="AD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1"/>
      <c r="AC235" s="69"/>
      <c r="AD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1"/>
      <c r="AC236" s="69"/>
      <c r="AD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1"/>
      <c r="AC237" s="69"/>
      <c r="AD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1"/>
      <c r="AC238" s="69"/>
      <c r="AD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1"/>
      <c r="AC239" s="69"/>
      <c r="AD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1"/>
      <c r="AC240" s="69"/>
      <c r="AD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1"/>
      <c r="AC241" s="69"/>
      <c r="AD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1"/>
      <c r="AC242" s="69"/>
      <c r="AD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1"/>
      <c r="AC243" s="69"/>
      <c r="AD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1"/>
      <c r="AC244" s="69"/>
      <c r="AD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1"/>
      <c r="AC245" s="69"/>
      <c r="AD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1"/>
      <c r="AC246" s="69"/>
      <c r="AD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1"/>
      <c r="AC247" s="69"/>
      <c r="AD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1"/>
      <c r="AC248" s="69"/>
      <c r="AD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1"/>
      <c r="AC249" s="69"/>
      <c r="AD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1"/>
      <c r="AC250" s="69"/>
      <c r="AD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1"/>
      <c r="AC251" s="69"/>
      <c r="AD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1"/>
      <c r="AC252" s="69"/>
      <c r="AD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1"/>
      <c r="AC253" s="69"/>
      <c r="AD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1"/>
      <c r="AC254" s="69"/>
      <c r="AD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1"/>
      <c r="AC255" s="69"/>
      <c r="AD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1"/>
      <c r="AC256" s="69"/>
      <c r="AD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1"/>
      <c r="AC257" s="69"/>
      <c r="AD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1"/>
      <c r="AC258" s="69"/>
      <c r="AD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1"/>
      <c r="AC259" s="69"/>
      <c r="AD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1"/>
      <c r="AC260" s="69"/>
      <c r="AD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1"/>
      <c r="AC261" s="69"/>
      <c r="AD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1"/>
      <c r="AC262" s="69"/>
      <c r="AD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1"/>
      <c r="AC263" s="69"/>
      <c r="AD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1"/>
      <c r="AC264" s="69"/>
      <c r="AD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1"/>
      <c r="AC265" s="69"/>
      <c r="AD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1"/>
      <c r="AC266" s="69"/>
      <c r="AD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1"/>
      <c r="AC267" s="69"/>
      <c r="AD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1"/>
      <c r="AC268" s="69"/>
      <c r="AD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1"/>
      <c r="AC269" s="69"/>
      <c r="AD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1"/>
      <c r="AC270" s="69"/>
      <c r="AD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1"/>
      <c r="AC271" s="69"/>
      <c r="AD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1"/>
      <c r="AC272" s="69"/>
      <c r="AD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1"/>
      <c r="AC273" s="69"/>
      <c r="AD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1"/>
      <c r="AC274" s="69"/>
      <c r="AD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1"/>
      <c r="AC275" s="69"/>
      <c r="AD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1"/>
      <c r="AC276" s="69"/>
      <c r="AD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1"/>
      <c r="AC277" s="69"/>
      <c r="AD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1"/>
      <c r="AC278" s="69"/>
      <c r="AD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1"/>
      <c r="AC279" s="69"/>
      <c r="AD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1"/>
      <c r="AC280" s="69"/>
      <c r="AD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1"/>
      <c r="AC281" s="69"/>
      <c r="AD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1"/>
      <c r="AC282" s="69"/>
      <c r="AD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1"/>
      <c r="AC283" s="69"/>
      <c r="AD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1"/>
      <c r="AC284" s="69"/>
      <c r="AD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1"/>
      <c r="AC285" s="69"/>
      <c r="AD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1"/>
      <c r="AC286" s="69"/>
      <c r="AD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1"/>
      <c r="AC287" s="69"/>
      <c r="AD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1"/>
      <c r="AC288" s="69"/>
      <c r="AD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1"/>
      <c r="AC289" s="69"/>
      <c r="AD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1"/>
      <c r="AC290" s="69"/>
      <c r="AD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1"/>
      <c r="AC291" s="69"/>
      <c r="AD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1"/>
      <c r="AC292" s="69"/>
      <c r="AD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1"/>
      <c r="AC293" s="69"/>
      <c r="AD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1"/>
      <c r="AC294" s="69"/>
      <c r="AD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1"/>
      <c r="AC295" s="69"/>
      <c r="AD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1"/>
      <c r="AC296" s="69"/>
      <c r="AD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1"/>
      <c r="AC297" s="69"/>
      <c r="AD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1"/>
      <c r="AC298" s="69"/>
      <c r="AD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1"/>
      <c r="AC299" s="69"/>
      <c r="AD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1"/>
      <c r="AC300" s="69"/>
      <c r="AD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1"/>
      <c r="AC301" s="69"/>
      <c r="AD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1"/>
      <c r="AC302" s="69"/>
      <c r="AD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1"/>
      <c r="AC303" s="69"/>
      <c r="AD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1"/>
      <c r="AC304" s="69"/>
      <c r="AD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1"/>
      <c r="AC305" s="69"/>
      <c r="AD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1"/>
      <c r="AC306" s="69"/>
      <c r="AD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1"/>
      <c r="AC307" s="69"/>
      <c r="AD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1"/>
      <c r="AC308" s="69"/>
      <c r="AD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1"/>
      <c r="AC309" s="69"/>
      <c r="AD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1"/>
      <c r="AC310" s="69"/>
      <c r="AD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1"/>
      <c r="AC311" s="69"/>
      <c r="AD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1"/>
      <c r="AC312" s="69"/>
      <c r="AD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1"/>
      <c r="AC313" s="69"/>
      <c r="AD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1"/>
      <c r="AC314" s="69"/>
      <c r="AD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1"/>
      <c r="AC315" s="69"/>
      <c r="AD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1"/>
      <c r="AC316" s="69"/>
      <c r="AD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1"/>
      <c r="AC317" s="69"/>
      <c r="AD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1"/>
      <c r="AC318" s="69"/>
      <c r="AD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1"/>
      <c r="AC319" s="69"/>
      <c r="AD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1"/>
      <c r="AC320" s="69"/>
      <c r="AD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1"/>
      <c r="AC321" s="69"/>
      <c r="AD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1"/>
      <c r="AC322" s="69"/>
      <c r="AD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1"/>
      <c r="AC323" s="69"/>
      <c r="AD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1"/>
      <c r="AC324" s="69"/>
      <c r="AD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1"/>
      <c r="AC325" s="69"/>
      <c r="AD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1"/>
      <c r="AC326" s="69"/>
      <c r="AD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1"/>
      <c r="AC327" s="69"/>
      <c r="AD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1"/>
      <c r="AC328" s="69"/>
      <c r="AD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1"/>
      <c r="AC329" s="69"/>
      <c r="AD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1"/>
      <c r="AC330" s="69"/>
      <c r="AD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1"/>
      <c r="AC331" s="69"/>
      <c r="AD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1"/>
      <c r="AC332" s="69"/>
      <c r="AD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1"/>
      <c r="AC333" s="69"/>
      <c r="AD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1"/>
      <c r="AC334" s="69"/>
      <c r="AD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1"/>
      <c r="AC335" s="69"/>
      <c r="AD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1"/>
      <c r="AC336" s="69"/>
      <c r="AD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1"/>
      <c r="AC337" s="69"/>
      <c r="AD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1"/>
      <c r="AC338" s="69"/>
      <c r="AD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1"/>
      <c r="AC339" s="69"/>
      <c r="AD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1"/>
      <c r="AC340" s="69"/>
      <c r="AD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1"/>
      <c r="AC341" s="69"/>
      <c r="AD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1"/>
      <c r="AC342" s="69"/>
      <c r="AD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1"/>
      <c r="AC343" s="69"/>
      <c r="AD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1"/>
      <c r="AC344" s="69"/>
      <c r="AD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1"/>
      <c r="AC345" s="69"/>
      <c r="AD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1"/>
      <c r="AC346" s="69"/>
      <c r="AD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1"/>
      <c r="AC347" s="69"/>
      <c r="AD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1"/>
      <c r="AC348" s="69"/>
      <c r="AD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1"/>
      <c r="AC349" s="69"/>
      <c r="AD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1"/>
      <c r="AC350" s="69"/>
      <c r="AD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1"/>
      <c r="AC351" s="69"/>
      <c r="AD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1"/>
      <c r="AC352" s="69"/>
      <c r="AD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1"/>
      <c r="AC353" s="69"/>
      <c r="AD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1"/>
      <c r="AC354" s="69"/>
      <c r="AD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1"/>
      <c r="AC355" s="69"/>
      <c r="AD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1"/>
      <c r="AC356" s="69"/>
      <c r="AD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1"/>
      <c r="AC357" s="69"/>
      <c r="AD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1"/>
      <c r="AC358" s="69"/>
      <c r="AD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1"/>
      <c r="AC359" s="69"/>
      <c r="AD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1"/>
      <c r="AC360" s="69"/>
      <c r="AD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1"/>
      <c r="AC361" s="69"/>
      <c r="AD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1"/>
      <c r="AC362" s="69"/>
      <c r="AD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1"/>
      <c r="AC363" s="69"/>
      <c r="AD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1"/>
      <c r="AC364" s="69"/>
      <c r="AD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1"/>
      <c r="AC365" s="69"/>
      <c r="AD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1"/>
      <c r="AC366" s="69"/>
      <c r="AD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1"/>
      <c r="AC367" s="69"/>
      <c r="AD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1"/>
      <c r="AC368" s="69"/>
      <c r="AD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1"/>
      <c r="AC369" s="69"/>
      <c r="AD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D69" xr:uid="{00000000-0009-0000-0000-000003000000}"/>
  <conditionalFormatting sqref="C5:C5000">
    <cfRule type="expression" dxfId="11" priority="1">
      <formula>AND(C5&lt;&gt;"",COUNTIF($C$5:$C$5000,C5)&gt;1)</formula>
    </cfRule>
  </conditionalFormatting>
  <dataValidations count="24">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D5:AD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 type="list" allowBlank="1" showInputMessage="1" showErrorMessage="1" errorTitle="Invalid settlement type" error="Choose N or STM, or leave blank." promptTitle="Settlement type" prompt="STM: settled-to-market, the contract settles its exposure and resets its value to zero on set dates; daily VM alone is not STM. Needs a next reset date. Blank or N: ordinary." sqref="AB5:AB5000" xr:uid="{00000000-0002-0000-0300-00001A000000}">
      <formula1>"N,STM"</formula1>
    </dataValidation>
    <dataValidation type="custom" allowBlank="1" showInputMessage="1" showErrorMessage="1" errorTitle="Invalid date" error="Enter a date between 1950 and 2200." promptTitle="Next reset date" prompt="STM only: the first reset after the reporting date, not after the maturity date. M becomes the time to it, floored at 10 business days. Blank for N." sqref="AC5:AC5000" xr:uid="{00000000-0002-0000-0300-00001B000000}">
      <formula1>AND(ISNUMBER(AC5),AC5&gt;=DATE(1950,1,1),AC5&lt;=DATE(2200,12,31))</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mc:AlternateContent xmlns:mc="http://schemas.openxmlformats.org/markup-compatibility/2006">
          <mc:Choice Requires="x14">
            <control shapeId="2052" r:id="rId6" name="Button 4">
              <controlPr defaultSize="0" print="0" autoFill="0" autoPict="0" macro="[0]!ExportTradesCsvTemplate">
                <anchor moveWithCells="1" sizeWithCells="1">
                  <from>
                    <xdr:col>11</xdr:col>
                    <xdr:colOff>838200</xdr:colOff>
                    <xdr:row>1</xdr:row>
                    <xdr:rowOff>38100</xdr:rowOff>
                  </from>
                  <to>
                    <xdr:col>13</xdr:col>
                    <xdr:colOff>133350</xdr:colOff>
                    <xdr:row>1</xdr:row>
                    <xdr:rowOff>285750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ResultsStatusText(SACCR_RunInputs,NettingSets!$C:$S,Trades!$C:$AC,Params!$1:$1048576)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conditionalFormatting sqref="C7:AD100000">
    <cfRule type="expression" dxfId="19" priority="2">
      <formula>OR(LEFT($AD7,7)="INVALID",LEFT($AD7,10)="INCOMPLETE")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ReconciliationStatusText(SACCR_ReconInputs,SACCR_RunInputs,BankNettingSets!$1:$1048576,NettingSets!$C:$S,Trades!$C:$AC,Params!$1:$1048576)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TradeReconciliationStatusText(SACCR_TradeReconInputs,SACCR_RunInputs,BankTrades!$1:$1048576,NettingSets!$C:$S,Trades!$C:$AC,Params!$1:$1048576)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8.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104"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116"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116"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195" customHeight="1" x14ac:dyDescent="0.25">
      <c r="C21" s="82">
        <v>16</v>
      </c>
      <c r="D21" s="83" t="s">
        <v>720</v>
      </c>
      <c r="E21" s="84" t="s">
        <v>721</v>
      </c>
      <c r="F21" s="84" t="s">
        <v>722</v>
      </c>
      <c r="G21" s="85" t="s">
        <v>791</v>
      </c>
      <c r="H21" s="84" t="s">
        <v>792</v>
      </c>
      <c r="I21" s="84" t="s">
        <v>793</v>
      </c>
      <c r="J21" s="86" t="s">
        <v>935</v>
      </c>
      <c r="K21" s="87" t="s">
        <v>648</v>
      </c>
    </row>
    <row r="22" spans="3:11" ht="92" customHeight="1" x14ac:dyDescent="0.25">
      <c r="C22" s="82">
        <v>17</v>
      </c>
      <c r="D22" s="83" t="s">
        <v>723</v>
      </c>
      <c r="E22" s="84" t="s">
        <v>724</v>
      </c>
      <c r="F22" s="84" t="s">
        <v>725</v>
      </c>
      <c r="G22" s="85" t="s">
        <v>933</v>
      </c>
      <c r="H22" s="84" t="s">
        <v>934</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8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92"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80" customHeight="1" x14ac:dyDescent="0.25">
      <c r="C31" s="82">
        <v>26</v>
      </c>
      <c r="D31" s="83" t="s">
        <v>936</v>
      </c>
      <c r="E31" s="84" t="s">
        <v>937</v>
      </c>
      <c r="F31" s="84" t="s">
        <v>938</v>
      </c>
      <c r="G31" s="88" t="s">
        <v>939</v>
      </c>
      <c r="H31" s="84" t="s">
        <v>940</v>
      </c>
      <c r="I31" s="84" t="s">
        <v>941</v>
      </c>
      <c r="J31" s="86" t="s">
        <v>647</v>
      </c>
      <c r="K31" s="87" t="s">
        <v>648</v>
      </c>
    </row>
    <row r="32" spans="3:11" ht="55" customHeight="1" x14ac:dyDescent="0.25">
      <c r="C32" s="82">
        <v>27</v>
      </c>
      <c r="D32" s="83" t="s">
        <v>942</v>
      </c>
      <c r="E32" s="84" t="s">
        <v>943</v>
      </c>
      <c r="F32" s="84" t="s">
        <v>944</v>
      </c>
      <c r="G32" s="88" t="s">
        <v>945</v>
      </c>
      <c r="H32" s="84" t="s">
        <v>946</v>
      </c>
      <c r="I32" s="84" t="s">
        <v>947</v>
      </c>
      <c r="J32" s="86" t="s">
        <v>647</v>
      </c>
      <c r="K32" s="87" t="s">
        <v>648</v>
      </c>
    </row>
    <row r="33" spans="3:11" ht="50" customHeight="1" x14ac:dyDescent="0.25">
      <c r="C33" s="82">
        <v>28</v>
      </c>
      <c r="D33" s="83" t="s">
        <v>948</v>
      </c>
      <c r="E33" s="84" t="s">
        <v>949</v>
      </c>
      <c r="F33" s="84" t="s">
        <v>950</v>
      </c>
      <c r="G33" s="88" t="s">
        <v>951</v>
      </c>
      <c r="H33" s="84" t="s">
        <v>952</v>
      </c>
      <c r="I33" s="84" t="s">
        <v>953</v>
      </c>
      <c r="J33" s="86" t="s">
        <v>647</v>
      </c>
      <c r="K33" s="87" t="s">
        <v>648</v>
      </c>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3" xr:uid="{00000000-0009-0000-0000-00000B000000}"/>
  <conditionalFormatting sqref="G6:G200">
    <cfRule type="expression" dxfId="15" priority="1">
      <formula>LEFT(TRIM(G6),4)="Same"</formula>
    </cfRule>
    <cfRule type="expression" dxfId="16" priority="2">
      <formula>AND(LEN(TRIM(G6))&gt;0,LEFT(TRIM(G6),4)&lt;&gt;"Same")</formula>
    </cfRule>
  </conditionalFormatting>
  <conditionalFormatting sqref="K6:K200">
    <cfRule type="expression" dxfId="17" priority="3">
      <formula>LEFT(TRIM(K6),8)="VERIFIED"</formula>
    </cfRule>
    <cfRule type="expression" dxfId="18" priority="4">
      <formula>AND(LEN(TRIM(K6))&gt;0,LEFT(TRIM(K6),8)&lt;&gt;"VERIFIED")</formula>
    </cfRule>
  </conditionalFormatting>
  <pageMargins left="0.4" right="0.4" top="0.5" bottom="0.5" header="0.3" footer="0.3"/>
  <pageSetup paperSize="9" fitToHeight="0" orientation="landscape"/>
</worksheet>
</file>