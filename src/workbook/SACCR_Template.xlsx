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FormulaTest!$D$5</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<sst xmlns="http://schemas.openxmlformats.org/spreadsheetml/2006/main" uniqueCount="898">
  <si>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</si>
  <si>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</si>
  <si>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</si>
  <si>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</si>
  <si>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</si>
  <si>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</si>
  <si>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</si>
  <si>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</si>
  <si>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</si>
  <si>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</si>
  <si>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</si>
  <si>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</si>
  <si>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</si>
  <si>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</si>
  <si>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</si>
  <si>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</si>
  <si>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</si>
  <si>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</si>
  <si>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</si>
  <si>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</si>
  <si>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</si>
  <si>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</si>
  <si>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</si>
  <si>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</si>
  <si>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</si>
  <si>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</si>
  <si>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</si>
  <si>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</si>
  <si>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</si>
  <si>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</si>
  <si>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</si>
  <si>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</si>
  <si>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</si>
  <si>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</si>
  <si>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</si>
  <si>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</si>
  <si>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</si>
  <si>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</si>
  <si>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</si>
  <si>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</si>
  <si>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</si>
  <si>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</si>
  <si>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</si>
  <si>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</si>
  <si>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</si>
  <si>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</si>
  <si>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</si>
  <si>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</si>
  <si>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</si>
  <si>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</si>
  <si>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</si>
  <si>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</si>
  <si>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</si>
  <si>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</si>
  <si>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</si>
  <si>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</si>
  <si>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</si>
  <si>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</si>
  <si>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</si>
  <si>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</si>
  <si>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</si>
  <si>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</si>
  <si>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</si>
  <si>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</si>
  <si>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</si>
  <si>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</si>
  <si>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</si>
  <si>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</si>
  <si>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</si>
  <si>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</si>
  <si>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</si>
  <si>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</si>
  <si>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</si>
  <si>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</si>
  <si>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</si>
  <si>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</si>
  <si>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</si>
  <si>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</si>
  <si>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</si>
  <si>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</si>
  <si>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</si>
  <si>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</si>
  <si>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</si>
  <si>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</si>
  <si>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</si>
  <si>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</si>
  <si>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</si>
  <si>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</si>
  <si>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</si>
  <si>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</si>
  <si>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</si>
  <si>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</si>
  <si>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</si>
  <si>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</si>
  <si>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</si>
  <si>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</si>
  <si>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</si>
  <si>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</si>
  <si>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</si>
  <si>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</si>
  <si>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</si>
  <si>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</si>
  <si>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</si>
  <si>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</si>
  <si>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</si>
  <si>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</si>
  <si>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</si>
  <si>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</si>
  <si>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</si>
  <si>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</si>
  <si>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</si>
  <si>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</si>
  <si>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</si>
  <si>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</si>
  <si>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</si>
  <si>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</si>
  <si>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</si>
  <si>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</si>
  <si>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</si>
  <si>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</si>
  <si>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</si>
  <si>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</si>
  <si>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</si>
  <si>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</si>
  <si>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</si>
  <si>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</si>
  <si>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</si>
  <si>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</si>
  <si>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</si>
  <si>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</si>
  <si>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</si>
  <si>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</si>
  <si>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</si>
  <si>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</si>
  <si>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</si>
  <si>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</si>
  <si>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</si>
  <si>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</si>
  <si>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</si>
  <si>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</si>
  <si>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</si>
  <si>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</si>
  <si>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</si>
  <si>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</si>
  <si>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</si>
  <si>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</si>
  <si>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</si>
  <si>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</si>
  <si>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</si>
  <si>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</si>
  <si>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</si>
  <si>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</si>
  <si>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</si>
  <si>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</si>
  <si>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</si>
  <si>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</si>
  <si>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</si>
  <si>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</si>
  <si>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</si>
  <si>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</si>
  <si>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</si>
  <si>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</si>
  <si>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</si>
  <si>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</si>
  <si>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</si>
  <si>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</si>
  <si>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</si>
  <si>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</si>
  <si>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</si>
  <si>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</si>
  <si>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</si>
  <si>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</si>
  <si>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</si>
  <si>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</si>
  <si>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</si>
  <si>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</si>
  <si>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</si>
  <si>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</si>
  <si>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</si>
  <si>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</si>
  <si>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</si>
  <si>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</si>
  <si>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</si>
  <si>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</si>
  <si>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</si>
  <si>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</si>
  <si>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</si>
  <si>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</si>
  <si>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</si>
  <si>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</si>
  <si>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</si>
  <si>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</si>
  <si>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</si>
  <si>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</si>
  <si>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</si>
  <si>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</si>
  <si>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</si>
  <si>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</si>
  <si>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</si>
  <si>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</si>
  <si>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</si>
  <si>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</si>
  <si>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</si>
  <si>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</si>
  <si>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</si>
  <si>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</si>
  <si>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</si>
  <si>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</si>
  <si>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</si>
  <si>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</si>
  <si>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</si>
  <si>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</si>
  <si>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</si>
  <si>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</si>
  <si>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</si>
  <si>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</si>
  <si>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</si>
  <si>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</si>
  <si>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</si>
  <si>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</si>
  <si>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</si>
  <si>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</si>
  <si>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</si>
  <si>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</si>
  <si>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</si>
  <si>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</si>
  <si>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</si>
  <si>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</si>
  <si>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</si>
  <si>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</si>
  <si>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</si>
  <si>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</si>
  <si>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</si>
  <si>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</si>
  <si>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</si>
  <si>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</si>
  <si>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</si>
  <si>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</si>
  <si>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</si>
  <si>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</si>
  <si>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</si>
  <si>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</si>
  <si>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</si>
  <si>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</si>
  <si>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</si>
  <si>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</si>
  <si>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</si>
  <si>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</si>
  <si>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</si>
  <si>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</si>
  <si>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</si>
  <si>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</si>
  <si>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</si>
  <si>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</si>
  <si>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</si>
  <si>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</si>
  <si>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</si>
  <si>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</si>
  <si>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</si>
  <si>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</si>
  <si>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</si>
  <si>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</si>
  <si>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</si>
  <si>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</si>
  <si>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</si>
  <si>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</si>
  <si>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</si>
  <si>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</si>
  <si>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</si>
  <si>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</si>
  <si>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</si>
  <si>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</si>
  <si>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</si>
  <si>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</si>
  <si>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</si>
  <si>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</si>
  <si>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</si>
  <si>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</si>
  <si>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</si>
  <si>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</si>
  <si>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</si>
  <si>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</si>
  <si>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</si>
  <si>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</si>
  <si>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</si>
  <si>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</si>
  <si>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</si>
  <si>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</si>
  <si>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</si>
  <si>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</si>
  <si>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</si>
  <si>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</si>
  <si>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</si>
  <si>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</si>
  <si>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</si>
  <si>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</si>
  <si>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</si>
  <si>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</si>
  <si>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</si>
  <si>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</si>
  <si>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</si>
  <si>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</si>
  <si>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</si>
  <si>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</si>
  <si>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</si>
  <si>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</si>
  <si>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</si>
  <si>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</si>
  <si>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</si>
  <si>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</si>
  <si>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</si>
  <si>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</si>
  <si>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</si>
  <si>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</si>
  <si>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</si>
  <si>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</si>
  <si>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</si>
  <si>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</si>
  <si>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</si>
  <si>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</si>
  <si>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</si>
  <si>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</si>
  <si>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</si>
  <si>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</si>
  <si>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</si>
  <si>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</si>
  <si>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</si>
  <si>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</si>
  <si>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</si>
  <si>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</si>
  <si>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</si>
  <si>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</si>
  <si>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</si>
  <si>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</si>
  <si>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</si>
  <si>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</si>
  <si>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</si>
  <si>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</si>
  <si>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</si>
  <si>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</si>
  <si>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</si>
  <si>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</si>
  <si>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</si>
  <si>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</si>
  <si>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</si>
  <si>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</si>
  <si>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</si>
  <si>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</si>
  <si>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</si>
  <si>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</si>
  <si>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</si>
  <si>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</si>
  <si>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</si>
  <si>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</si>
  <si>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</si>
  <si>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</si>
  <si>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</si>
  <si>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</si>
  <si>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</si>
  <si>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</si>
  <si>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</si>
  <si>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</si>
  <si>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</si>
  <si>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</si>
  <si>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</si>
  <si>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</si>
  <si>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</si>
  <si>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</si>
  <si>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</si>
  <si>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</si>
  <si>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</si>
  <si>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</si>
  <si>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</si>
  <si>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</si>
  <si>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</si>
  <si>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</si>
  <si>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</si>
  <si>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</si>
  <si>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</si>
  <si>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</si>
  <si>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</si>
  <si>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</si>
  <si>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</si>
  <si>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</si>
  <si>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</si>
  <si>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</si>
  <si>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</si>
  <si>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</si>
  <si>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</si>
  <si>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</si>
  <si>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</si>
  <si>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</si>
  <si>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</si>
  <si>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</si>
  <si>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</si>
  <si>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</si>
  <si>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</si>
  <si>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</si>
  <si>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</si>
  <si>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</si>
  <si>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</si>
  <si>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</si>
  <si>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</si>
  <si>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</si>
  <si>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</si>
  <si>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</si>
  <si>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</si>
  <si>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</si>
  <si>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</si>
  <si>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</si>
  <si>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</si>
  <si>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</si>
  <si>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</si>
  <si>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</si>
  <si>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</si>
  <si>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</si>
  <si>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</si>
  <si>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</si>
  <si>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</si>
  <si>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</si>
  <si>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</si>
  <si>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</si>
  <si>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</si>
  <si>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</si>
  <si>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</si>
  <si>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</si>
  <si>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</si>
  <si>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</si>
  <si>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</si>
  <si>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</si>
  <si>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</si>
  <si>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</si>
  <si>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</si>
  <si>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</si>
  <si>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</si>
  <si>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</si>
  <si>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</si>
  <si>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</si>
  <si>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</si>
  <si>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</si>
  <si>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</si>
  <si>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</si>
  <si>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</si>
  <si>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</si>
  <si>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</si>
  <si>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</si>
  <si>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</si>
  <si>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</si>
  <si>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</si>
  <si>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</si>
  <si>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</si>
  <si>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</si>
  <si>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</si>
  <si>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</si>
  <si>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</si>
  <si>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</si>
  <si>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</si>
  <si>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</si>
  <si>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</si>
  <si>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</si>
  <si>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</si>
  <si>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</si>
  <si>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</si>
  <si>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</si>
  <si>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</si>
  <si>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</si>
  <si>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</si>
  <si>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</si>
  <si>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</si>
  <si>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</si>
  <si>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</si>
  <si>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</si>
  <si>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</si>
  <si>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</si>
  <si>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</si>
  <si>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</si>
  <si>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</si>
  <si>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</si>
  <si>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</si>
  <si>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</si>
  <si>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</si>
  <si>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</si>
  <si>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</si>
  <si>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</si>
  <si>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</si>
  <si>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</si>
  <si>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</si>
  <si>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</si>
  <si>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</si>
  <si>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</si>
  <si>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</si>
  <si>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</si>
  <si>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</si>
  <si>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</si>
  <si>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</si>
  <si>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</si>
  <si>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</si>
  <si>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</si>
  <si>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</si>
  <si>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</si>
  <si>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</si>
  <si>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</si>
  <si>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</si>
  <si>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</si>
  <si>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</si>
  <si>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</si>
  <si>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</si>
  <si>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</si>
  <si>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</si>
  <si>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</si>
  <si>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</si>
  <si>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</si>
  <si>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</si>
  <si>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</si>
  <si>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</si>
  <si>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</si>
  <si>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</si>
  <si>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</si>
  <si>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</si>
  <si>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</si>
  <si>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</si>
  <si>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</si>
  <si>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</si>
  <si>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</si>
  <si>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</si>
  <si>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</si>
  <si>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</si>
  <si>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</si>
  <si>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</si>
  <si>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</si>
  <si>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</si>
  <si>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</si>
  <si>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</si>
  <si>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</si>
  <si>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</si>
  <si>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</si>
  <si>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</si>
  <si>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</si>
  <si>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</si>
  <si>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</si>
  <si>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</si>
  <si>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</si>
  <si>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</si>
  <si>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</si>
  <si>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</si>
  <si>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</si>
  <si>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</si>
  <si>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</si>
  <si>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CDF(-8)</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</si>
  <si>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</si>
  <si>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</si>
  <si>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</si>
  <si>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</si>
  <si>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</si>
  <si>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</si>
  <si>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</si>
  <si>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</si>
  <si>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</si>
  <si>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</si>
  <si>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</si>
  <si>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</si>
  <si>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</si>
  <si>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</si>
  <si>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</si>
  <si>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</si>
  <si>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</si>
  <si>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</si>
  <si>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</si>
  <si>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</si>
  <si>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</si>
  <si>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</si>
  <si>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</si>
  <si>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</si>
  <si>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</si>
  <si>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</si>
  <si>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</si>
  <si>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</si>
  <si>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</si>
  <si>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</si>
  <si>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</si>
  <si>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</si>
  <si>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</si>
  <si>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</si>
  <si>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</si>
  <si>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</si>
  <si>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</si>
  <si>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</si>
  <si>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</si>
  <si>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</si>
  <si>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</si>
  <si>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</si>
  <si>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</si>
  <si>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</si>
  <si>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</si>
  <si>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</si>
  <si>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</si>
  <si>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</si>
  <si>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</si>
  <si>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</si>
  <si>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</si>
  <si>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</si>
  <si>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</si>
  <si>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</si>
  <si>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</si>
  <si>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</si>
  <si>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</si>
  <si>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</si>
  <si>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</si>
  <si>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</si>
  <si>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</si>
  <si>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</si>
  <si>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</si>
  <si>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</si>
  <si>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</si>
  <si>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</si>
  <si>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</si>
  <si>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</si>
  <si>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</si>
  <si>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</si>
  <si>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</si>
  <si>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</si>
  <si>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</si>
  <si>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</si>
  <si>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</si>
  <si>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</si>
  <si>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</si>
  <si>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</si>
  <si>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</si>
  <si>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</si>
  <si>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</si>
  <si>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</si>
  <si>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</si>
  <si>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</si>
  <si>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</si>
  <si>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</si>
  <si>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</si>
  <si>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</si>
  <si>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</si>
  <si>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</si>
  <si>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</si>
  <si>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</si>
  <si>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</si>
  <si>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</si>
  <si>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</si>
  <si>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</si>
  <si>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</si>
  <si>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</si>
  <si>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</si>
  <si>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</si>
  <si>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</si>
  <si>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</si>
  <si>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</si>
  <si>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</si>
  <si>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</si>
  <si>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</si>
  <si>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</si>
  <si>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</si>
  <si>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</si>
  <si>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</si>
  <si>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</si>
  <si>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</si>
  <si>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</si>
  <si>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</si>
  <si>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</si>
  <si>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</si>
  <si>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</si>
  <si>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</si>
  <si>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</si>
  <si>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</si>
  <si>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</si>
  <si>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</si>
  <si>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</si>
  <si>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</si>
  <si>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</si>
  <si>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</si>
  <si>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</si>
  <si>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</si>
  <si>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</si>
  <si>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</si>
  <si>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</si>
  <si>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</si>
  <si>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</si>
  <si>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</si>
  <si>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</si>
  <si>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</si>
  <si>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</si>
  <si>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</si>
  <si>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</si>
  <si>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</si>
  <si>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</si>
  <si>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</si>
  <si>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</si>
  <si>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</si>
  <si>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</si>
  <si>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</si>
  <si>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</si>
  <si>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</si>
  <si>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</si>
  <si>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</si>
  <si>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</si>
  <si>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</si>
  <si>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</si>
  <si>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</si>
  <si>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</si>
  <si>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</si>
  <si>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</si>
  <si>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</si>
  <si>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</si>
  <si>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</si>
  <si>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</si>
  <si>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</si>
  <si>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</si>
  <si>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</si>
  <si>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</si>
  <si>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</si>
  <si>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</si>
  <si>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</si>
  <si>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</si>
  <si>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</si>
  <si>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</si>
  <si>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</si>
  <si>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</si>
  <si>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</si>
  <si>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</si>
  <si>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</si>
  <si>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</si>
  <si>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</si>
  <si>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</si>
  <si>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</si>
  <si>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</si>
  <si>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</si>
  <si>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</si>
  <si>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</si>
  <si>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</si>
  <si>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</si>
  <si>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</si>
  <si>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</si>
  <si>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</si>
  <si>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</si>
  <si>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</si>
  <si>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</si>
  <si>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</si>
  <si>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</si>
  <si>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</si>
  <si>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</si>
  <si>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</si>
  <si>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</si>
  <si>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</si>
  <si>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</si>
  <si>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</si>
  <si>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</si>
  <si>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</si>
  <si>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</si>
  <si>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</si>
  <si>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</si>
  <si>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</si>
  <si>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</si>
  <si>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</si>
  <si>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</si>
  <si>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</si>
  <si>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</si>
  <si>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</si>
  <si>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</si>
  <si>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</si>
  <si>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</si>
  <si>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</si>
  <si>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</si>
  <si>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</si>
  <si>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</si>
  <si>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</si>
  <si>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</si>
  <si>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</si>
  <si>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</si>
  <si>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</si>
  <si>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</si>
  <si>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</si>
  <si>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</si>
  <si>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</si>
  <si>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</si>
  <si>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</si>
  <si>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</si>
  <si>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</si>
  <si>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</si>
  <si>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</si>
  <si>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</si>
  <si>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</si>
  <si>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</si>
  <si>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</si>
  <si>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</si>
  <si>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</si>
  <si>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</si>
  <si>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</si>
  <si>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</si>
  <si>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</si>
  <si>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</si>
  <si>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</si>
  <si>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</si>
  <si>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</si>
  <si>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</si>
  <si>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</si>
  <si>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</si>
  <si>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</si>
  <si>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</si>
  <si>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</si>
  <si>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</si>
  <si>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</si>
  <si>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</si>
  <si>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</si>
  <si>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</si>
  <si>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</si>
  <si>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</si>
  <si>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</si>
  <si>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</si>
  <si>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</si>
  <si>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</si>
  <si>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</si>
  <si>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</si>
  <si>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</si>
  <si>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</si>
  <si>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</si>
  <si>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</si>
  <si>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</si>
  <si>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</si>
  <si>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</si>
  <si>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</si>
  <si>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</si>
  <si>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</si>
  <si>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</si>
  <si>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</si>
  <si>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</si>
  <si>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</si>
  <si>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</si>
  <si>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</si>
  <si>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</si>
  <si>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</si>
  <si>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</si>
  <si>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</si>
  <si>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</si>
  <si>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</si>
  <si>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</si>
  <si>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</si>
  <si>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</si>
  <si>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</si>
  <si>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</si>
  <si>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</si>
  <si>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</si>
  <si>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</si>
  <si>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</si>
  <si>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</si>
  <si>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</si>
  <si>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</si>
  <si>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</si>
  <si>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</si>
  <si>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</si>
  <si>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</si>
  <si>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</si>
  <si>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</si>
  <si>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</si>
  <si>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</si>
  <si>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</si>
  <si>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</si>
  <si>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</si>
  <si>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</si>
  <si>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</si>
  <si>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</si>
  <si>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</si>
  <si>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</si>
  <si>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</si>
  <si>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</si>
  <si>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</si>
  <si>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</si>
  <si>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</si>
  <si>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</si>
  <si>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</si>
  <si>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</si>
  <si>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</si>
  <si>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</si>
  <si>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</si>
  <si>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</si>
  <si>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</si>
  <si>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</si>
  <si>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</si>
  <si>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</si>
  <si>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</si>
  <si>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</si>
  <si>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</si>
  <si>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</si>
  <si>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</si>
  <si>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</si>
  <si>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</si>
  <si>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</si>
  <si>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</si>
  <si>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</si>
  <si>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</si>
  <si>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</si>
  <si>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|Function - Expected| &lt;= tolerance x max(1, |Expected|)</t>
  </si>
  <si>
    <t>FormulaTest</t>
  </si>
  <si>
    <t>Formula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</si>
</sst>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896</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a three-letter ISO currency code, e.g. EUR." promptTitle="Reporting currency" prompt="ISO code, e.g. EUR. Every amount is converted into it with the FX table below." sqref="E7" xr:uid="{00000000-0002-0000-0100-000001000000}">
      <formula1>AND(ISTEXT(ReportingCcy),LEN(ReportingCcy)=3)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ResultsStatusText(SACCR_RunInputs,NettingSets!$C:$Q,Trades!$C:$AA,Params!$C:$J)</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9"/>
  <sheetViews>
    <sheetView showGridLines="0" zoomScale="90" zoomScaleNormal="90" workbookViewId="0">
      <pane xSplit="3" topLeftCell="D1" activePane="topRight" state="frozen"/>
      <selection pane="topRight" activeCell="D17" sqref="D17"/>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21" x14ac:dyDescent="0.25">
      <c r="C3" s="1"/>
    </row>
    <row r="4" ht="30" customHeight="1" x14ac:dyDescent="0.25">
      <c r="C4" s="2" t="s">
        <v>508</v>
      </c>
    </row>
    <row r="5" ht="20.100000000000001" customHeight="1" x14ac:dyDescent="0.25">
      <c r="C5" s="128" t="s">
        <v>895</v>
      </c>
      <c r="D5" s="131">
        <v>1.0000000000000001E-5</v>
      </c>
    </row>
    <row r="6" ht="20.100000000000001" customHeight="1" x14ac:dyDescent="0.25">
      <c r="C6" s="48" t="s">
        <v>509</v>
      </c>
    </row>
    <row r="7" ht="30" customHeight="1" x14ac:dyDescent="0.25">
      <c r="C7" s="54" t="s">
        <v>510</v>
      </c>
      <c r="D7" s="54" t="s">
        <v>884</v>
      </c>
      <c r="E7" s="55" t="s">
        <v>885</v>
      </c>
      <c r="F7" s="55" t="s">
        <v>886</v>
      </c>
      <c r="G7" s="55" t="s">
        <v>887</v>
      </c>
      <c r="H7" s="55" t="s">
        <v>888</v>
      </c>
      <c r="I7" s="55" t="s">
        <v>889</v>
      </c>
      <c r="J7" s="55" t="s">
        <v>890</v>
      </c>
      <c r="K7" s="55" t="s">
        <v>891</v>
      </c>
      <c r="L7" s="55" t="s">
        <v>892</v>
      </c>
      <c r="M7" s="55" t="s">
        <v>893</v>
      </c>
      <c r="N7" s="55" t="s">
        <v>514</v>
      </c>
      <c r="O7" s="55" t="s">
        <v>515</v>
      </c>
      <c r="P7" s="54" t="s">
        <v>894</v>
      </c>
    </row>
    <row r="8" ht="20.100000000000001" customHeight="1" x14ac:dyDescent="0.25">
      <c r="C8" s="128" t="s">
        <v>516</v>
      </c>
      <c r="D8" s="24" t="s">
        <v>859</v>
      </c>
      <c r="E8" s="129">
        <v>0</v>
      </c>
      <c r="F8" s="129">
        <v>10</v>
      </c>
      <c r="L8" s="125">
        <f>(EXP(-0.05*MAX($E8,0))-EXP(-0.05*$F8))/0.05</f>
        <v>7.8693868057473315</v>
      </c>
      <c r="M8" s="125" cm="1">
        <f t="array" ref="M8">SACCR_SupervisoryDuration($E8,$F8)</f>
        <v>7.8693868057473315</v>
      </c>
      <c r="N8" s="126">
        <f>IFERROR(ABS(M8-L8),"")</f>
        <v>0.0</v>
      </c>
      <c r="O8" s="127" t="str">
        <f>IF(ISNUMBER(N8),IF(N8&lt;=FormulaTest_Tolerance*MAX(1,ABS(L8)),"PASS","FAIL"),"FAIL")</f>
        <v>PASS</v>
      </c>
      <c r="P8" s="130" t="s">
        <v>860</v>
      </c>
    </row>
    <row r="9" ht="20.100000000000001" customHeight="1" x14ac:dyDescent="0.25">
      <c r="C9" s="128" t="s">
        <v>518</v>
      </c>
      <c r="D9" s="24" t="s">
        <v>859</v>
      </c>
      <c r="E9" s="129">
        <v>1</v>
      </c>
      <c r="F9" s="129">
        <v>11</v>
      </c>
      <c r="L9" s="125">
        <f>(EXP(-0.05*MAX($E9,0))-EXP(-0.05*$F9))/0.05</f>
        <v>7.485592282404547</v>
      </c>
      <c r="M9" s="125" cm="1">
        <f t="array" ref="M9">SACCR_SupervisoryDuration($E9,$F9)</f>
        <v>7.485592282404547</v>
      </c>
      <c r="N9" s="126">
        <f>IFERROR(ABS(M9-L9),"")</f>
        <v>0.0</v>
      </c>
      <c r="O9" s="127" t="str">
        <f>IF(ISNUMBER(N9),IF(N9&lt;=FormulaTest_Tolerance*MAX(1,ABS(L9)),"PASS","FAIL"),"FAIL")</f>
        <v>PASS</v>
      </c>
      <c r="P9" s="130" t="s">
        <v>860</v>
      </c>
    </row>
    <row r="10" ht="20.100000000000001" customHeight="1" x14ac:dyDescent="0.25">
      <c r="C10" s="128" t="s">
        <v>520</v>
      </c>
      <c r="D10" s="24" t="s">
        <v>861</v>
      </c>
      <c r="E10" s="129">
        <v>0</v>
      </c>
      <c r="F10" s="129">
        <v>0.01</v>
      </c>
      <c r="G10" s="129">
        <f>10/250</f>
        <v>0.04</v>
      </c>
      <c r="L10" s="125">
        <f>MAX((EXP(-0.05*MAX($E10,0))-EXP(-0.05*$F10))/0.05,$G10)</f>
        <v>0.04</v>
      </c>
      <c r="M10" s="125" cm="1">
        <f t="array" ref="M10">SACCR_SupervisoryDuration($E10,$F10,$G10)</f>
        <v>0.04</v>
      </c>
      <c r="N10" s="126">
        <f>IFERROR(ABS(M10-L10),"")</f>
        <v>0.0</v>
      </c>
      <c r="O10" s="127" t="str">
        <f>IF(ISNUMBER(N10),IF(N10&lt;=FormulaTest_Tolerance*MAX(1,ABS(L10)),"PASS","FAIL"),"FAIL")</f>
        <v>PASS</v>
      </c>
      <c r="P10" s="130" t="s">
        <v>860</v>
      </c>
    </row>
    <row r="11" ht="20.100000000000001" customHeight="1" x14ac:dyDescent="0.25">
      <c r="C11" s="128" t="s">
        <v>522</v>
      </c>
      <c r="D11" s="24" t="s">
        <v>862</v>
      </c>
      <c r="E11" s="129">
        <v>0.75</v>
      </c>
      <c r="L11" s="125">
        <f>SQRT(MIN(MAX($E11,10/250),1))</f>
        <v>0.8660254037844386</v>
      </c>
      <c r="M11" s="125" cm="1">
        <f t="array" ref="M11">SACCR_MaturityFactor($E11)</f>
        <v>0.8660254037844386</v>
      </c>
      <c r="N11" s="126">
        <f>IFERROR(ABS(M11-L11),"")</f>
        <v>0.0</v>
      </c>
      <c r="O11" s="127" t="str">
        <f>IF(ISNUMBER(N11),IF(N11&lt;=FormulaTest_Tolerance*MAX(1,ABS(L11)),"PASS","FAIL"),"FAIL")</f>
        <v>PASS</v>
      </c>
      <c r="P11" s="130" t="s">
        <v>863</v>
      </c>
    </row>
    <row r="12" ht="20.100000000000001" customHeight="1" x14ac:dyDescent="0.25">
      <c r="C12" s="128" t="s">
        <v>524</v>
      </c>
      <c r="D12" s="24" t="s">
        <v>862</v>
      </c>
      <c r="E12" s="129">
        <f>3/365</f>
        <v>0.00821917808219178</v>
      </c>
      <c r="L12" s="125">
        <f>SQRT(MIN(MAX($E12,10/250),1))</f>
        <v>0.2</v>
      </c>
      <c r="M12" s="125" cm="1">
        <f t="array" ref="M12">SACCR_MaturityFactor($E12)</f>
        <v>0.2</v>
      </c>
      <c r="N12" s="126">
        <f>IFERROR(ABS(M12-L12),"")</f>
        <v>0.0</v>
      </c>
      <c r="O12" s="127" t="str">
        <f>IF(ISNUMBER(N12),IF(N12&lt;=FormulaTest_Tolerance*MAX(1,ABS(L12)),"PASS","FAIL"),"FAIL")</f>
        <v>PASS</v>
      </c>
      <c r="P12" s="130" t="s">
        <v>863</v>
      </c>
    </row>
    <row r="13" ht="20.100000000000001" customHeight="1" x14ac:dyDescent="0.25">
      <c r="C13" s="128" t="s">
        <v>526</v>
      </c>
      <c r="D13" s="24" t="s">
        <v>864</v>
      </c>
      <c r="E13" s="129">
        <v>0</v>
      </c>
      <c r="F13" s="129" t="b">
        <v>1</v>
      </c>
      <c r="G13" s="129">
        <v>10</v>
      </c>
      <c r="L13" s="125">
        <f>IF($F13,1.5*SQRT($G13/250),SQRT(MIN(MAX($E13,10/250),1)))</f>
        <v>0.30000000000000004</v>
      </c>
      <c r="M13" s="125" cm="1">
        <f t="array" ref="M13">SACCR_MaturityFactor($E13,$F13,$G13)</f>
        <v>0.30000000000000004</v>
      </c>
      <c r="N13" s="126">
        <f>IFERROR(ABS(M13-L13),"")</f>
        <v>0.0</v>
      </c>
      <c r="O13" s="127" t="str">
        <f>IF(ISNUMBER(N13),IF(N13&lt;=FormulaTest_Tolerance*MAX(1,ABS(L13)),"PASS","FAIL"),"FAIL")</f>
        <v>PASS</v>
      </c>
      <c r="P13" s="130" t="s">
        <v>865</v>
      </c>
    </row>
    <row r="14" ht="20.100000000000001" customHeight="1" x14ac:dyDescent="0.25">
      <c r="C14" s="128" t="s">
        <v>528</v>
      </c>
      <c r="D14" s="24" t="s">
        <v>866</v>
      </c>
      <c r="E14" s="129">
        <v>0.06</v>
      </c>
      <c r="F14" s="129">
        <v>0.05</v>
      </c>
      <c r="G14" s="129">
        <v>1</v>
      </c>
      <c r="H14" s="129">
        <v>0.5</v>
      </c>
      <c r="I14" s="129" t="b">
        <v>0</v>
      </c>
      <c r="J14" s="129" t="b">
        <v>1</v>
      </c>
      <c r="L14" s="125">
        <f>IF($I14,_xlfn.NORM.S.DIST((LN(($E14+$K14)/($F14+$K14))+$H14^2*$G14/2)/($H14*SQRT($G14)),TRUE),-_xlfn.NORM.S.DIST(-(LN(($E14+$K14)/($F14+$K14))+$H14^2*$G14/2)/($H14*SQRT($G14)),TRUE))*IF($J14,1,-1)</f>
        <v>-0.2693952177105327</v>
      </c>
      <c r="M14" s="125" cm="1">
        <f t="array" ref="M14">SACCR_OptionDelta($E14,$F14,$G14,$H14,$I14,$J14)</f>
        <v>-0.2693952177105327</v>
      </c>
      <c r="N14" s="126">
        <f>IFERROR(ABS(M14-L14),"")</f>
        <v>0.0</v>
      </c>
      <c r="O14" s="127" t="str">
        <f>IF(ISNUMBER(N14),IF(N14&lt;=FormulaTest_Tolerance*MAX(1,ABS(L14)),"PASS","FAIL"),"FAIL")</f>
        <v>PASS</v>
      </c>
      <c r="P14" s="130" t="s">
        <v>867</v>
      </c>
    </row>
    <row r="15" ht="20.100000000000001" customHeight="1" x14ac:dyDescent="0.25">
      <c r="C15" s="128" t="s">
        <v>530</v>
      </c>
      <c r="D15" s="24" t="s">
        <v>866</v>
      </c>
      <c r="E15" s="129">
        <v>100</v>
      </c>
      <c r="F15" s="129">
        <v>110</v>
      </c>
      <c r="G15" s="129">
        <v>0.5</v>
      </c>
      <c r="H15" s="129">
        <v>0.32</v>
      </c>
      <c r="I15" s="129" t="b">
        <v>1</v>
      </c>
      <c r="J15" s="129" t="b">
        <v>0</v>
      </c>
      <c r="L15" s="125">
        <f>IF($I15,_xlfn.NORM.S.DIST((LN(($E15+$K15)/($F15+$K15))+$H15^2*$G15/2)/($H15*SQRT($G15)),TRUE),-_xlfn.NORM.S.DIST(-(LN(($E15+$K15)/($F15+$K15))+$H15^2*$G15/2)/($H15*SQRT($G15)),TRUE))*IF($J15,1,-1)</f>
        <v>-0.37901134582780294</v>
      </c>
      <c r="M15" s="125" cm="1">
        <f t="array" ref="M15">SACCR_OptionDelta($E15,$F15,$G15,$H15,$I15,$J15)</f>
        <v>-0.37901134582780294</v>
      </c>
      <c r="N15" s="126">
        <f>IFERROR(ABS(M15-L15),"")</f>
        <v>0.0</v>
      </c>
      <c r="O15" s="127" t="str">
        <f>IF(ISNUMBER(N15),IF(N15&lt;=FormulaTest_Tolerance*MAX(1,ABS(L15)),"PASS","FAIL"),"FAIL")</f>
        <v>PASS</v>
      </c>
      <c r="P15" s="130" t="s">
        <v>867</v>
      </c>
    </row>
    <row r="16" ht="20.100000000000001" customHeight="1" x14ac:dyDescent="0.25">
      <c r="C16" s="128" t="s">
        <v>532</v>
      </c>
      <c r="D16" s="24" t="s">
        <v>868</v>
      </c>
      <c r="E16" s="129">
        <v>-0.002</v>
      </c>
      <c r="F16" s="129">
        <v>0.001</v>
      </c>
      <c r="G16" s="129">
        <v>2</v>
      </c>
      <c r="H16" s="129">
        <v>0.5</v>
      </c>
      <c r="I16" s="129" t="b">
        <v>1</v>
      </c>
      <c r="J16" s="129" t="b">
        <v>1</v>
      </c>
      <c r="K16" s="129">
        <v>0.01</v>
      </c>
      <c r="L16" s="125">
        <f>IF($I16,_xlfn.NORM.S.DIST((LN(($E16+$K16)/($F16+$K16))+$H16^2*$G16/2)/($H16*SQRT($G16)),TRUE),-_xlfn.NORM.S.DIST(-(LN(($E16+$K16)/($F16+$K16))+$H16^2*$G16/2)/($H16*SQRT($G16)),TRUE))*IF($J16,1,-1)</f>
        <v>0.46143935794124913</v>
      </c>
      <c r="M16" s="125" cm="1">
        <f t="array" ref="M16">SACCR_OptionDelta($E16,$F16,$G16,$H16,$I16,$J16,$K16)</f>
        <v>0.46143935794124913</v>
      </c>
      <c r="N16" s="126">
        <f>IFERROR(ABS(M16-L16),"")</f>
        <v>0.0</v>
      </c>
      <c r="O16" s="127" t="str">
        <f>IF(ISNUMBER(N16),IF(N16&lt;=FormulaTest_Tolerance*MAX(1,ABS(L16)),"PASS","FAIL"),"FAIL")</f>
        <v>PASS</v>
      </c>
      <c r="P16" s="130" t="s">
        <v>869</v>
      </c>
    </row>
    <row r="17" ht="20.100000000000001" customHeight="1" x14ac:dyDescent="0.25">
      <c r="C17" s="128" t="s">
        <v>534</v>
      </c>
      <c r="D17" s="24" t="s">
        <v>870</v>
      </c>
      <c r="E17" s="129">
        <v>0.03</v>
      </c>
      <c r="F17" s="129">
        <v>0.06</v>
      </c>
      <c r="G17" s="129" t="b">
        <v>1</v>
      </c>
      <c r="L17" s="125">
        <f>15/((1+14*$E17)*(1+14*$F17))*IF($G17,1,-1)</f>
        <v>5.740967544396817</v>
      </c>
      <c r="M17" s="125" cm="1">
        <f t="array" ref="M17">SACCR_CDODelta($E17,$F17,$G17)</f>
        <v>5.740967544396816</v>
      </c>
      <c r="N17" s="126">
        <f>IFERROR(ABS(M17-L17),"")</f>
        <v>8.881784197001252e-16</v>
      </c>
      <c r="O17" s="127" t="str">
        <f>IF(ISNUMBER(N17),IF(N17&lt;=FormulaTest_Tolerance*MAX(1,ABS(L17)),"PASS","FAIL"),"FAIL")</f>
        <v>PASS</v>
      </c>
      <c r="P17" s="130" t="s">
        <v>871</v>
      </c>
    </row>
    <row r="18" ht="20.100000000000001" customHeight="1" x14ac:dyDescent="0.25">
      <c r="C18" s="128" t="s">
        <v>536</v>
      </c>
      <c r="D18" s="24" t="s">
        <v>872</v>
      </c>
      <c r="E18" s="129">
        <v>0</v>
      </c>
      <c r="F18" s="129">
        <v>-36253.8493844036</v>
      </c>
      <c r="G18" s="129">
        <v>78693.8680574733</v>
      </c>
      <c r="L18" s="125">
        <f>SQRT(MAX($E18^2+$F18^2+$G18^2+1.4*$E18*$F18+1.4*$F18*$G18+0.6*$E18*$G18,0))</f>
        <v>59269.963463710395</v>
      </c>
      <c r="M18" s="125" cm="1">
        <f t="array" ref="M18">SACCR_IREffectiveNotional($E18,$F18,$G18)</f>
        <v>59269.963463710395</v>
      </c>
      <c r="N18" s="126">
        <f>IFERROR(ABS(M18-L18),"")</f>
        <v>0.0</v>
      </c>
      <c r="O18" s="127" t="str">
        <f>IF(ISNUMBER(N18),IF(N18&lt;=FormulaTest_Tolerance*MAX(1,ABS(L18)),"PASS","FAIL"),"FAIL")</f>
        <v>PASS</v>
      </c>
      <c r="P18" s="130" t="s">
        <v>873</v>
      </c>
    </row>
    <row r="19" ht="20.100000000000001" customHeight="1" x14ac:dyDescent="0.25">
      <c r="C19" s="128" t="s">
        <v>538</v>
      </c>
      <c r="D19" s="24" t="s">
        <v>874</v>
      </c>
      <c r="E19" s="129">
        <v>105.861937916956</v>
      </c>
      <c r="F19" s="129">
        <v>-279.916321663744</v>
      </c>
      <c r="G19" s="129">
        <v>168.111404865732</v>
      </c>
      <c r="H19" s="129">
        <v>0.5</v>
      </c>
      <c r="I19" s="129">
        <v>0.5</v>
      </c>
      <c r="J19" s="129">
        <v>0.8</v>
      </c>
      <c r="L19" s="125">
        <f>SQRT(SUMPRODUCT($E19:$G19,$H19:$J19)^2+SUMPRODUCT((1-$H19:$J19^2)*$E19:$G19^2))</f>
        <v>282.12883185966604</v>
      </c>
      <c r="M19" s="125" cm="1">
        <f t="array" ref="M19">SACCR_FactorAggregation($E19:$G19,$H19:$J19)</f>
        <v>282.12883185966604</v>
      </c>
      <c r="N19" s="126">
        <f>IFERROR(ABS(M19-L19),"")</f>
        <v>0.0</v>
      </c>
      <c r="O19" s="127" t="str">
        <f>IF(ISNUMBER(N19),IF(N19&lt;=FormulaTest_Tolerance*MAX(1,ABS(L19)),"PASS","FAIL"),"FAIL")</f>
        <v>PASS</v>
      </c>
      <c r="P19" s="130" t="s">
        <v>875</v>
      </c>
    </row>
    <row r="20" ht="20.100000000000001" customHeight="1" x14ac:dyDescent="0.25">
      <c r="C20" s="128" t="s">
        <v>540</v>
      </c>
      <c r="D20" s="24" t="s">
        <v>876</v>
      </c>
      <c r="E20" s="129">
        <v>-20</v>
      </c>
      <c r="F20" s="129">
        <v>282</v>
      </c>
      <c r="L20" s="125">
        <f>IF($F20&lt;=0,1,MIN(1,0.05+0.95*EXP($E20/(2*0.95*$F20))))</f>
        <v>0.9651926811871945</v>
      </c>
      <c r="M20" s="125" cm="1">
        <f t="array" ref="M20">SACCR_Multiplier($E20,$F20)</f>
        <v>0.9651926811871945</v>
      </c>
      <c r="N20" s="126">
        <f>IFERROR(ABS(M20-L20),"")</f>
        <v>0.0</v>
      </c>
      <c r="O20" s="127" t="str">
        <f>IF(ISNUMBER(N20),IF(N20&lt;=FormulaTest_Tolerance*MAX(1,ABS(L20)),"PASS","FAIL"),"FAIL")</f>
        <v>PASS</v>
      </c>
      <c r="P20" s="130" t="s">
        <v>877</v>
      </c>
    </row>
    <row r="21" ht="20.100000000000001" customHeight="1" x14ac:dyDescent="0.25">
      <c r="C21" s="128" t="s">
        <v>542</v>
      </c>
      <c r="D21" s="24" t="s">
        <v>876</v>
      </c>
      <c r="E21" s="129">
        <v>10</v>
      </c>
      <c r="F21" s="129">
        <v>282</v>
      </c>
      <c r="L21" s="125">
        <f>IF($F21&lt;=0,1,MIN(1,0.05+0.95*EXP($E21/(2*0.95*$F21))))</f>
        <v>1</v>
      </c>
      <c r="M21" s="125" cm="1">
        <f t="array" ref="M21">SACCR_Multiplier($E21,$F21)</f>
        <v>1.0</v>
      </c>
      <c r="N21" s="126">
        <f>IFERROR(ABS(M21-L21),"")</f>
        <v>0.0</v>
      </c>
      <c r="O21" s="127" t="str">
        <f>IF(ISNUMBER(N21),IF(N21&lt;=FormulaTest_Tolerance*MAX(1,ABS(L21)),"PASS","FAIL"),"FAIL")</f>
        <v>PASS</v>
      </c>
      <c r="P21" s="130" t="s">
        <v>877</v>
      </c>
    </row>
    <row r="22" ht="20.100000000000001" customHeight="1" x14ac:dyDescent="0.25">
      <c r="C22" s="128" t="s">
        <v>544</v>
      </c>
      <c r="D22" s="24" t="s">
        <v>878</v>
      </c>
      <c r="E22" s="129">
        <v>5</v>
      </c>
      <c r="F22" s="129">
        <v>10</v>
      </c>
      <c r="G22" s="129" t="b">
        <v>1</v>
      </c>
      <c r="H22" s="129">
        <v>0</v>
      </c>
      <c r="I22" s="129">
        <v>10</v>
      </c>
      <c r="J22" s="129">
        <v>2</v>
      </c>
      <c r="L22" s="125">
        <f>IF($G22,MAX($E22-$F22,$H22+$I22-$J22,0),MAX($E22-$F22,0))</f>
        <v>8</v>
      </c>
      <c r="M22" s="125" cm="1">
        <f t="array" ref="M22">SACCR_ReplacementCost($E22,$F22,$G22,$H22,$I22,$J22)</f>
        <v>8.0</v>
      </c>
      <c r="N22" s="126">
        <f>IFERROR(ABS(M22-L22),"")</f>
        <v>0.0</v>
      </c>
      <c r="O22" s="127" t="str">
        <f>IF(ISNUMBER(N22),IF(N22&lt;=FormulaTest_Tolerance*MAX(1,ABS(L22)),"PASS","FAIL"),"FAIL")</f>
        <v>PASS</v>
      </c>
      <c r="P22" s="130" t="s">
        <v>879</v>
      </c>
    </row>
    <row r="23" ht="20.100000000000001" customHeight="1" x14ac:dyDescent="0.25">
      <c r="C23" s="128" t="s">
        <v>546</v>
      </c>
      <c r="D23" s="24" t="s">
        <v>880</v>
      </c>
      <c r="E23" s="129">
        <v>1.96</v>
      </c>
      <c r="L23" s="125">
        <f>_xlfn.NORM.S.DIST($E23,TRUE)</f>
        <v>0.9750021048517795</v>
      </c>
      <c r="M23" s="125" cm="1">
        <f t="array" ref="M23">SACCR_NormCDF($E23)</f>
        <v>0.9750021048517795</v>
      </c>
      <c r="N23" s="126">
        <f>IFERROR(ABS(M23-L23),"")</f>
        <v>0.0</v>
      </c>
      <c r="O23" s="127" t="str">
        <f>IF(ISNUMBER(N23),IF(N23&lt;=FormulaTest_Tolerance*MAX(1,ABS(L23)),"PASS","FAIL"),"FAIL")</f>
        <v>PASS</v>
      </c>
      <c r="P23" s="130" t="s">
        <v>881</v>
      </c>
    </row>
    <row r="24" ht="20.100000000000001" customHeight="1" x14ac:dyDescent="0.25">
      <c r="C24" s="128" t="s">
        <v>548</v>
      </c>
      <c r="D24" s="24" t="s">
        <v>880</v>
      </c>
      <c r="E24" s="129">
        <v>-8</v>
      </c>
      <c r="L24" s="125">
        <f>_xlfn.NORM.S.DIST($E24,TRUE)</f>
        <v>6.220960574271819e-16</v>
      </c>
      <c r="M24" s="125" cm="1">
        <f t="array" ref="M24">SACCR_NormCDF($E24)</f>
        <v>6.220960520142784e-16</v>
      </c>
      <c r="N24" s="126">
        <f>IFERROR(ABS(M24-L24),"")</f>
        <v>5.4129035033506995e-24</v>
      </c>
      <c r="O24" s="127" t="str">
        <f>IF(ISNUMBER(N24),IF(N24&lt;=FormulaTest_Tolerance*MAX(1,ABS(L24)),"PASS","FAIL"),"FAIL")</f>
        <v>PASS</v>
      </c>
      <c r="P24" s="130" t="s">
        <v>881</v>
      </c>
    </row>
    <row r="25" ht="20.100000000000001" customHeight="1" x14ac:dyDescent="0.25">
      <c r="C25" s="128" t="s">
        <v>550</v>
      </c>
      <c r="D25" s="24" t="s">
        <v>882</v>
      </c>
      <c r="E25" s="129">
        <v>-0.002</v>
      </c>
      <c r="F25" s="129">
        <v>0.001</v>
      </c>
      <c r="G25" s="129" t="b">
        <v>1</v>
      </c>
      <c r="L25" s="125">
        <f>IF($G25,MAX(0.001-MIN($E25,$F25),0),MAX(-(1+0.1)*MIN($E25,$F25),0))</f>
        <v>0.003</v>
      </c>
      <c r="M25" s="125" cm="1">
        <f t="array" ref="M25">SACCR_LambdaCRR($E25,$F25,$G25)</f>
        <v>0.003</v>
      </c>
      <c r="N25" s="126">
        <f>IFERROR(ABS(M25-L25),"")</f>
        <v>0.0</v>
      </c>
      <c r="O25" s="127" t="str">
        <f>IF(ISNUMBER(N25),IF(N25&lt;=FormulaTest_Tolerance*MAX(1,ABS(L25)),"PASS","FAIL"),"FAIL")</f>
        <v>PASS</v>
      </c>
      <c r="P25" s="130" t="s">
        <v>883</v>
      </c>
    </row>
    <row r="26" ht="20.100000000000001" customHeight="1" x14ac:dyDescent="0.25">
      <c r="C26" s="128" t="s">
        <v>552</v>
      </c>
      <c r="D26" s="24" t="s">
        <v>882</v>
      </c>
      <c r="E26" s="129">
        <v>0.02</v>
      </c>
      <c r="F26" s="129">
        <v>0.03</v>
      </c>
      <c r="G26" s="129" t="b">
        <v>1</v>
      </c>
      <c r="L26" s="125">
        <f>IF($G26,MAX(0.001-MIN($E26,$F26),0),MAX(-(1+0.1)*MIN($E26,$F26),0))</f>
        <v>0</v>
      </c>
      <c r="M26" s="125" cm="1">
        <f t="array" ref="M26">SACCR_LambdaCRR($E26,$F26,$G26)</f>
        <v>0.0</v>
      </c>
      <c r="N26" s="126">
        <f>IFERROR(ABS(M26-L26),"")</f>
        <v>0.0</v>
      </c>
      <c r="O26" s="127" t="str">
        <f>IF(ISNUMBER(N26),IF(N26&lt;=FormulaTest_Tolerance*MAX(1,ABS(L26)),"PASS","FAIL"),"FAIL")</f>
        <v>PASS</v>
      </c>
      <c r="P26" s="130" t="s">
        <v>883</v>
      </c>
    </row>
    <row r="27" ht="20.100000000000001" customHeight="1" x14ac:dyDescent="0.25">
      <c r="C27" s="128" t="s">
        <v>554</v>
      </c>
      <c r="D27" s="24" t="s">
        <v>882</v>
      </c>
      <c r="E27" s="129">
        <v>0.0005</v>
      </c>
      <c r="F27" s="129">
        <v>0.01</v>
      </c>
      <c r="G27" s="129" t="b">
        <v>1</v>
      </c>
      <c r="L27" s="125">
        <f>IF($G27,MAX(0.001-MIN($E27,$F27),0),MAX(-(1+0.1)*MIN($E27,$F27),0))</f>
        <v>0.0005</v>
      </c>
      <c r="M27" s="125" cm="1">
        <f t="array" ref="M27">SACCR_LambdaCRR($E27,$F27,$G27)</f>
        <v>0.0005</v>
      </c>
      <c r="N27" s="126">
        <f>IFERROR(ABS(M27-L27),"")</f>
        <v>0.0</v>
      </c>
      <c r="O27" s="127" t="str">
        <f>IF(ISNUMBER(N27),IF(N27&lt;=FormulaTest_Tolerance*MAX(1,ABS(L27)),"PASS","FAIL"),"FAIL")</f>
        <v>PASS</v>
      </c>
      <c r="P27" s="130" t="s">
        <v>883</v>
      </c>
    </row>
    <row r="28" ht="20.100000000000001" customHeight="1" x14ac:dyDescent="0.25">
      <c r="C28" s="128" t="s">
        <v>556</v>
      </c>
      <c r="D28" s="24" t="s">
        <v>882</v>
      </c>
      <c r="E28" s="129">
        <v>-5</v>
      </c>
      <c r="F28" s="129">
        <v>-4</v>
      </c>
      <c r="G28" s="129" t="b">
        <v>0</v>
      </c>
      <c r="L28" s="125">
        <f>IF($G28,MAX(0.001-MIN($E28,$F28),0),MAX(-(1+0.1)*MIN($E28,$F28),0))</f>
        <v>5.5</v>
      </c>
      <c r="M28" s="125" cm="1">
        <f t="array" ref="M28">SACCR_LambdaCRR($E28,$F28,$G28)</f>
        <v>5.5</v>
      </c>
      <c r="N28" s="126">
        <f>IFERROR(ABS(M28-L28),"")</f>
        <v>0.0</v>
      </c>
      <c r="O28" s="127" t="str">
        <f>IF(ISNUMBER(N28),IF(N28&lt;=FormulaTest_Tolerance*MAX(1,ABS(L28)),"PASS","FAIL"),"FAIL")</f>
        <v>PASS</v>
      </c>
      <c r="P28" s="130" t="s">
        <v>883</v>
      </c>
    </row>
    <row r="29" ht="20.100000000000001" customHeight="1" x14ac:dyDescent="0.25">
      <c r="C29" s="128" t="s">
        <v>558</v>
      </c>
      <c r="D29" s="24" t="s">
        <v>882</v>
      </c>
      <c r="E29" s="129">
        <v>40</v>
      </c>
      <c r="F29" s="129">
        <v>35</v>
      </c>
      <c r="G29" s="129" t="b">
        <v>0</v>
      </c>
      <c r="L29" s="125">
        <f>IF($G29,MAX(0.001-MIN($E29,$F29),0),MAX(-(1+0.1)*MIN($E29,$F29),0))</f>
        <v>0</v>
      </c>
      <c r="M29" s="125" cm="1">
        <f t="array" ref="M29">SACCR_LambdaCRR($E29,$F29,$G29)</f>
        <v>0.0</v>
      </c>
      <c r="N29" s="126">
        <f>IFERROR(ABS(M29-L29),"")</f>
        <v>0.0</v>
      </c>
      <c r="O29" s="127" t="str">
        <f>IF(ISNUMBER(N29),IF(N29&lt;=FormulaTest_Tolerance*MAX(1,ABS(L29)),"PASS","FAIL"),"FAIL")</f>
        <v>PASS</v>
      </c>
      <c r="P29" s="130" t="s">
        <v>883</v>
      </c>
    </row>
  </sheetData>
  <dataValidations count="1">
    <dataValidation type="decimal" operator="between" allowBlank="0" showInputMessage="1" showErrorMessage="1" errorTitle="Invalid tolerance" error="Enter a percentage above 0% and at most 1%." promptTitle="Tolerance" prompt="Relative tolerance of every unit test, applied to max(1, |Expected|). Default 0.001%." sqref="D5">
      <formula1>0.0000000000000001</formula1>
      <formula2>0.01</formula2>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