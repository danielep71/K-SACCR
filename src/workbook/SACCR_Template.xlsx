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8" activeTab="15"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5" hidden="1">Basel_vs_CRR!$C$5:$K$30</definedName>
    <definedName name="_xlnm._FilterDatabase" localSheetId="3" hidden="1">Trades!$C$4:$AB$69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<sst xmlns="http://schemas.openxmlformats.org/spreadsheetml/2006/main" count="7924" uniqueCount="933">
  <si>
    <t>K-SACCR</t>
  </si>
  <si>
    <t>Standardised approach for counterparty credit risk under EU CRR (Art. 274-280f), the default, and Basel CRE52, chosen per netting set.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</si>
  <si>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</si>
  <si>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</si>
  <si>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</si>
  <si>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</si>
  <si>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</si>
  <si>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</si>
  <si>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</si>
  <si>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</si>
  <si>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</si>
  <si>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error (trade excluded, netting set withheld, run stopped), warning and information message.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</si>
  <si>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</si>
  <si>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</si>
  <si>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</si>
  <si>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</si>
  <si>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</si>
  <si>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</si>
  <si>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</si>
  <si>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</si>
  <si>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</si>
  <si>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</si>
  <si>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</si>
  <si>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</si>
  <si>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</si>
  <si>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</si>
  <si>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</si>
  <si>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</si>
  <si>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</si>
  <si>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</si>
  <si>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</si>
  <si>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</si>
  <si>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</si>
  <si>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</si>
  <si>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</si>
  <si>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</si>
  <si>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</si>
  <si>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</si>
  <si>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</si>
  <si>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</si>
  <si>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</si>
  <si>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</si>
  <si>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</si>
  <si>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</si>
  <si>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</si>
  <si>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</si>
  <si>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</si>
  <si>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</si>
  <si>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</si>
  <si>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</si>
  <si>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</si>
  <si>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</si>
  <si>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</si>
  <si>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</si>
  <si>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</si>
  <si>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</si>
  <si>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</si>
  <si>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</si>
  <si>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</si>
  <si>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</si>
  <si>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errors (trade excluded, netting set withheld, run stopped), warnings and information</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</si>
  <si>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</si>
  <si>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</si>
  <si>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</si>
  <si>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</si>
  <si>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</si>
  <si>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</si>
  <si>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</si>
  <si>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</si>
  <si>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</si>
  <si>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</si>
  <si>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</si>
  <si>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</si>
  <si>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</si>
  <si>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</si>
  <si>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</si>
  <si>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</si>
  <si>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</si>
  <si>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</si>
  <si>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</si>
  <si>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</si>
  <si>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</si>
  <si>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</si>
  <si>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</si>
  <si>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</si>
  <si>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</si>
  <si>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</si>
  <si>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</si>
  <si>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BusinessDaysPerYear (250); dates use DaysPerYear.</t>
  </si>
  <si>
    <t>Sample data</t>
  </si>
  <si>
    <t>Code</t>
  </si>
  <si>
    <t>Modules</t>
  </si>
  <si>
    <t>Parameters</t>
  </si>
  <si>
    <t>Each value is read through the workbook name equal to its code in column C;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</si>
  <si>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</si>
  <si>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</si>
  <si>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</si>
  <si>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</si>
  <si>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</si>
  <si>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</si>
  <si>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</si>
  <si>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</si>
  <si>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</si>
  <si>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</si>
  <si>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</si>
  <si>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</si>
  <si>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</si>
  <si>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</si>
  <si>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</si>
  <si>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</si>
  <si>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</si>
  <si>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</si>
  <si>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CRE52.49, 52.53 / CRR Art. 279c(1)</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</si>
  <si>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</si>
  <si>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</si>
  <si>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</si>
  <si>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</si>
  <si>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</si>
  <si>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</si>
  <si>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</si>
  <si>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</si>
  <si>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</si>
  <si>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</si>
  <si>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CRE54.12 / CRR Art. 279c(1)(b)</t>
  </si>
  <si>
    <t>MPORFloorLarge</t>
  </si>
  <si>
    <t>MPOR floor, &gt;5,000 trades, illiquid collateral or hard-to-replace derivative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</si>
  <si>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</si>
  <si>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</si>
  <si>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</si>
  <si>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</si>
  <si>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</si>
  <si>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</si>
  <si>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</si>
  <si>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</si>
  <si>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</si>
  <si>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</si>
  <si>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</si>
  <si>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</si>
  <si>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</si>
  <si>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</si>
  <si>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</si>
  <si>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</si>
  <si>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</si>
  <si>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</si>
  <si>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</si>
  <si>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</si>
  <si>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</si>
  <si>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</si>
  <si>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</si>
  <si>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</si>
  <si>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</si>
  <si>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</si>
  <si>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</si>
  <si>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</si>
  <si>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</si>
  <si>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</si>
  <si>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</si>
  <si>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</si>
  <si>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</si>
  <si>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</si>
  <si>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</si>
  <si>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 RTS 2021/931 Art. 5(3) (vol)</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</si>
  <si>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</si>
  <si>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</si>
  <si>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</si>
  <si>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</si>
  <si>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</si>
  <si>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</si>
  <si>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</si>
  <si>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</si>
  <si>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</si>
  <si>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</si>
  <si>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</si>
  <si>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</si>
  <si>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</si>
  <si>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</si>
  <si>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</si>
  <si>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</si>
  <si>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</si>
  <si>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</si>
  <si>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</si>
  <si>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</si>
  <si>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</si>
  <si>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</si>
  <si>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</si>
  <si>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</si>
  <si>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</si>
  <si>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</si>
  <si>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</si>
  <si>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</si>
  <si>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</si>
  <si>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</si>
  <si>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</si>
  <si>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</si>
  <si>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</si>
  <si>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</si>
  <si>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</si>
  <si>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</si>
  <si>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</si>
  <si>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</si>
  <si>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</si>
  <si>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</si>
  <si>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</si>
  <si>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</si>
  <si>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</si>
  <si>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</si>
  <si>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</si>
  <si>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</si>
  <si>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</si>
  <si>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</si>
  <si>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</si>
  <si>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</si>
  <si>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</si>
  <si>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</si>
  <si>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</si>
  <si>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</si>
  <si>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</si>
  <si>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</si>
  <si>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</si>
  <si>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</si>
  <si>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</si>
  <si>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</si>
  <si>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</si>
  <si>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</si>
  <si>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</si>
  <si>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</si>
  <si>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</si>
  <si>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</si>
  <si>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</si>
  <si>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</si>
  <si>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</si>
  <si>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</si>
  <si>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</si>
  <si>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</si>
  <si>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</si>
  <si>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</si>
  <si>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</si>
  <si>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</si>
  <si>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</si>
  <si>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</si>
  <si>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</si>
  <si>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</si>
  <si>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</si>
  <si>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</si>
  <si>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</si>
  <si>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</si>
  <si>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</si>
  <si>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</si>
  <si>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</si>
  <si>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</si>
  <si>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</si>
  <si>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</si>
  <si>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</si>
  <si>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</si>
  <si>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</si>
  <si>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</si>
  <si>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</si>
  <si>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</si>
  <si>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</si>
  <si>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</si>
  <si>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</si>
  <si>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</si>
  <si>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(rejected EBA Q&amp;A 2022_6354) - Basel cap</t>
  </si>
  <si>
    <t>CRR-VMCAP</t>
  </si>
  <si>
    <t>Posted-VM scenario (rejected EBA Q&amp;A 2022_6354) - CRR Art. 274(3) cap, EBA Q&amp;A 2023_6962</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</si>
  <si>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</si>
  <si>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</si>
  <si>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</si>
  <si>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</si>
  <si>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</si>
  <si>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</si>
  <si>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</si>
  <si>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</si>
  <si>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</si>
  <si>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</si>
  <si>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</si>
  <si>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</si>
  <si>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</si>
  <si>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</si>
  <si>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</si>
  <si>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</si>
  <si>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</si>
  <si>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</si>
  <si>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</si>
  <si>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</si>
  <si>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</si>
  <si>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</si>
  <si>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</si>
  <si>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</si>
  <si>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</si>
  <si>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</si>
  <si>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</si>
  <si>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</si>
  <si>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</si>
  <si>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</si>
  <si>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</si>
  <si>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</si>
  <si>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</si>
  <si>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</si>
  <si>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</si>
  <si>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</si>
  <si>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</si>
  <si>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</si>
  <si>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</si>
  <si>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</si>
  <si>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</si>
  <si>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</si>
  <si>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</si>
  <si>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</si>
  <si>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</si>
  <si>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</si>
  <si>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</si>
  <si>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(CRE99 treats WTI and Brent as one type, crude oil)</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</si>
  <si>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</si>
  <si>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</si>
  <si>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</si>
  <si>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</si>
  <si>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</si>
  <si>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</si>
  <si>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</si>
  <si>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</si>
  <si>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</si>
  <si>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</si>
  <si>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</si>
  <si>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</si>
  <si>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</si>
  <si>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</si>
  <si>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</si>
  <si>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</si>
  <si>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</si>
  <si>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</si>
  <si>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</si>
  <si>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</si>
  <si>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</si>
  <si>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</si>
  <si>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</si>
  <si>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</si>
  <si>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</si>
  <si>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</si>
  <si>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</si>
  <si>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</si>
  <si>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</si>
  <si>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</si>
  <si>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</si>
  <si>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</si>
  <si>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</si>
  <si>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</si>
  <si>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</si>
  <si>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</si>
  <si>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</si>
  <si>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</si>
  <si>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</si>
  <si>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</si>
  <si>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</si>
  <si>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</si>
  <si>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</si>
  <si>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</si>
  <si>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</si>
  <si>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</si>
  <si>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</si>
  <si>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</si>
  <si>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</si>
  <si>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</si>
  <si>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</si>
  <si>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</si>
  <si>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</si>
  <si>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</si>
  <si>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</si>
  <si>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</si>
  <si>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</si>
  <si>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</si>
  <si>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</si>
  <si>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</si>
  <si>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</si>
  <si>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</si>
  <si>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</si>
  <si>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</si>
  <si>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</si>
  <si>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</si>
  <si>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</si>
  <si>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</si>
  <si>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</si>
  <si>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</si>
  <si>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</si>
  <si>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</si>
  <si>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</si>
  <si>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</si>
  <si>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</si>
  <si>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</si>
  <si>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</si>
  <si>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</si>
  <si>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</si>
  <si>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</si>
  <si>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</si>
  <si>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</si>
  <si>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</si>
  <si>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</si>
  <si>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</si>
  <si>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</si>
  <si>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</si>
  <si>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</si>
  <si>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</si>
  <si>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</si>
  <si>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</si>
  <si>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</si>
  <si>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</si>
  <si>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</si>
  <si>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</si>
  <si>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</si>
  <si>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</si>
  <si>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</si>
  <si>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</si>
  <si>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</si>
  <si>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</si>
  <si>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</si>
  <si>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</si>
  <si>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</si>
  <si>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</si>
  <si>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</si>
  <si>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</si>
  <si>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</si>
  <si>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</si>
  <si>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</si>
  <si>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</si>
  <si>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1y Italian power baseload swap</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</si>
  <si>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</si>
  <si>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</si>
  <si>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</si>
  <si>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</si>
  <si>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</si>
  <si>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</si>
  <si>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</si>
  <si>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</si>
  <si>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</si>
  <si>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</si>
  <si>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</si>
  <si>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</si>
  <si>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</si>
  <si>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</si>
  <si>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</si>
  <si>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</si>
  <si>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</si>
  <si>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</si>
  <si>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</si>
  <si>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</si>
  <si>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</si>
  <si>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</si>
  <si>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</si>
  <si>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</si>
  <si>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</si>
  <si>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</si>
  <si>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</si>
  <si>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</si>
  <si>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 CRR &lt;=1y)</t>
  </si>
  <si>
    <t>D2 (1-5y)</t>
  </si>
  <si>
    <t>D3 (&gt;5y)</t>
  </si>
  <si>
    <t>Effective notional (IR / FX / OT)</t>
  </si>
  <si>
    <t>Systematic: sum rho x A</t>
  </si>
  <si>
    <t>Idiosyncratic: sqrt(sum (1-rho^2) A^2)</t>
  </si>
  <si>
    <t>Hedging-set add-on</t>
  </si>
  <si>
    <t>Add-on unmargined</t>
  </si>
  <si>
    <t>SF effective (IR / FX / OT)</t>
  </si>
  <si>
    <t>CO|CLIMATIC|STD</t>
  </si>
  <si>
    <t>Buckets, entities and commodity types</t>
  </si>
  <si>
    <t>IR: maturity bucket on E: &lt;1Y (CRR: up to and including 1Y) / 1-5Y / &gt;5Y. FX: currency pair. CR / EQ: reference entity. CO: commodity type. OT: primary risk driver.</t>
  </si>
  <si>
    <t>Bucket / entity / type</t>
  </si>
  <si>
    <t>SF (effective)</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</si>
  <si>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</si>
  <si>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</si>
  <si>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</si>
  <si>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</si>
  <si>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</si>
  <si>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</si>
  <si>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</si>
  <si>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</si>
  <si>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</si>
  <si>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</si>
  <si>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</si>
  <si>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</si>
  <si>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</si>
  <si>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</si>
  <si>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</si>
  <si>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</si>
  <si>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</si>
  <si>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</si>
  <si>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</si>
  <si>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</si>
  <si>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</si>
  <si>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</si>
  <si>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</si>
  <si>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 input rejected; the netting set's EAD is withheld (INCOMPLETE or INVALID) or the run stops. WARNING: accepted with an assumption. INFO: information only.</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</si>
  <si>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</si>
  <si>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</si>
  <si>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</si>
  <si>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</si>
  <si>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</si>
  <si>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</si>
  <si>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</si>
  <si>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</si>
  <si>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</si>
  <si>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</si>
  <si>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</si>
  <si>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</si>
  <si>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</si>
  <si>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</si>
  <si>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</si>
  <si>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</si>
  <si>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</si>
  <si>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</si>
  <si>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protection bought</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</si>
  <si>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</si>
  <si>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</si>
  <si>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</si>
  <si>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</si>
  <si>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</si>
  <si>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</si>
  <si>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</si>
  <si>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</si>
  <si>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</si>
  <si>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</si>
  <si>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</si>
  <si>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</si>
  <si>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</si>
  <si>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</si>
  <si>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</si>
  <si>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</si>
  <si>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</si>
  <si>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</si>
  <si>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</si>
  <si>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</si>
  <si>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</si>
  <si>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</si>
  <si>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</si>
  <si>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</si>
  <si>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</si>
  <si>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</si>
  <si>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4a</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</si>
  <si>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</si>
  <si>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</si>
  <si>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</si>
  <si>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</si>
  <si>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</si>
  <si>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</si>
  <si>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</si>
  <si>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</si>
  <si>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</si>
  <si>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</si>
  <si>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</si>
  <si>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</si>
  <si>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</si>
  <si>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</si>
  <si>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</si>
  <si>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</si>
  <si>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</si>
  <si>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</si>
  <si>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</si>
  <si>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</si>
  <si>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</si>
  <si>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</si>
  <si>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</si>
  <si>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</si>
  <si>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</si>
  <si>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</si>
  <si>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</si>
  <si>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</si>
  <si>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+ 628.9), unrounded add-on (printed 629); engine 936.45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</si>
  <si>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</si>
  <si>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</si>
  <si>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</si>
  <si>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</si>
  <si>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</si>
  <si>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</si>
  <si>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</si>
  <si>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</si>
  <si>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</si>
  <si>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</si>
  <si>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</si>
  <si>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</si>
  <si>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</si>
  <si>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</si>
  <si>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Illustrative - Python value, not in repository</t>
  </si>
  <si>
    <t>Common core reproduces the Basel result</t>
  </si>
  <si>
    <t>T16</t>
  </si>
  <si>
    <t>Engineering scenario - not authoritative</t>
  </si>
  <si>
    <t>rel</t>
  </si>
  <si>
    <t>T17</t>
  </si>
  <si>
    <t>Posted VM: CRR cap excludes VM from NICA -&gt; cap binds (~41)</t>
  </si>
  <si>
    <t>CRR Art. 274(3), 275(1); EBA Q&amp;A 2023_6962</t>
  </si>
  <si>
    <t>Q&amp;A 2022_6354 (rejected) illustration: 41 (cap) vs 378 (margined); this workbook ~377 (see T16)</t>
  </si>
  <si>
    <t>T18</t>
  </si>
  <si>
    <t>Posted VM: cap applied flag</t>
  </si>
  <si>
    <t>EBA Q&amp;A 2023_6962</t>
  </si>
  <si>
    <t>text</t>
  </si>
  <si>
    <t>T19</t>
  </si>
  <si>
    <t>EU - options</t>
  </si>
  <si>
    <t>Swaption forward 1%: EAD (lambda = 0)</t>
  </si>
  <si>
    <t>Illustrative; EBA RTS figures (~761) cited, source not registered</t>
  </si>
  <si>
    <t>Cited figures: PFE ~483, EAD ~761 - source not opened here</t>
  </si>
  <si>
    <t>T20</t>
  </si>
  <si>
    <t>Negative forward: RTS lambda = 0.10% - min(P, K)</t>
  </si>
  <si>
    <t>Illustrative - unreviewed hand calculation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</si>
  <si>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</si>
  <si>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</si>
  <si>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</si>
  <si>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</si>
  <si>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</si>
  <si>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</si>
  <si>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</si>
  <si>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</si>
  <si>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</si>
  <si>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</si>
  <si>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</si>
  <si>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</si>
  <si>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</si>
  <si>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</si>
  <si>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</si>
  <si>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</si>
  <si>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</si>
  <si>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</si>
  <si>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</si>
  <si>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</si>
  <si>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</si>
  <si>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</si>
  <si>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</si>
  <si>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</si>
  <si>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</si>
  <si>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</si>
  <si>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</si>
  <si>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</si>
  <si>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</si>
  <si>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CRE99 figure, rounded (tolerance covers rounding); it validates the Basel rules. Every other row is illustrative: an unreviewed hand calculation or a value from a Python implementation that is not in the repository - a regression anchor, not validation (#100).</t>
  </si>
  <si>
    <t>Engineering scenarios after EBA Q&amp;A 2022_6354 (rejected) reproduce its pattern only; the decisive rule is the final Q&amp;A 2023_6962. The EBA swaption figures of T19 (~483 / ~761) are cited, not taken from a registered source: T19 is illustrative.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</si>
  <si>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</si>
  <si>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</si>
  <si>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</si>
  <si>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</si>
  <si>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</si>
  <si>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</si>
  <si>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</si>
  <si>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</si>
  <si>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</si>
  <si>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</si>
  <si>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4a worked examples.</t>
  </si>
  <si>
    <t>CRR Art. 273a-282 (Level 1) -&gt; Delegated Reg. (EU) 2021/931 as amended (incl. 2025/855) -&gt; EBA Q&amp;A.</t>
  </si>
  <si>
    <t>Different</t>
  </si>
  <si>
    <t>Interpretation route</t>
  </si>
  <si>
    <t>Regime on Params (default CRR), override per netting set. The engine applies each regime's rules; the SACCR_* functions take no regime argument (SACCR_LambdaCRR is the CRR lambda).</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</si>
  <si>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</si>
  <si>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</si>
  <si>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</si>
  <si>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</si>
  <si>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</si>
  <si>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</si>
  <si>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</si>
  <si>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</si>
  <si>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</si>
  <si>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</si>
  <si>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</si>
  <si>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</si>
  <si>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</si>
  <si>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</si>
  <si>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</si>
  <si>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</si>
  <si>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</si>
  <si>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</si>
  <si>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</si>
  <si>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</si>
  <si>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</si>
  <si>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</si>
  <si>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</si>
  <si>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</si>
  <si>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</si>
  <si>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</si>
  <si>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</si>
  <si>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</si>
  <si>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</si>
  <si>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</si>
  <si>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</si>
  <si>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</si>
  <si>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</si>
  <si>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</si>
  <si>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</si>
  <si>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</si>
  <si>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</si>
  <si>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</si>
  <si>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</si>
  <si>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</si>
  <si>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</si>
  <si>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</si>
  <si>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</si>
  <si>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</si>
  <si>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</si>
  <si>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</si>
  <si>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</si>
  <si>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</si>
  <si>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</si>
  <si>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</si>
  <si>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</si>
  <si>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</si>
  <si>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</si>
  <si>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</si>
  <si>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</si>
  <si>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IR and commodity options: RTS lambda computed; a different value entered is ignored with a warning. Other options and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</si>
  <si>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</si>
  <si>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</si>
  <si>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</si>
  <si>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</si>
  <si>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</si>
  <si>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</si>
  <si>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</si>
  <si>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T02 (IR 50%)</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</si>
  <si>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</si>
  <si>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</si>
  <si>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</si>
  <si>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</si>
  <si>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</si>
  <si>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</si>
  <si>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</si>
  <si>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</si>
  <si>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</si>
  <si>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</si>
  <si>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</si>
  <si>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</si>
  <si>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</si>
  <si>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</si>
  <si>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</si>
  <si>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</si>
  <si>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</si>
  <si>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</si>
  <si>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</si>
  <si>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</si>
  <si>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</si>
  <si>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</si>
  <si>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</si>
  <si>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</si>
  <si>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</si>
  <si>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</si>
  <si>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</si>
  <si>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</si>
  <si>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CRE52.1 FAQ3 allow a multiple-payment option as single-payment options; linear products may not be decomposed.</t>
  </si>
  <si>
    <t>Art. 274(6): replace a finite linear combination of options by its single options, and a vanilla digital option by a 0.95K / 1.05K collar, without the CRE52.42(3) cap.</t>
  </si>
  <si>
    <t>Similar (digital options differ)</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</si>
  <si>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</si>
  <si>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</si>
  <si>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</si>
  <si>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</si>
  <si>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</si>
  <si>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(unmargined trades in one of their own); one RC over all trades per Art. 275(2), with VM, NICA, TH and MTA summed across agreements; add-ons per sub-netting set.</t>
  </si>
  <si>
    <t>Similar</t>
  </si>
  <si>
    <t>Test each regime separately</t>
  </si>
  <si>
    <t>Not implemented.</t>
  </si>
  <si>
    <t>One margin agreement over several netting sets</t>
  </si>
  <si>
    <t>One margin agreement over several netting sets: RC per agreement, PFE as the sum of unmargined netting-set PFEs [CRE52.75-52.76].</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</si>
  <si>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</si>
  <si>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</si>
  <si>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</si>
  <si>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</si>
  <si>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</si>
  <si>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</si>
  <si>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</si>
  <si>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</si>
  <si>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</si>
  <si>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</si>
  <si>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</si>
  <si>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type other than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</si>
  <si>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</si>
  <si>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</si>
  <si>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</si>
  <si>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</si>
  <si>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</si>
  <si>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</si>
  <si>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buckets on E (up to and including 1y, over 1 to 5y, over 5y); the bucket formula only, no sum of absolute bucket values.</t>
  </si>
  <si>
    <t>CRR netting sets cannot use the sum of absolutes; E of exactly 1 year is bucket 1 under CRR, bucket 2 under BCBS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</si>
  <si>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</si>
  <si>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</si>
  <si>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</si>
  <si>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rejected under CRR, where such a netting set must be entered as margined (Margined = Y) [Art. 272(7a)].</t>
  </si>
  <si>
    <t>MPOR floor, client clearing (BD)</t>
  </si>
  <si>
    <t>Posted VM: Basel cap uses NICA only -&gt; cap binds (~41)</t>
  </si>
  <si>
    <t>CRE52.2, CRE52.10</t>
  </si>
  <si>
    <t>Same as T17 since #39: cap ~41 &lt; margined ~377</t>
  </si>
  <si>
    <t>Not yet in the catalogue: the CRE99 margin-agreement RC examples (segregated vs non-segregated IM). Unrated names have no engine rule: they are entered as CQS3, CQS5 or the mapped step.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</si>
  <si>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</si>
  <si>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</si>
  <si>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</si>
  <si>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</si>
  <si>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</si>
  <si>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</si>
  <si>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</si>
  <si>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</si>
  <si>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</si>
  <si>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</si>
  <si>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</si>
  <si>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</si>
  <si>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</si>
  <si>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</si>
  <si>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</si>
  <si>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</si>
  <si>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</si>
  <si>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</si>
  <si>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</si>
  <si>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</si>
  <si>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</si>
  <si>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</si>
  <si>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</si>
  <si>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</si>
  <si>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</si>
  <si>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</si>
  <si>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</si>
  <si>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</si>
  <si>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</si>
  <si>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</si>
  <si>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</si>
  <si>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</si>
  <si>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</si>
  <si>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</si>
  <si>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</si>
  <si>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</si>
  <si>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</si>
  <si>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</si>
  <si>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</si>
  <si>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</si>
  <si>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</si>
  <si>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</si>
  <si>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</si>
  <si>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</si>
  <si>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</si>
  <si>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</si>
  <si>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279a(1)(b)</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</si>
  <si>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</si>
  <si>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</si>
  <si>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</si>
  <si>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</si>
  <si>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</si>
  <si>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</si>
  <si>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</si>
  <si>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</si>
  <si>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</si>
  <si>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</si>
  <si>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</si>
  <si>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</si>
  <si>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</si>
  <si>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</si>
  <si>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</si>
  <si>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</si>
  <si>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</si>
  <si>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</si>
  <si>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</si>
  <si>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</si>
  <si>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</si>
  <si>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</si>
  <si>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</si>
  <si>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</si>
  <si>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</si>
  <si>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</si>
  <si>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</si>
  <si>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</si>
  <si>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</si>
  <si>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runs the checks only: it rewrites Checks and clears the other output sheets and both reconciliations;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</si>
  <si>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</si>
  <si>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</si>
  <si>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</si>
  <si>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</si>
  <si>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</si>
  <si>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</si>
  <si>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</si>
  <si>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</si>
  <si>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</si>
  <si>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</si>
  <si>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</si>
  <si>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</si>
  <si>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</si>
  <si>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Microsoft 365 or Excel 2016 and later, Windows 64-bit; 32-bit is kept compiling but not certified; Mac, Excel for the web and Excel 2013 or earlier are not supported.</t>
  </si>
  <si>
    <t>Bank netting-set results</t>
  </si>
  <si>
    <t>Enter the bank's own figures per netting set. Run SA-CCR (on Results or Trades)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</si>
  <si>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</si>
  <si>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</si>
  <si>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</si>
  <si>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</si>
  <si>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</si>
  <si>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absolute bank figure; not applied when it is 0. Amounts match within either tolerance; M, SD, delta and the maturity factors only within this one, or when equal.</t>
  </si>
  <si>
    <t>Regime (BCBS / CRR)</t>
  </si>
  <si>
    <t>Reconciliation</t>
  </si>
  <si>
    <t>Bank row</t>
  </si>
  <si>
    <t>Bank regime</t>
  </si>
  <si>
    <t>Calculator regime</t>
  </si>
  <si>
    <t>Calculator status</t>
  </si>
  <si>
    <t>Measure</t>
  </si>
  <si>
    <t>Bank figure (amounts in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</si>
  <si>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</si>
  <si>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</si>
  <si>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</si>
  <si>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</si>
  <si>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</si>
  <si>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</si>
  <si>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</si>
  <si>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(on Results or Trades)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</si>
  <si>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</si>
  <si>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</si>
  <si>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</si>
  <si>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</si>
  <si>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</si>
  <si>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</si>
  <si>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</si>
  <si>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</si>
  <si>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press Run SA-CCR.</t>
  </si>
  <si>
    <t>No reconciliation yet: enter bank figures on BankNettingSets and press Run SA-CCR (on Results or Trades).</t>
  </si>
  <si>
    <t>No reconciliation yet: enter bank figures on BankTrades and press Run SA-CCR (on Results or Trades).</t>
  </si>
  <si>
    <t>CRE52.51 / CRR Art. 285(3)</t>
  </si>
  <si>
    <t>CRE52.72 / CRR Art. 280e(5); RTS 2021/931 Art. 5(3) (vol)</t>
  </si>
  <si>
    <t>CRE52.72 / CRR Art. 280e(5); RTS 2021/931 Art. 5(3) (vol)</t>
  </si>
  <si>
    <t>CRE52.72 / CRR Art. 280e(5); RTS 2021/931 Art. 5(3) (vol)</t>
  </si>
  <si>
    <t>CRE52.72 / CRR Art. 280e(5); RTS 2021/931 Art. 5(3) (vol)</t>
  </si>
  <si>
    <t>CRE52.72 / CRR Art. 280e(5); RTS 2021/931 Art. 5(3) (vol)</t>
  </si>
  <si>
    <t>9m WTI forward (CRE99 treats WTI and Brent as one type, crude oil)</t>
  </si>
  <si>
    <t>9m WTI forward (CRE99 treats WTI and Brent as one type, crude oil)</t>
  </si>
  <si>
    <t>Trades used</t>
  </si>
  <si>
    <t>Figures basis</t>
  </si>
  <si>
    <t>Of the absolute bank figure; not applied when it is 0. Amounts match within either tolerance; the multiplier only within this one, or when equal.</t>
  </si>
  <si>
    <t>Bank figure (amounts in units)</t>
  </si>
  <si>
    <t>CRE52.40; CRR-RTS Art. 5(1) (lambda 0 here)</t>
  </si>
  <si>
    <t>Basel - cap</t>
  </si>
  <si>
    <t>Illustrative - Python value, not in repository</t>
  </si>
  <si>
    <t>Illustrative - Python value, not in repository</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</si>
  <si>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</si>
  <si>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</si>
  <si>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</si>
  <si>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</si>
  <si>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</si>
  <si>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</si>
  <si>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</si>
  <si>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T03; TEST_InputValidation (ir-bucket-boundaries)</t>
  </si>
  <si>
    <t>Reference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</si>
</sst>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0">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cellXfs>
  <cellStyles count="1">
    <cellStyle name="Normal" xfId="0" builtinId="0"/>
  </cellStyles>
  <dxfs count="15">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dr:from>
      <xdr:col>2</xdr:col>
      <xdr:colOff>0</xdr:colOff>
      <xdr:row>76</xdr:row>
      <xdr:rowOff>95250</xdr:rowOff>
    </xdr:from>
    <xdr:ext cx="12001500" cy="9629775"/>
    <xdr:pic>
      <xdr:nvPicPr>
        <xdr:cNvPr id="2" name="Reference card" descr="K-SACCR one-page reference card: SA-CCR formulas and supervisory parameters under Basel CRE52 and the EU CRR"/>
        <xdr:cNvPicPr>
          <a:picLocks noChangeAspect="1"/>
        </xdr:cNvPicPr>
      </xdr:nvPicPr>
      <xdr:blipFill>
        <a:blip r:embed="rId1"/>
        <a:stretch>
          <a:fillRect/>
        </a:stretch>
      </xdr:blipFill>
      <xdr:spPr>
        <a:xfrm>
          <a:off x="0" y="0"/>
          <a:ext cx="12001500" cy="9629775"/>
        </a:xfrm>
        <a:prstGeom prst="rect">
          <a:avLst/>
        </a:prstGeom>
      </xdr:spPr>
    </xdr:pic>
    <xdr:clientData fLocksWithSheet="1"/>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6"/>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26.875"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45.950000000000003" customHeight="1" outlineLevel="1" x14ac:dyDescent="0.25">
      <c r="C10" s="105" t="s">
        <v>9</v>
      </c>
      <c r="D10" s="109" t="s">
        <v>858</v>
      </c>
    </row>
    <row r="11" spans="2:19" ht="45.950000000000003"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30" customHeight="1" outlineLevel="1" x14ac:dyDescent="0.25">
      <c r="C19" s="105" t="s">
        <v>21</v>
      </c>
      <c r="D19" s="109" t="s">
        <v>22</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HYPERLINK("#README!C114","One-page reference card: all formulas and parameters (below, on this sheet)")</f>
        <v>One-page reference card: all formulas and parameters (below, on this sheet)</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52</v>
      </c>
      <c r="D40" s="109" t="s">
        <v>864</v>
      </c>
    </row>
    <row r="41" spans="3:4" ht="30" customHeight="1" outlineLevel="1" x14ac:dyDescent="0.25">
      <c r="C41" s="105" t="s">
        <v>53</v>
      </c>
      <c r="D41" s="109" t="s">
        <v>54</v>
      </c>
    </row>
    <row r="42" spans="3:4" ht="30" customHeight="1" outlineLevel="1" x14ac:dyDescent="0.25">
      <c r="C42" s="105" t="s">
        <v>55</v>
      </c>
      <c r="D42" s="109" t="s">
        <v>56</v>
      </c>
    </row>
    <row r="43" spans="3:4" ht="30" customHeight="1" outlineLevel="1" x14ac:dyDescent="0.25">
      <c r="C43" s="105" t="s">
        <v>57</v>
      </c>
      <c r="D43" s="109" t="s">
        <v>58</v>
      </c>
    </row>
    <row r="44" spans="3:4" ht="30" customHeight="1" outlineLevel="1" x14ac:dyDescent="0.25">
      <c r="C44" s="105" t="s">
        <v>59</v>
      </c>
      <c r="D44" s="109" t="s">
        <v>60</v>
      </c>
    </row>
    <row r="45" spans="3:4" ht="30" customHeight="1" outlineLevel="1" x14ac:dyDescent="0.25">
      <c r="C45" s="105" t="s">
        <v>892</v>
      </c>
      <c r="D45" s="109" t="s">
        <v>893</v>
      </c>
    </row>
    <row r="46" spans="3:4" ht="30" customHeight="1" outlineLevel="1" x14ac:dyDescent="0.25">
      <c r="C46" s="105" t="s">
        <v>882</v>
      </c>
      <c r="D46" s="109" t="s">
        <v>894</v>
      </c>
    </row>
    <row r="47" spans="3:4" ht="30" customHeight="1" outlineLevel="1" x14ac:dyDescent="0.25">
      <c r="C47" s="105" t="s">
        <v>900</v>
      </c>
      <c r="D47" s="109" t="s">
        <v>901</v>
      </c>
    </row>
    <row r="48" spans="3:4" ht="30" customHeight="1" outlineLevel="1" x14ac:dyDescent="0.25">
      <c r="C48" s="105" t="s">
        <v>902</v>
      </c>
      <c r="D48" s="109" t="s">
        <v>903</v>
      </c>
    </row>
    <row r="49" spans="3:4" ht="30" customHeight="1" outlineLevel="1" x14ac:dyDescent="0.25">
      <c r="C49" s="105" t="s">
        <v>61</v>
      </c>
      <c r="D49" s="109" t="s">
        <v>62</v>
      </c>
    </row>
    <row r="50" spans="3:4" ht="30" customHeight="1" outlineLevel="1" x14ac:dyDescent="0.25">
      <c r="C50" s="105" t="s">
        <v>853</v>
      </c>
      <c r="D50" s="109" t="s">
        <v>64</v>
      </c>
    </row>
    <row r="51" spans="3:4" ht="30" customHeight="1" outlineLevel="1" x14ac:dyDescent="0.25">
      <c r="C51" s="106" t="s">
        <v>65</v>
      </c>
      <c r="D51" s="110" t="s">
        <v>66</v>
      </c>
    </row>
    <row r="52" spans="3:4" ht="9.9499999999999993" customHeight="1" x14ac:dyDescent="0.25">
      <c r="C52" s="33"/>
      <c r="D52" s="34"/>
    </row>
    <row r="53" spans="3:4" ht="30" customHeight="1" x14ac:dyDescent="0.25">
      <c r="C53" s="31" t="s">
        <v>67</v>
      </c>
      <c r="D53" s="35"/>
    </row>
    <row r="54" spans="3:4" ht="30" customHeight="1" outlineLevel="1" x14ac:dyDescent="0.25">
      <c r="C54" s="104" t="s">
        <v>865</v>
      </c>
      <c r="D54" s="108" t="s">
        <v>68</v>
      </c>
    </row>
    <row r="55" spans="3:4" ht="30" customHeight="1" outlineLevel="1" x14ac:dyDescent="0.25">
      <c r="C55" s="105" t="s">
        <v>866</v>
      </c>
      <c r="D55" s="109" t="s">
        <v>34</v>
      </c>
    </row>
    <row r="56" spans="3:4" ht="30" customHeight="1" outlineLevel="1" x14ac:dyDescent="0.25">
      <c r="C56" s="105" t="s">
        <v>69</v>
      </c>
      <c r="D56" s="109" t="s">
        <v>70</v>
      </c>
    </row>
    <row r="57" spans="3:4" ht="30" customHeight="1" outlineLevel="1" x14ac:dyDescent="0.25">
      <c r="C57" s="105" t="s">
        <v>71</v>
      </c>
      <c r="D57" s="109" t="s">
        <v>72</v>
      </c>
    </row>
    <row r="58" spans="3:4" ht="30" customHeight="1" outlineLevel="1" x14ac:dyDescent="0.25">
      <c r="C58" s="105" t="s">
        <v>73</v>
      </c>
      <c r="D58" s="109" t="s">
        <v>74</v>
      </c>
    </row>
    <row r="59" spans="3:4" ht="30" customHeight="1" outlineLevel="1" x14ac:dyDescent="0.25">
      <c r="C59" s="105" t="s">
        <v>867</v>
      </c>
      <c r="D59" s="109" t="s">
        <v>75</v>
      </c>
    </row>
    <row r="60" spans="3:4" ht="30" customHeight="1" outlineLevel="1" x14ac:dyDescent="0.25">
      <c r="C60" s="105" t="s">
        <v>76</v>
      </c>
      <c r="D60" s="109" t="s">
        <v>77</v>
      </c>
    </row>
    <row r="61" spans="3:4" ht="30" customHeight="1" outlineLevel="1" x14ac:dyDescent="0.25">
      <c r="C61" s="105" t="s">
        <v>868</v>
      </c>
      <c r="D61" s="109" t="s">
        <v>78</v>
      </c>
    </row>
    <row r="62" spans="3:4" ht="30" customHeight="1" outlineLevel="1" x14ac:dyDescent="0.25">
      <c r="C62" s="105" t="s">
        <v>79</v>
      </c>
      <c r="D62" s="109" t="s">
        <v>80</v>
      </c>
    </row>
    <row r="63" spans="3:4" ht="30" customHeight="1" outlineLevel="1" x14ac:dyDescent="0.25">
      <c r="C63" s="106" t="s">
        <v>81</v>
      </c>
      <c r="D63" s="110" t="s">
        <v>82</v>
      </c>
    </row>
    <row r="64" spans="3:4" ht="9.9499999999999993" customHeight="1" x14ac:dyDescent="0.25">
      <c r="C64" s="33"/>
      <c r="D64" s="34"/>
    </row>
    <row r="65" spans="3:4" ht="30" customHeight="1" x14ac:dyDescent="0.25">
      <c r="C65" s="31" t="s">
        <v>83</v>
      </c>
      <c r="D65" s="35"/>
    </row>
    <row r="66" spans="3:4" ht="45.95" customHeight="1" outlineLevel="1" x14ac:dyDescent="0.25">
      <c r="C66" s="104" t="s">
        <v>84</v>
      </c>
      <c r="D66" s="108" t="s">
        <v>869</v>
      </c>
    </row>
    <row r="67" spans="3:4" ht="30" customHeight="1" outlineLevel="1" x14ac:dyDescent="0.25">
      <c r="C67" s="105" t="s">
        <v>765</v>
      </c>
      <c r="D67" s="109" t="s">
        <v>764</v>
      </c>
    </row>
    <row r="68" spans="3:4" ht="30" customHeight="1" outlineLevel="1" x14ac:dyDescent="0.25">
      <c r="C68" s="105" t="s">
        <v>85</v>
      </c>
      <c r="D68" s="109" t="s">
        <v>776</v>
      </c>
    </row>
    <row r="69" spans="3:4" ht="30" customHeight="1" outlineLevel="1" x14ac:dyDescent="0.25">
      <c r="C69" s="105" t="s">
        <v>86</v>
      </c>
      <c r="D69" s="109" t="s">
        <v>870</v>
      </c>
    </row>
    <row r="70" spans="3:4" ht="30" customHeight="1" outlineLevel="1" x14ac:dyDescent="0.25">
      <c r="C70" s="105" t="s">
        <v>87</v>
      </c>
      <c r="D70" s="109" t="s">
        <v>88</v>
      </c>
    </row>
    <row r="71" spans="3:4" ht="33.950000000000003" customHeight="1" outlineLevel="1" x14ac:dyDescent="0.25">
      <c r="C71" s="106" t="s">
        <v>89</v>
      </c>
      <c r="D71" s="110" t="s">
        <v>871</v>
      </c>
    </row>
    <row r="72" spans="3:4" ht="9.9499999999999993" customHeight="1" x14ac:dyDescent="0.25">
      <c r="C72" s="33"/>
      <c r="D72" s="34"/>
    </row>
    <row r="73" spans="3:4" ht="30" customHeight="1" x14ac:dyDescent="0.25">
      <c r="C73" s="31" t="s">
        <v>90</v>
      </c>
      <c r="D73" s="35"/>
    </row>
    <row r="74" spans="3:4" ht="45.950000000000003" customHeight="1" outlineLevel="1" x14ac:dyDescent="0.25">
      <c r="C74" s="107" t="s">
        <v>91</v>
      </c>
      <c r="D74" s="111" t="s">
        <v>872</v>
      </c>
    </row>
    <row r="75" spans="3:4" ht="9.9499999999999993" customHeight="1" x14ac:dyDescent="0.25">
      <c r="C75" s="33"/>
      <c r="D75" s="34"/>
    </row>
    <row r="76" spans="3:4" ht="30" customHeight="1" x14ac:dyDescent="0.25">
      <c r="C76" s="31" t="s">
        <v>932</v>
      </c>
      <c r="D76" s="35"/>
    </row>
  </sheetData>
  <pageMargins left="0.4" right="0.4" top="0.5" bottom="0.5" header="0.3" footer="0.3"/>
  <pageSetup paperSize="9"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908</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150</v>
      </c>
      <c r="G23" s="34"/>
      <c r="H23" s="34"/>
      <c r="I23" s="40" t="s">
        <v>144</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909</v>
      </c>
    </row>
    <row r="49" spans="3:11" ht="20.100000000000001" customHeight="1" x14ac:dyDescent="0.25">
      <c r="C49" s="4" t="s">
        <v>206</v>
      </c>
      <c r="D49" s="47" t="s">
        <v>42</v>
      </c>
      <c r="E49" s="47" t="s">
        <v>207</v>
      </c>
      <c r="F49" s="48">
        <v>0.18</v>
      </c>
      <c r="G49" s="49">
        <v>0.4</v>
      </c>
      <c r="H49" s="49">
        <v>0.7</v>
      </c>
      <c r="I49" s="41" t="s">
        <v>205</v>
      </c>
      <c r="J49" s="41" t="s">
        <v>160</v>
      </c>
      <c r="K49" s="40" t="s">
        <v>910</v>
      </c>
    </row>
    <row r="50" spans="3:11" ht="20.100000000000001" customHeight="1" x14ac:dyDescent="0.25">
      <c r="C50" s="4" t="s">
        <v>208</v>
      </c>
      <c r="D50" s="47" t="s">
        <v>42</v>
      </c>
      <c r="E50" s="47" t="s">
        <v>209</v>
      </c>
      <c r="F50" s="48">
        <v>0.18</v>
      </c>
      <c r="G50" s="49">
        <v>0.4</v>
      </c>
      <c r="H50" s="49">
        <v>0.7</v>
      </c>
      <c r="I50" s="41" t="s">
        <v>209</v>
      </c>
      <c r="J50" s="41" t="s">
        <v>160</v>
      </c>
      <c r="K50" s="40" t="s">
        <v>911</v>
      </c>
    </row>
    <row r="51" spans="3:11" ht="20.100000000000001" customHeight="1" x14ac:dyDescent="0.25">
      <c r="C51" s="4" t="s">
        <v>210</v>
      </c>
      <c r="D51" s="47" t="s">
        <v>42</v>
      </c>
      <c r="E51" s="47" t="s">
        <v>211</v>
      </c>
      <c r="F51" s="48">
        <v>0.18</v>
      </c>
      <c r="G51" s="49">
        <v>0.4</v>
      </c>
      <c r="H51" s="49">
        <v>0.7</v>
      </c>
      <c r="I51" s="41" t="s">
        <v>211</v>
      </c>
      <c r="J51" s="41" t="s">
        <v>160</v>
      </c>
      <c r="K51" s="40" t="s">
        <v>912</v>
      </c>
    </row>
    <row r="52" spans="3:11" ht="20.100000000000001" customHeight="1" x14ac:dyDescent="0.25">
      <c r="C52" s="4" t="s">
        <v>212</v>
      </c>
      <c r="D52" s="47" t="s">
        <v>42</v>
      </c>
      <c r="E52" s="47" t="s">
        <v>213</v>
      </c>
      <c r="F52" s="48">
        <v>0.18</v>
      </c>
      <c r="G52" s="49">
        <v>0.4</v>
      </c>
      <c r="H52" s="49">
        <v>0.7</v>
      </c>
      <c r="I52" s="41" t="s">
        <v>213</v>
      </c>
      <c r="J52" s="41" t="s">
        <v>160</v>
      </c>
      <c r="K52" s="40" t="s">
        <v>913</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9, 52.53)."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the supervisory duration SD,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client clearing, in business days: role CM in both regimes, CLIENT under CRR only (a BCBS client keeps the bilateral floor). Regulatory value 5 (CRE54.12, CRR Art. 279c(1)(b))."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the netting set is flagged large or illiquid (more than 5,000 trades, illiquid collateral or a hard-to-replace derivative), in business days. Regulatory value 20 (CRE52.51, CRR Art. 285(3))."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Threshold of the CRR lambda for IR options, as a percentage: lambda = max(threshold - min(P, K), 0). Value 0.1% (Del. Reg. 2021/931 Art. 5(2))."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Threshold of the CRR lambda for commodity options: lambda = max(-(1 + threshold) x min(P, K), 0). Value 0.10 (Del. Reg. 2021/931 Art. 5(2))."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4"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s>
  <sheetData>
    <row r="1" spans="2:19" ht="24" customHeight="1" x14ac:dyDescent="0.25">
      <c r="B1" s="24" t="s">
        <v>0</v>
      </c>
      <c r="C1" s="25"/>
      <c r="D1" s="26"/>
      <c r="E1" s="26"/>
      <c r="F1" s="26"/>
      <c r="G1" s="26"/>
      <c r="H1" s="26"/>
      <c r="I1" s="26"/>
      <c r="J1" s="26"/>
      <c r="K1" s="26"/>
      <c r="L1" s="26"/>
      <c r="M1" s="26"/>
      <c r="N1" s="26"/>
      <c r="O1" s="26"/>
      <c r="P1" s="26"/>
      <c r="Q1" s="26"/>
      <c r="S1" s="27"/>
    </row>
    <row r="2" spans="2:19" ht="26.1" customHeight="1" x14ac:dyDescent="0.25">
      <c r="B2" s="28" t="s">
        <v>232</v>
      </c>
      <c r="C2" s="29"/>
      <c r="D2" s="30"/>
      <c r="E2" s="30"/>
      <c r="F2" s="30"/>
      <c r="G2" s="30"/>
      <c r="H2" s="30"/>
      <c r="I2" s="30"/>
      <c r="J2" s="30"/>
      <c r="K2" s="30"/>
      <c r="L2" s="30"/>
      <c r="M2" s="30"/>
      <c r="N2" s="30"/>
      <c r="O2" s="30"/>
      <c r="P2" s="30"/>
      <c r="Q2" s="30"/>
      <c r="S2" s="27"/>
    </row>
    <row r="3" spans="2:19" ht="30" customHeight="1" x14ac:dyDescent="0.25">
      <c r="C3" s="40" t="s">
        <v>798</v>
      </c>
      <c r="D3"/>
      <c r="E3"/>
      <c r="F3"/>
      <c r="G3"/>
      <c r="H3"/>
      <c r="I3"/>
      <c r="J3"/>
      <c r="K3"/>
      <c r="L3"/>
      <c r="M3"/>
      <c r="N3"/>
      <c r="O3"/>
      <c r="P3"/>
      <c r="Q3"/>
    </row>
    <row r="4" spans="2:19" ht="9.9499999999999993" customHeight="1" x14ac:dyDescent="0.25">
      <c r="C4" s="40"/>
      <c r="D4"/>
      <c r="E4"/>
      <c r="F4"/>
      <c r="G4"/>
      <c r="H4"/>
      <c r="I4"/>
      <c r="J4"/>
      <c r="K4"/>
      <c r="L4"/>
      <c r="M4"/>
      <c r="N4"/>
      <c r="O4"/>
      <c r="P4"/>
      <c r="Q4"/>
    </row>
    <row r="5" spans="2:19" ht="9.9499999999999993" customHeight="1" x14ac:dyDescent="0.25">
      <c r="C5"/>
      <c r="D5"/>
      <c r="E5"/>
      <c r="F5"/>
      <c r="G5"/>
      <c r="H5"/>
      <c r="I5"/>
      <c r="J5"/>
      <c r="K5"/>
      <c r="L5"/>
      <c r="M5"/>
      <c r="N5"/>
      <c r="O5"/>
      <c r="P5"/>
      <c r="Q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12"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1(1)-(2); CRR Art. 285(3))."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1(3); CRR Art. 285(4))."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under CRR so does VM posted (Art. 272(7a))."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leave out posted collateral that is segregated and bankruptcy remote (CRE52.17)."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regulatory value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50.75" style="34"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67"/>
      <c r="D3"/>
      <c r="E3" s="66"/>
      <c r="F3" s="66"/>
      <c r="G3" s="66"/>
      <c r="H3" s="66"/>
      <c r="I3" s="66"/>
      <c r="J3" s="66"/>
      <c r="K3" s="66"/>
      <c r="L3" s="66"/>
      <c r="M3"/>
      <c r="N3"/>
      <c r="O3"/>
      <c r="P3"/>
      <c r="Q3" s="66"/>
      <c r="R3" s="66"/>
      <c r="S3" s="66"/>
      <c r="T3" s="66"/>
      <c r="U3"/>
      <c r="V3"/>
      <c r="W3"/>
      <c r="X3"/>
      <c r="Y3"/>
      <c r="Z3" s="66"/>
      <c r="AA3" s="66"/>
      <c r="AB3"/>
    </row>
    <row r="4" spans="2:28"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68" t="s">
        <v>287</v>
      </c>
    </row>
    <row r="5" spans="2:28"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4" t="s">
        <v>293</v>
      </c>
    </row>
    <row r="6" spans="2:28"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4" t="s">
        <v>296</v>
      </c>
    </row>
    <row r="7" spans="2:28"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4" t="s">
        <v>300</v>
      </c>
    </row>
    <row r="8" spans="2:28"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4" t="s">
        <v>303</v>
      </c>
    </row>
    <row r="9" spans="2:28"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4" t="s">
        <v>306</v>
      </c>
    </row>
    <row r="10" spans="2:28"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4" t="s">
        <v>309</v>
      </c>
    </row>
    <row r="11" spans="2:28"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4" t="s">
        <v>914</v>
      </c>
    </row>
    <row r="12" spans="2:28"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4" t="s">
        <v>314</v>
      </c>
    </row>
    <row r="13" spans="2:28"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4" t="s">
        <v>317</v>
      </c>
    </row>
    <row r="14" spans="2:28"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4" t="s">
        <v>293</v>
      </c>
    </row>
    <row r="15" spans="2:28"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4" t="s">
        <v>296</v>
      </c>
    </row>
    <row r="16" spans="2:28"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4" t="s">
        <v>915</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B69" xr:uid="{00000000-0009-0000-0000-000003000000}"/>
  <conditionalFormatting sqref="C5:C5000">
    <cfRule type="expression" dxfId="11"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leg. A row with data but no Trade ID is rejected, and so is a repeated ID; either withholds the netting set's EAD."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EUR-INFL for inflation). FX: pair (EUR/USD); options in market order (USD/JPY, not JPY/USD). CR, EQ: issuer or index. CO: commodity type. OT: primary risk driver.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Trade notional, not adjusted: the engine applies the supervisory duration (IR, CR).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31(1)); blank = end date, or the option expiry if that is blank too."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Shift added to P and K when either is zero or negative (CRE52.40 FAQ2). Under CRR, IR and commodity options use the RTS lambda instead; a different value entered here is ignored with a warning."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1)."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1)."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or CRR credit quality step, credit or equity index type, or commodity category (e.g. OIL_GAS),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blank = reporting currency. FX trades: one of the pair's currencie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ResultsStatusText(SACCR_RunInputs,NettingSets!$C:$Q,Trades!$C:$AA,Params!$1:$1048576)</f>
        <v>No results: press Run SA-CCR.</v>
      </c>
      <c r="G5" s="9"/>
    </row>
    <row r="6" spans="2:30" ht="42" customHeight="1" x14ac:dyDescent="0.25">
      <c r="C6" s="127" t="s">
        <v>233</v>
      </c>
      <c r="D6" s="127" t="s">
        <v>234</v>
      </c>
      <c r="E6" s="128" t="s">
        <v>141</v>
      </c>
      <c r="F6" s="128" t="s">
        <v>431</v>
      </c>
      <c r="G6" s="128" t="s">
        <v>916</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917</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918</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No row with this ID will be compared." promptTitle="Netting set ID" prompt="The bank's ID of the netting set, as on NettingSets. A repeated ID makes every row with it DUPLICATE: none is compared." sqref="C9:C208" xr:uid="{00000000-0002-0000-0900-000003000000}">
      <formula1>COUNTIF($C$9:$C$208,C9)=1</formula1>
    </dataValidation>
    <dataValidation type="list" allowBlank="1" showInputMessage="1" showErrorMessage="1" errorTitle="Invalid regime" error="Choose BCBS or CRR." promptTitle="Regime" prompt="Required: BCBS or CRR, the regime of the bank's figures. Without it the row is INVALID INPUT; a regime other than the one on Results is REGIME MISMATCH,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at most 1; not scaled. Blank = not compar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ReconciliationStatusText(SACCR_ReconInputs,SACCR_RunInputs,BankNettingSets!$1:$1048576,NettingSets!$C:$Q,Trades!$C:$AA,Params!$1:$1048576)</f>
        <v>No reconciliation: enter bank figures on BankNettingSets and press Run SA-CCR (on Results or Trades).</v>
      </c>
    </row>
    <row r="6" spans="2:14" ht="42" customHeight="1" x14ac:dyDescent="0.25">
      <c r="C6" s="127" t="s">
        <v>233</v>
      </c>
      <c r="D6" s="128" t="s">
        <v>883</v>
      </c>
      <c r="E6" s="128" t="s">
        <v>884</v>
      </c>
      <c r="F6" s="128" t="s">
        <v>885</v>
      </c>
      <c r="G6" s="127" t="s">
        <v>886</v>
      </c>
      <c r="H6" s="128" t="s">
        <v>887</v>
      </c>
      <c r="I6" s="128" t="s">
        <v>919</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No row with this ID will be compared." promptTitle="Trade ID" prompt="The Trade ID of the leg, as on Trades. A repeated ID makes every row with it DUPLICATE: none is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TradeReconciliationStatusText(SACCR_TradeReconInputs,SACCR_RunInputs,BankTrades!$1:$1048576,NettingSets!$C:$Q,Trades!$C:$AA,Params!$1:$1048576)</f>
        <v>No reconciliation: enter bank figures on BankTrades and press Run SA-CCR (on Results or Trades).</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922</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921</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923</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924</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925</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926</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927</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928</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929</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930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920</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Table 1; IR and commodity options: RTS 2021/931 Art. 5(3))."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Protection bought" prompt="TRUE = protection bought (positive delta); FALSE = protection sold (CRE52.41; CRR Art. 279a(1)(b))."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BCBS: under 1 year, 1 to 5, over 5 years, CRE52.57; CRR: bucket 1 includes 1 year, Art. 280a(3))."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7; CRR Art. 272(12a),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0.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50"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50"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50"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50" customHeight="1" x14ac:dyDescent="0.25">
      <c r="C21" s="82">
        <v>16</v>
      </c>
      <c r="D21" s="83" t="s">
        <v>720</v>
      </c>
      <c r="E21" s="84" t="s">
        <v>721</v>
      </c>
      <c r="F21" s="84" t="s">
        <v>722</v>
      </c>
      <c r="G21" s="85" t="s">
        <v>791</v>
      </c>
      <c r="H21" s="84" t="s">
        <v>792</v>
      </c>
      <c r="I21" s="84" t="s">
        <v>793</v>
      </c>
      <c r="J21" s="86" t="s">
        <v>566</v>
      </c>
      <c r="K21" s="87" t="s">
        <v>648</v>
      </c>
    </row>
    <row r="22" spans="3:11" ht="50" customHeight="1" x14ac:dyDescent="0.25">
      <c r="C22" s="82">
        <v>17</v>
      </c>
      <c r="D22" s="83" t="s">
        <v>723</v>
      </c>
      <c r="E22" s="84" t="s">
        <v>724</v>
      </c>
      <c r="F22" s="84" t="s">
        <v>725</v>
      </c>
      <c r="G22" s="85" t="s">
        <v>652</v>
      </c>
      <c r="H22" s="84" t="s">
        <v>653</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931</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5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50"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50" customHeight="1" x14ac:dyDescent="0.25">
      <c r="C31" s="82"/>
      <c r="D31" s="90"/>
      <c r="E31" s="90"/>
      <c r="F31" s="90"/>
      <c r="G31" s="90"/>
      <c r="H31" s="90"/>
      <c r="I31" s="90"/>
      <c r="J31" s="91"/>
      <c r="K31" s="92"/>
    </row>
    <row r="32" spans="3:11" ht="50" customHeight="1" x14ac:dyDescent="0.25">
      <c r="C32" s="82"/>
      <c r="D32" s="90"/>
      <c r="E32" s="90"/>
      <c r="F32" s="90"/>
      <c r="G32" s="90"/>
      <c r="H32" s="90"/>
      <c r="I32" s="90"/>
      <c r="J32" s="91"/>
      <c r="K32" s="92"/>
    </row>
    <row r="33" spans="3:11" ht="50" customHeight="1" x14ac:dyDescent="0.25">
      <c r="C33" s="82"/>
      <c r="D33" s="90"/>
      <c r="E33" s="90"/>
      <c r="F33" s="90"/>
      <c r="G33" s="90"/>
      <c r="H33" s="90"/>
      <c r="I33" s="90"/>
      <c r="J33" s="91"/>
      <c r="K33" s="92"/>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0" xr:uid="{00000000-0009-0000-0000-00000B000000}"/>
  <pageMargins left="0.4" right="0.4" top="0.5" bottom="0.5" header="0.3" footer="0.3"/>
  <pageSetup paperSize="9" fitToHeight="0" orientation="landscape"/>
</worksheet>
</file>